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QLDN\1. Kiem tra\10. Ktra\2. DS DN Kiem tra tai tru so CQT 2026\3. Cty Anh Huy Hoang\3. Phan tich\"/>
    </mc:Choice>
  </mc:AlternateContent>
  <xr:revisionPtr revIDLastSave="0" documentId="13_ncr:1_{621FA311-6101-4DC0-A42D-D707B39D6EB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anRa_1" sheetId="5" r:id="rId1"/>
    <sheet name="MuaVao_1" sheetId="4" r:id="rId2"/>
  </sheets>
  <definedNames>
    <definedName name="_xlnm._FilterDatabase" localSheetId="0" hidden="1">BanRa_1!$A$2:$S$1628</definedName>
    <definedName name="_xlnm._FilterDatabase" localSheetId="1" hidden="1">MuaVao_1!$A$2:$X$1525</definedName>
  </definedNames>
  <calcPr calcId="191029"/>
</workbook>
</file>

<file path=xl/calcChain.xml><?xml version="1.0" encoding="utf-8"?>
<calcChain xmlns="http://schemas.openxmlformats.org/spreadsheetml/2006/main">
  <c r="S3" i="5" l="1"/>
  <c r="S1628" i="5"/>
  <c r="R1628" i="5"/>
  <c r="S1627" i="5"/>
  <c r="R1627" i="5"/>
  <c r="S1626" i="5"/>
  <c r="R1626" i="5"/>
  <c r="S1625" i="5"/>
  <c r="R1625" i="5"/>
  <c r="S1624" i="5"/>
  <c r="R1624" i="5"/>
  <c r="S1623" i="5"/>
  <c r="R1623" i="5"/>
  <c r="S1622" i="5"/>
  <c r="R1622" i="5"/>
  <c r="S1621" i="5"/>
  <c r="R1621" i="5"/>
  <c r="S1620" i="5"/>
  <c r="R1620" i="5"/>
  <c r="S1619" i="5"/>
  <c r="R1619" i="5"/>
  <c r="S1618" i="5"/>
  <c r="R1618" i="5"/>
  <c r="S1617" i="5"/>
  <c r="R1617" i="5"/>
  <c r="S1616" i="5"/>
  <c r="R1616" i="5"/>
  <c r="S1615" i="5"/>
  <c r="R1615" i="5"/>
  <c r="S1614" i="5"/>
  <c r="R1614" i="5"/>
  <c r="S1613" i="5"/>
  <c r="R1613" i="5"/>
  <c r="S1612" i="5"/>
  <c r="R1612" i="5"/>
  <c r="S1611" i="5"/>
  <c r="R1611" i="5"/>
  <c r="S1610" i="5"/>
  <c r="R1610" i="5"/>
  <c r="S1609" i="5"/>
  <c r="R1609" i="5"/>
  <c r="S1608" i="5"/>
  <c r="R1608" i="5"/>
  <c r="S1607" i="5"/>
  <c r="R1607" i="5"/>
  <c r="S1606" i="5"/>
  <c r="R1606" i="5"/>
  <c r="S1605" i="5"/>
  <c r="R1605" i="5"/>
  <c r="S1604" i="5"/>
  <c r="R1604" i="5"/>
  <c r="S1603" i="5"/>
  <c r="R1603" i="5"/>
  <c r="S1602" i="5"/>
  <c r="R1602" i="5"/>
  <c r="S1601" i="5"/>
  <c r="R1601" i="5"/>
  <c r="S1600" i="5"/>
  <c r="R1600" i="5"/>
  <c r="S1599" i="5"/>
  <c r="R1599" i="5"/>
  <c r="S1598" i="5"/>
  <c r="R1598" i="5"/>
  <c r="S1597" i="5"/>
  <c r="R1597" i="5"/>
  <c r="S1596" i="5"/>
  <c r="R1596" i="5"/>
  <c r="S1595" i="5"/>
  <c r="R1595" i="5"/>
  <c r="S1594" i="5"/>
  <c r="R1594" i="5"/>
  <c r="S1593" i="5"/>
  <c r="R1593" i="5"/>
  <c r="S1592" i="5"/>
  <c r="R1592" i="5"/>
  <c r="S1591" i="5"/>
  <c r="R1591" i="5"/>
  <c r="S1590" i="5"/>
  <c r="R1590" i="5"/>
  <c r="S1589" i="5"/>
  <c r="R1589" i="5"/>
  <c r="S1588" i="5"/>
  <c r="R1588" i="5"/>
  <c r="S1587" i="5"/>
  <c r="R1587" i="5"/>
  <c r="S1586" i="5"/>
  <c r="R1586" i="5"/>
  <c r="S1585" i="5"/>
  <c r="R1585" i="5"/>
  <c r="S1584" i="5"/>
  <c r="R1584" i="5"/>
  <c r="S1583" i="5"/>
  <c r="R1583" i="5"/>
  <c r="S1582" i="5"/>
  <c r="R1582" i="5"/>
  <c r="S1581" i="5"/>
  <c r="R1581" i="5"/>
  <c r="S1580" i="5"/>
  <c r="R1580" i="5"/>
  <c r="S1579" i="5"/>
  <c r="R1579" i="5"/>
  <c r="S1578" i="5"/>
  <c r="R1578" i="5"/>
  <c r="S1577" i="5"/>
  <c r="R1577" i="5"/>
  <c r="S1576" i="5"/>
  <c r="R1576" i="5"/>
  <c r="S1575" i="5"/>
  <c r="R1575" i="5"/>
  <c r="S1574" i="5"/>
  <c r="R1574" i="5"/>
  <c r="S1573" i="5"/>
  <c r="R1573" i="5"/>
  <c r="S1572" i="5"/>
  <c r="R1572" i="5"/>
  <c r="S1571" i="5"/>
  <c r="R1571" i="5"/>
  <c r="S1570" i="5"/>
  <c r="R1570" i="5"/>
  <c r="S1569" i="5"/>
  <c r="R1569" i="5"/>
  <c r="S1568" i="5"/>
  <c r="R1568" i="5"/>
  <c r="S1567" i="5"/>
  <c r="R1567" i="5"/>
  <c r="S1566" i="5"/>
  <c r="R1566" i="5"/>
  <c r="S1565" i="5"/>
  <c r="R1565" i="5"/>
  <c r="S1564" i="5"/>
  <c r="R1564" i="5"/>
  <c r="S1563" i="5"/>
  <c r="R1563" i="5"/>
  <c r="S1562" i="5"/>
  <c r="R1562" i="5"/>
  <c r="S1561" i="5"/>
  <c r="R1561" i="5"/>
  <c r="S1560" i="5"/>
  <c r="R1560" i="5"/>
  <c r="S1559" i="5"/>
  <c r="R1559" i="5"/>
  <c r="S1558" i="5"/>
  <c r="R1558" i="5"/>
  <c r="S1557" i="5"/>
  <c r="R1557" i="5"/>
  <c r="S1556" i="5"/>
  <c r="R1556" i="5"/>
  <c r="S1555" i="5"/>
  <c r="R1555" i="5"/>
  <c r="S1554" i="5"/>
  <c r="R1554" i="5"/>
  <c r="S1553" i="5"/>
  <c r="R1553" i="5"/>
  <c r="S1552" i="5"/>
  <c r="R1552" i="5"/>
  <c r="S1551" i="5"/>
  <c r="R1551" i="5"/>
  <c r="S1550" i="5"/>
  <c r="R1550" i="5"/>
  <c r="S1549" i="5"/>
  <c r="R1549" i="5"/>
  <c r="S1548" i="5"/>
  <c r="R1548" i="5"/>
  <c r="S1547" i="5"/>
  <c r="R1547" i="5"/>
  <c r="S1546" i="5"/>
  <c r="R1546" i="5"/>
  <c r="S1545" i="5"/>
  <c r="R1545" i="5"/>
  <c r="S1544" i="5"/>
  <c r="R1544" i="5"/>
  <c r="S1543" i="5"/>
  <c r="R1543" i="5"/>
  <c r="S1542" i="5"/>
  <c r="R1542" i="5"/>
  <c r="S1541" i="5"/>
  <c r="R1541" i="5"/>
  <c r="S1540" i="5"/>
  <c r="R1540" i="5"/>
  <c r="S1539" i="5"/>
  <c r="R1539" i="5"/>
  <c r="S1538" i="5"/>
  <c r="R1538" i="5"/>
  <c r="S1537" i="5"/>
  <c r="R1537" i="5"/>
  <c r="S1536" i="5"/>
  <c r="R1536" i="5"/>
  <c r="S1535" i="5"/>
  <c r="R1535" i="5"/>
  <c r="S1534" i="5"/>
  <c r="R1534" i="5"/>
  <c r="S1533" i="5"/>
  <c r="R1533" i="5"/>
  <c r="S1532" i="5"/>
  <c r="R1532" i="5"/>
  <c r="S1531" i="5"/>
  <c r="R1531" i="5"/>
  <c r="S1530" i="5"/>
  <c r="R1530" i="5"/>
  <c r="S1529" i="5"/>
  <c r="R1529" i="5"/>
  <c r="S1528" i="5"/>
  <c r="R1528" i="5"/>
  <c r="S1527" i="5"/>
  <c r="R1527" i="5"/>
  <c r="S1526" i="5"/>
  <c r="R1526" i="5"/>
  <c r="S1525" i="5"/>
  <c r="R1525" i="5"/>
  <c r="S1524" i="5"/>
  <c r="R1524" i="5"/>
  <c r="S1523" i="5"/>
  <c r="R1523" i="5"/>
  <c r="S1522" i="5"/>
  <c r="R1522" i="5"/>
  <c r="S1521" i="5"/>
  <c r="R1521" i="5"/>
  <c r="S1520" i="5"/>
  <c r="R1520" i="5"/>
  <c r="S1519" i="5"/>
  <c r="R1519" i="5"/>
  <c r="S1518" i="5"/>
  <c r="R1518" i="5"/>
  <c r="S1517" i="5"/>
  <c r="R1517" i="5"/>
  <c r="S1516" i="5"/>
  <c r="R1516" i="5"/>
  <c r="S1515" i="5"/>
  <c r="R1515" i="5"/>
  <c r="S1514" i="5"/>
  <c r="R1514" i="5"/>
  <c r="S1513" i="5"/>
  <c r="R1513" i="5"/>
  <c r="S1512" i="5"/>
  <c r="R1512" i="5"/>
  <c r="S1511" i="5"/>
  <c r="R1511" i="5"/>
  <c r="S1510" i="5"/>
  <c r="R1510" i="5"/>
  <c r="S1509" i="5"/>
  <c r="R1509" i="5"/>
  <c r="S1508" i="5"/>
  <c r="R1508" i="5"/>
  <c r="S1507" i="5"/>
  <c r="R1507" i="5"/>
  <c r="S1506" i="5"/>
  <c r="R1506" i="5"/>
  <c r="S1505" i="5"/>
  <c r="R1505" i="5"/>
  <c r="S1504" i="5"/>
  <c r="R1504" i="5"/>
  <c r="S1503" i="5"/>
  <c r="R1503" i="5"/>
  <c r="S1502" i="5"/>
  <c r="R1502" i="5"/>
  <c r="S1501" i="5"/>
  <c r="R1501" i="5"/>
  <c r="S1500" i="5"/>
  <c r="R1500" i="5"/>
  <c r="S1499" i="5"/>
  <c r="R1499" i="5"/>
  <c r="S1498" i="5"/>
  <c r="R1498" i="5"/>
  <c r="S1497" i="5"/>
  <c r="R1497" i="5"/>
  <c r="S1496" i="5"/>
  <c r="R1496" i="5"/>
  <c r="S1495" i="5"/>
  <c r="R1495" i="5"/>
  <c r="S1494" i="5"/>
  <c r="R1494" i="5"/>
  <c r="S1493" i="5"/>
  <c r="R1493" i="5"/>
  <c r="S1492" i="5"/>
  <c r="R1492" i="5"/>
  <c r="S1491" i="5"/>
  <c r="R1491" i="5"/>
  <c r="S1490" i="5"/>
  <c r="R1490" i="5"/>
  <c r="S1489" i="5"/>
  <c r="R1489" i="5"/>
  <c r="S1488" i="5"/>
  <c r="R1488" i="5"/>
  <c r="S1487" i="5"/>
  <c r="R1487" i="5"/>
  <c r="S1486" i="5"/>
  <c r="R1486" i="5"/>
  <c r="S1485" i="5"/>
  <c r="R1485" i="5"/>
  <c r="S1484" i="5"/>
  <c r="R1484" i="5"/>
  <c r="S1483" i="5"/>
  <c r="R1483" i="5"/>
  <c r="S1482" i="5"/>
  <c r="R1482" i="5"/>
  <c r="S1481" i="5"/>
  <c r="R1481" i="5"/>
  <c r="S1480" i="5"/>
  <c r="R1480" i="5"/>
  <c r="S1479" i="5"/>
  <c r="R1479" i="5"/>
  <c r="S1478" i="5"/>
  <c r="R1478" i="5"/>
  <c r="S1477" i="5"/>
  <c r="R1477" i="5"/>
  <c r="S1476" i="5"/>
  <c r="R1476" i="5"/>
  <c r="S1475" i="5"/>
  <c r="R1475" i="5"/>
  <c r="S1474" i="5"/>
  <c r="R1474" i="5"/>
  <c r="S1473" i="5"/>
  <c r="R1473" i="5"/>
  <c r="S1472" i="5"/>
  <c r="R1472" i="5"/>
  <c r="S1471" i="5"/>
  <c r="R1471" i="5"/>
  <c r="S1470" i="5"/>
  <c r="R1470" i="5"/>
  <c r="S1469" i="5"/>
  <c r="R1469" i="5"/>
  <c r="S1468" i="5"/>
  <c r="R1468" i="5"/>
  <c r="S1467" i="5"/>
  <c r="R1467" i="5"/>
  <c r="S1466" i="5"/>
  <c r="R1466" i="5"/>
  <c r="S1465" i="5"/>
  <c r="R1465" i="5"/>
  <c r="S1464" i="5"/>
  <c r="R1464" i="5"/>
  <c r="S1463" i="5"/>
  <c r="R1463" i="5"/>
  <c r="S1462" i="5"/>
  <c r="R1462" i="5"/>
  <c r="S1461" i="5"/>
  <c r="R1461" i="5"/>
  <c r="S1460" i="5"/>
  <c r="R1460" i="5"/>
  <c r="S1459" i="5"/>
  <c r="R1459" i="5"/>
  <c r="S1458" i="5"/>
  <c r="R1458" i="5"/>
  <c r="S1457" i="5"/>
  <c r="R1457" i="5"/>
  <c r="S1456" i="5"/>
  <c r="R1456" i="5"/>
  <c r="S1455" i="5"/>
  <c r="R1455" i="5"/>
  <c r="S1454" i="5"/>
  <c r="R1454" i="5"/>
  <c r="S1453" i="5"/>
  <c r="R1453" i="5"/>
  <c r="S1452" i="5"/>
  <c r="R1452" i="5"/>
  <c r="S1451" i="5"/>
  <c r="R1451" i="5"/>
  <c r="S1450" i="5"/>
  <c r="R1450" i="5"/>
  <c r="S1449" i="5"/>
  <c r="R1449" i="5"/>
  <c r="S1448" i="5"/>
  <c r="R1448" i="5"/>
  <c r="S1447" i="5"/>
  <c r="R1447" i="5"/>
  <c r="S1446" i="5"/>
  <c r="R1446" i="5"/>
  <c r="S1445" i="5"/>
  <c r="R1445" i="5"/>
  <c r="S1444" i="5"/>
  <c r="R1444" i="5"/>
  <c r="S1443" i="5"/>
  <c r="R1443" i="5"/>
  <c r="S1442" i="5"/>
  <c r="R1442" i="5"/>
  <c r="S1441" i="5"/>
  <c r="R1441" i="5"/>
  <c r="S1440" i="5"/>
  <c r="R1440" i="5"/>
  <c r="S1439" i="5"/>
  <c r="R1439" i="5"/>
  <c r="S1438" i="5"/>
  <c r="R1438" i="5"/>
  <c r="S1437" i="5"/>
  <c r="R1437" i="5"/>
  <c r="S1436" i="5"/>
  <c r="R1436" i="5"/>
  <c r="S1435" i="5"/>
  <c r="R1435" i="5"/>
  <c r="S1434" i="5"/>
  <c r="R1434" i="5"/>
  <c r="S1433" i="5"/>
  <c r="R1433" i="5"/>
  <c r="S1432" i="5"/>
  <c r="R1432" i="5"/>
  <c r="S1431" i="5"/>
  <c r="R1431" i="5"/>
  <c r="S1430" i="5"/>
  <c r="R1430" i="5"/>
  <c r="S1429" i="5"/>
  <c r="R1429" i="5"/>
  <c r="S1428" i="5"/>
  <c r="R1428" i="5"/>
  <c r="S1427" i="5"/>
  <c r="R1427" i="5"/>
  <c r="S1426" i="5"/>
  <c r="R1426" i="5"/>
  <c r="S1425" i="5"/>
  <c r="R1425" i="5"/>
  <c r="S1424" i="5"/>
  <c r="R1424" i="5"/>
  <c r="S1423" i="5"/>
  <c r="R1423" i="5"/>
  <c r="S1422" i="5"/>
  <c r="R1422" i="5"/>
  <c r="S1421" i="5"/>
  <c r="R1421" i="5"/>
  <c r="S1420" i="5"/>
  <c r="R1420" i="5"/>
  <c r="S1419" i="5"/>
  <c r="R1419" i="5"/>
  <c r="S1418" i="5"/>
  <c r="R1418" i="5"/>
  <c r="S1417" i="5"/>
  <c r="R1417" i="5"/>
  <c r="S1416" i="5"/>
  <c r="R1416" i="5"/>
  <c r="S1415" i="5"/>
  <c r="R1415" i="5"/>
  <c r="S1414" i="5"/>
  <c r="R1414" i="5"/>
  <c r="S1413" i="5"/>
  <c r="R1413" i="5"/>
  <c r="S1412" i="5"/>
  <c r="R1412" i="5"/>
  <c r="S1411" i="5"/>
  <c r="R1411" i="5"/>
  <c r="S1410" i="5"/>
  <c r="R1410" i="5"/>
  <c r="S1409" i="5"/>
  <c r="R1409" i="5"/>
  <c r="S1408" i="5"/>
  <c r="R1408" i="5"/>
  <c r="S1407" i="5"/>
  <c r="R1407" i="5"/>
  <c r="S1406" i="5"/>
  <c r="R1406" i="5"/>
  <c r="S1405" i="5"/>
  <c r="R1405" i="5"/>
  <c r="S1404" i="5"/>
  <c r="R1404" i="5"/>
  <c r="S1403" i="5"/>
  <c r="R1403" i="5"/>
  <c r="S1402" i="5"/>
  <c r="R1402" i="5"/>
  <c r="S1401" i="5"/>
  <c r="R1401" i="5"/>
  <c r="S1400" i="5"/>
  <c r="R1400" i="5"/>
  <c r="S1399" i="5"/>
  <c r="R1399" i="5"/>
  <c r="S1398" i="5"/>
  <c r="R1398" i="5"/>
  <c r="S1397" i="5"/>
  <c r="R1397" i="5"/>
  <c r="S1396" i="5"/>
  <c r="R1396" i="5"/>
  <c r="S1395" i="5"/>
  <c r="R1395" i="5"/>
  <c r="S1394" i="5"/>
  <c r="R1394" i="5"/>
  <c r="S1393" i="5"/>
  <c r="R1393" i="5"/>
  <c r="S1392" i="5"/>
  <c r="R1392" i="5"/>
  <c r="S1391" i="5"/>
  <c r="R1391" i="5"/>
  <c r="S1390" i="5"/>
  <c r="R1390" i="5"/>
  <c r="S1389" i="5"/>
  <c r="R1389" i="5"/>
  <c r="S1388" i="5"/>
  <c r="R1388" i="5"/>
  <c r="S1387" i="5"/>
  <c r="R1387" i="5"/>
  <c r="S1386" i="5"/>
  <c r="R1386" i="5"/>
  <c r="S1385" i="5"/>
  <c r="R1385" i="5"/>
  <c r="S1384" i="5"/>
  <c r="R1384" i="5"/>
  <c r="S1383" i="5"/>
  <c r="R1383" i="5"/>
  <c r="S1382" i="5"/>
  <c r="R1382" i="5"/>
  <c r="S1381" i="5"/>
  <c r="R1381" i="5"/>
  <c r="S1380" i="5"/>
  <c r="R1380" i="5"/>
  <c r="S1379" i="5"/>
  <c r="R1379" i="5"/>
  <c r="S1378" i="5"/>
  <c r="R1378" i="5"/>
  <c r="S1377" i="5"/>
  <c r="R1377" i="5"/>
  <c r="S1376" i="5"/>
  <c r="R1376" i="5"/>
  <c r="S1375" i="5"/>
  <c r="R1375" i="5"/>
  <c r="S1374" i="5"/>
  <c r="R1374" i="5"/>
  <c r="S1373" i="5"/>
  <c r="R1373" i="5"/>
  <c r="S1372" i="5"/>
  <c r="R1372" i="5"/>
  <c r="S1371" i="5"/>
  <c r="R1371" i="5"/>
  <c r="S1370" i="5"/>
  <c r="R1370" i="5"/>
  <c r="S1369" i="5"/>
  <c r="R1369" i="5"/>
  <c r="S1368" i="5"/>
  <c r="R1368" i="5"/>
  <c r="S1367" i="5"/>
  <c r="R1367" i="5"/>
  <c r="S1366" i="5"/>
  <c r="R1366" i="5"/>
  <c r="S1365" i="5"/>
  <c r="R1365" i="5"/>
  <c r="S1364" i="5"/>
  <c r="R1364" i="5"/>
  <c r="S1363" i="5"/>
  <c r="R1363" i="5"/>
  <c r="S1362" i="5"/>
  <c r="R1362" i="5"/>
  <c r="S1361" i="5"/>
  <c r="R1361" i="5"/>
  <c r="S1360" i="5"/>
  <c r="R1360" i="5"/>
  <c r="S1359" i="5"/>
  <c r="R1359" i="5"/>
  <c r="S1358" i="5"/>
  <c r="R1358" i="5"/>
  <c r="S1357" i="5"/>
  <c r="R1357" i="5"/>
  <c r="S1356" i="5"/>
  <c r="R1356" i="5"/>
  <c r="S1355" i="5"/>
  <c r="R1355" i="5"/>
  <c r="S1354" i="5"/>
  <c r="R1354" i="5"/>
  <c r="S1353" i="5"/>
  <c r="R1353" i="5"/>
  <c r="S1352" i="5"/>
  <c r="R1352" i="5"/>
  <c r="S1351" i="5"/>
  <c r="R1351" i="5"/>
  <c r="S1350" i="5"/>
  <c r="R1350" i="5"/>
  <c r="S1349" i="5"/>
  <c r="R1349" i="5"/>
  <c r="S1348" i="5"/>
  <c r="R1348" i="5"/>
  <c r="S1347" i="5"/>
  <c r="R1347" i="5"/>
  <c r="S1346" i="5"/>
  <c r="R1346" i="5"/>
  <c r="S1345" i="5"/>
  <c r="R1345" i="5"/>
  <c r="S1344" i="5"/>
  <c r="R1344" i="5"/>
  <c r="S1343" i="5"/>
  <c r="R1343" i="5"/>
  <c r="S1342" i="5"/>
  <c r="R1342" i="5"/>
  <c r="S1341" i="5"/>
  <c r="R1341" i="5"/>
  <c r="S1340" i="5"/>
  <c r="R1340" i="5"/>
  <c r="S1339" i="5"/>
  <c r="R1339" i="5"/>
  <c r="S1338" i="5"/>
  <c r="R1338" i="5"/>
  <c r="S1337" i="5"/>
  <c r="R1337" i="5"/>
  <c r="S1336" i="5"/>
  <c r="R1336" i="5"/>
  <c r="S1335" i="5"/>
  <c r="R1335" i="5"/>
  <c r="S1334" i="5"/>
  <c r="R1334" i="5"/>
  <c r="S1333" i="5"/>
  <c r="R1333" i="5"/>
  <c r="S1332" i="5"/>
  <c r="R1332" i="5"/>
  <c r="S1331" i="5"/>
  <c r="R1331" i="5"/>
  <c r="S1330" i="5"/>
  <c r="R1330" i="5"/>
  <c r="S1329" i="5"/>
  <c r="R1329" i="5"/>
  <c r="S1328" i="5"/>
  <c r="R1328" i="5"/>
  <c r="S1327" i="5"/>
  <c r="R1327" i="5"/>
  <c r="S1326" i="5"/>
  <c r="R1326" i="5"/>
  <c r="S1325" i="5"/>
  <c r="R1325" i="5"/>
  <c r="S1324" i="5"/>
  <c r="R1324" i="5"/>
  <c r="S1323" i="5"/>
  <c r="R1323" i="5"/>
  <c r="S1322" i="5"/>
  <c r="R1322" i="5"/>
  <c r="S1321" i="5"/>
  <c r="R1321" i="5"/>
  <c r="S1320" i="5"/>
  <c r="R1320" i="5"/>
  <c r="S1319" i="5"/>
  <c r="R1319" i="5"/>
  <c r="S1318" i="5"/>
  <c r="R1318" i="5"/>
  <c r="S1317" i="5"/>
  <c r="R1317" i="5"/>
  <c r="S1316" i="5"/>
  <c r="R1316" i="5"/>
  <c r="S1315" i="5"/>
  <c r="R1315" i="5"/>
  <c r="S1314" i="5"/>
  <c r="R1314" i="5"/>
  <c r="S1313" i="5"/>
  <c r="R1313" i="5"/>
  <c r="S1312" i="5"/>
  <c r="R1312" i="5"/>
  <c r="S1311" i="5"/>
  <c r="R1311" i="5"/>
  <c r="S1310" i="5"/>
  <c r="R1310" i="5"/>
  <c r="S1309" i="5"/>
  <c r="R1309" i="5"/>
  <c r="S1308" i="5"/>
  <c r="R1308" i="5"/>
  <c r="S1307" i="5"/>
  <c r="R1307" i="5"/>
  <c r="S1306" i="5"/>
  <c r="R1306" i="5"/>
  <c r="S1305" i="5"/>
  <c r="R1305" i="5"/>
  <c r="S1304" i="5"/>
  <c r="R1304" i="5"/>
  <c r="S1303" i="5"/>
  <c r="R1303" i="5"/>
  <c r="S1302" i="5"/>
  <c r="R1302" i="5"/>
  <c r="S1301" i="5"/>
  <c r="R1301" i="5"/>
  <c r="S1300" i="5"/>
  <c r="R1300" i="5"/>
  <c r="S1299" i="5"/>
  <c r="R1299" i="5"/>
  <c r="S1298" i="5"/>
  <c r="R1298" i="5"/>
  <c r="S1297" i="5"/>
  <c r="R1297" i="5"/>
  <c r="S1296" i="5"/>
  <c r="R1296" i="5"/>
  <c r="S1295" i="5"/>
  <c r="R1295" i="5"/>
  <c r="S1294" i="5"/>
  <c r="R1294" i="5"/>
  <c r="S1293" i="5"/>
  <c r="R1293" i="5"/>
  <c r="S1292" i="5"/>
  <c r="R1292" i="5"/>
  <c r="S1291" i="5"/>
  <c r="R1291" i="5"/>
  <c r="S1290" i="5"/>
  <c r="R1290" i="5"/>
  <c r="S1289" i="5"/>
  <c r="R1289" i="5"/>
  <c r="S1288" i="5"/>
  <c r="R1288" i="5"/>
  <c r="S1287" i="5"/>
  <c r="R1287" i="5"/>
  <c r="S1286" i="5"/>
  <c r="R1286" i="5"/>
  <c r="S1285" i="5"/>
  <c r="R1285" i="5"/>
  <c r="S1284" i="5"/>
  <c r="R1284" i="5"/>
  <c r="S1283" i="5"/>
  <c r="R1283" i="5"/>
  <c r="S1282" i="5"/>
  <c r="R1282" i="5"/>
  <c r="S1281" i="5"/>
  <c r="R1281" i="5"/>
  <c r="S1280" i="5"/>
  <c r="R1280" i="5"/>
  <c r="S1279" i="5"/>
  <c r="R1279" i="5"/>
  <c r="S1278" i="5"/>
  <c r="R1278" i="5"/>
  <c r="S1277" i="5"/>
  <c r="R1277" i="5"/>
  <c r="S1276" i="5"/>
  <c r="R1276" i="5"/>
  <c r="S1275" i="5"/>
  <c r="R1275" i="5"/>
  <c r="S1274" i="5"/>
  <c r="R1274" i="5"/>
  <c r="S1273" i="5"/>
  <c r="R1273" i="5"/>
  <c r="S1272" i="5"/>
  <c r="R1272" i="5"/>
  <c r="S1271" i="5"/>
  <c r="R1271" i="5"/>
  <c r="S1270" i="5"/>
  <c r="R1270" i="5"/>
  <c r="S1269" i="5"/>
  <c r="R1269" i="5"/>
  <c r="S1268" i="5"/>
  <c r="R1268" i="5"/>
  <c r="S1267" i="5"/>
  <c r="R1267" i="5"/>
  <c r="S1266" i="5"/>
  <c r="R1266" i="5"/>
  <c r="S1265" i="5"/>
  <c r="R1265" i="5"/>
  <c r="S1264" i="5"/>
  <c r="R1264" i="5"/>
  <c r="S1263" i="5"/>
  <c r="R1263" i="5"/>
  <c r="S1262" i="5"/>
  <c r="R1262" i="5"/>
  <c r="S1261" i="5"/>
  <c r="R1261" i="5"/>
  <c r="S1260" i="5"/>
  <c r="R1260" i="5"/>
  <c r="S1259" i="5"/>
  <c r="R1259" i="5"/>
  <c r="S1258" i="5"/>
  <c r="R1258" i="5"/>
  <c r="S1257" i="5"/>
  <c r="R1257" i="5"/>
  <c r="S1256" i="5"/>
  <c r="R1256" i="5"/>
  <c r="S1255" i="5"/>
  <c r="R1255" i="5"/>
  <c r="S1254" i="5"/>
  <c r="R1254" i="5"/>
  <c r="S1253" i="5"/>
  <c r="R1253" i="5"/>
  <c r="S1252" i="5"/>
  <c r="R1252" i="5"/>
  <c r="S1251" i="5"/>
  <c r="R1251" i="5"/>
  <c r="S1250" i="5"/>
  <c r="R1250" i="5"/>
  <c r="S1249" i="5"/>
  <c r="R1249" i="5"/>
  <c r="S1248" i="5"/>
  <c r="R1248" i="5"/>
  <c r="S1247" i="5"/>
  <c r="R1247" i="5"/>
  <c r="S1246" i="5"/>
  <c r="R1246" i="5"/>
  <c r="S1245" i="5"/>
  <c r="R1245" i="5"/>
  <c r="S1244" i="5"/>
  <c r="R1244" i="5"/>
  <c r="S1243" i="5"/>
  <c r="R1243" i="5"/>
  <c r="S1242" i="5"/>
  <c r="R1242" i="5"/>
  <c r="S1241" i="5"/>
  <c r="R1241" i="5"/>
  <c r="S1240" i="5"/>
  <c r="R1240" i="5"/>
  <c r="S1239" i="5"/>
  <c r="R1239" i="5"/>
  <c r="S1238" i="5"/>
  <c r="R1238" i="5"/>
  <c r="S1237" i="5"/>
  <c r="R1237" i="5"/>
  <c r="S1236" i="5"/>
  <c r="R1236" i="5"/>
  <c r="S1235" i="5"/>
  <c r="R1235" i="5"/>
  <c r="S1234" i="5"/>
  <c r="R1234" i="5"/>
  <c r="S1233" i="5"/>
  <c r="R1233" i="5"/>
  <c r="S1232" i="5"/>
  <c r="R1232" i="5"/>
  <c r="S1231" i="5"/>
  <c r="R1231" i="5"/>
  <c r="S1230" i="5"/>
  <c r="R1230" i="5"/>
  <c r="S1229" i="5"/>
  <c r="R1229" i="5"/>
  <c r="S1228" i="5"/>
  <c r="R1228" i="5"/>
  <c r="S1227" i="5"/>
  <c r="R1227" i="5"/>
  <c r="S1226" i="5"/>
  <c r="R1226" i="5"/>
  <c r="S1225" i="5"/>
  <c r="R1225" i="5"/>
  <c r="S1224" i="5"/>
  <c r="R1224" i="5"/>
  <c r="S1223" i="5"/>
  <c r="R1223" i="5"/>
  <c r="S1222" i="5"/>
  <c r="R1222" i="5"/>
  <c r="S1221" i="5"/>
  <c r="R1221" i="5"/>
  <c r="S1220" i="5"/>
  <c r="R1220" i="5"/>
  <c r="S1219" i="5"/>
  <c r="R1219" i="5"/>
  <c r="S1218" i="5"/>
  <c r="R1218" i="5"/>
  <c r="S1217" i="5"/>
  <c r="R1217" i="5"/>
  <c r="S1216" i="5"/>
  <c r="R1216" i="5"/>
  <c r="S1215" i="5"/>
  <c r="R1215" i="5"/>
  <c r="S1214" i="5"/>
  <c r="R1214" i="5"/>
  <c r="S1213" i="5"/>
  <c r="R1213" i="5"/>
  <c r="S1212" i="5"/>
  <c r="R1212" i="5"/>
  <c r="S1211" i="5"/>
  <c r="R1211" i="5"/>
  <c r="S1210" i="5"/>
  <c r="R1210" i="5"/>
  <c r="S1209" i="5"/>
  <c r="R1209" i="5"/>
  <c r="S1208" i="5"/>
  <c r="R1208" i="5"/>
  <c r="S1207" i="5"/>
  <c r="R1207" i="5"/>
  <c r="S1206" i="5"/>
  <c r="R1206" i="5"/>
  <c r="S1205" i="5"/>
  <c r="R1205" i="5"/>
  <c r="S1204" i="5"/>
  <c r="R1204" i="5"/>
  <c r="S1203" i="5"/>
  <c r="R1203" i="5"/>
  <c r="S1202" i="5"/>
  <c r="R1202" i="5"/>
  <c r="S1201" i="5"/>
  <c r="R1201" i="5"/>
  <c r="S1200" i="5"/>
  <c r="R1200" i="5"/>
  <c r="S1199" i="5"/>
  <c r="R1199" i="5"/>
  <c r="S1198" i="5"/>
  <c r="R1198" i="5"/>
  <c r="S1197" i="5"/>
  <c r="R1197" i="5"/>
  <c r="S1196" i="5"/>
  <c r="R1196" i="5"/>
  <c r="S1195" i="5"/>
  <c r="R1195" i="5"/>
  <c r="S1194" i="5"/>
  <c r="R1194" i="5"/>
  <c r="S1193" i="5"/>
  <c r="R1193" i="5"/>
  <c r="S1192" i="5"/>
  <c r="R1192" i="5"/>
  <c r="S1191" i="5"/>
  <c r="R1191" i="5"/>
  <c r="S1190" i="5"/>
  <c r="R1190" i="5"/>
  <c r="S1189" i="5"/>
  <c r="R1189" i="5"/>
  <c r="S1188" i="5"/>
  <c r="R1188" i="5"/>
  <c r="S1187" i="5"/>
  <c r="R1187" i="5"/>
  <c r="S1186" i="5"/>
  <c r="R1186" i="5"/>
  <c r="S1185" i="5"/>
  <c r="R1185" i="5"/>
  <c r="S1184" i="5"/>
  <c r="R1184" i="5"/>
  <c r="S1183" i="5"/>
  <c r="R1183" i="5"/>
  <c r="S1182" i="5"/>
  <c r="R1182" i="5"/>
  <c r="S1181" i="5"/>
  <c r="R1181" i="5"/>
  <c r="S1180" i="5"/>
  <c r="R1180" i="5"/>
  <c r="S1179" i="5"/>
  <c r="R1179" i="5"/>
  <c r="S1178" i="5"/>
  <c r="R1178" i="5"/>
  <c r="S1177" i="5"/>
  <c r="R1177" i="5"/>
  <c r="S1176" i="5"/>
  <c r="R1176" i="5"/>
  <c r="S1175" i="5"/>
  <c r="R1175" i="5"/>
  <c r="S1174" i="5"/>
  <c r="R1174" i="5"/>
  <c r="S1173" i="5"/>
  <c r="R1173" i="5"/>
  <c r="S1172" i="5"/>
  <c r="R1172" i="5"/>
  <c r="S1171" i="5"/>
  <c r="R1171" i="5"/>
  <c r="S1170" i="5"/>
  <c r="R1170" i="5"/>
  <c r="S1169" i="5"/>
  <c r="R1169" i="5"/>
  <c r="S1168" i="5"/>
  <c r="R1168" i="5"/>
  <c r="S1167" i="5"/>
  <c r="R1167" i="5"/>
  <c r="S1166" i="5"/>
  <c r="R1166" i="5"/>
  <c r="S1165" i="5"/>
  <c r="R1165" i="5"/>
  <c r="S1164" i="5"/>
  <c r="R1164" i="5"/>
  <c r="S1163" i="5"/>
  <c r="R1163" i="5"/>
  <c r="S1162" i="5"/>
  <c r="R1162" i="5"/>
  <c r="S1161" i="5"/>
  <c r="R1161" i="5"/>
  <c r="S1160" i="5"/>
  <c r="R1160" i="5"/>
  <c r="S1159" i="5"/>
  <c r="R1159" i="5"/>
  <c r="S1158" i="5"/>
  <c r="R1158" i="5"/>
  <c r="S1157" i="5"/>
  <c r="R1157" i="5"/>
  <c r="S1156" i="5"/>
  <c r="R1156" i="5"/>
  <c r="S1155" i="5"/>
  <c r="R1155" i="5"/>
  <c r="S1154" i="5"/>
  <c r="R1154" i="5"/>
  <c r="S1153" i="5"/>
  <c r="R1153" i="5"/>
  <c r="S1152" i="5"/>
  <c r="R1152" i="5"/>
  <c r="S1151" i="5"/>
  <c r="R1151" i="5"/>
  <c r="S1150" i="5"/>
  <c r="R1150" i="5"/>
  <c r="S1149" i="5"/>
  <c r="R1149" i="5"/>
  <c r="S1148" i="5"/>
  <c r="R1148" i="5"/>
  <c r="S1147" i="5"/>
  <c r="R1147" i="5"/>
  <c r="S1146" i="5"/>
  <c r="R1146" i="5"/>
  <c r="S1145" i="5"/>
  <c r="R1145" i="5"/>
  <c r="S1144" i="5"/>
  <c r="R1144" i="5"/>
  <c r="S1143" i="5"/>
  <c r="R1143" i="5"/>
  <c r="S1142" i="5"/>
  <c r="R1142" i="5"/>
  <c r="S1141" i="5"/>
  <c r="R1141" i="5"/>
  <c r="S1140" i="5"/>
  <c r="R1140" i="5"/>
  <c r="S1139" i="5"/>
  <c r="R1139" i="5"/>
  <c r="S1138" i="5"/>
  <c r="R1138" i="5"/>
  <c r="S1137" i="5"/>
  <c r="R1137" i="5"/>
  <c r="S1136" i="5"/>
  <c r="R1136" i="5"/>
  <c r="S1135" i="5"/>
  <c r="R1135" i="5"/>
  <c r="S1134" i="5"/>
  <c r="R1134" i="5"/>
  <c r="S1133" i="5"/>
  <c r="R1133" i="5"/>
  <c r="S1132" i="5"/>
  <c r="R1132" i="5"/>
  <c r="S1131" i="5"/>
  <c r="R1131" i="5"/>
  <c r="S1130" i="5"/>
  <c r="R1130" i="5"/>
  <c r="S1129" i="5"/>
  <c r="R1129" i="5"/>
  <c r="S1128" i="5"/>
  <c r="R1128" i="5"/>
  <c r="S1127" i="5"/>
  <c r="R1127" i="5"/>
  <c r="S1126" i="5"/>
  <c r="R1126" i="5"/>
  <c r="S1125" i="5"/>
  <c r="R1125" i="5"/>
  <c r="S1124" i="5"/>
  <c r="R1124" i="5"/>
  <c r="S1123" i="5"/>
  <c r="R1123" i="5"/>
  <c r="S1122" i="5"/>
  <c r="R1122" i="5"/>
  <c r="S1121" i="5"/>
  <c r="R1121" i="5"/>
  <c r="S1120" i="5"/>
  <c r="R1120" i="5"/>
  <c r="S1119" i="5"/>
  <c r="R1119" i="5"/>
  <c r="S1118" i="5"/>
  <c r="R1118" i="5"/>
  <c r="S1117" i="5"/>
  <c r="R1117" i="5"/>
  <c r="S1116" i="5"/>
  <c r="R1116" i="5"/>
  <c r="S1115" i="5"/>
  <c r="R1115" i="5"/>
  <c r="S1114" i="5"/>
  <c r="R1114" i="5"/>
  <c r="S1113" i="5"/>
  <c r="R1113" i="5"/>
  <c r="S1112" i="5"/>
  <c r="R1112" i="5"/>
  <c r="S1111" i="5"/>
  <c r="R1111" i="5"/>
  <c r="S1110" i="5"/>
  <c r="R1110" i="5"/>
  <c r="S1109" i="5"/>
  <c r="R1109" i="5"/>
  <c r="S1108" i="5"/>
  <c r="R1108" i="5"/>
  <c r="S1107" i="5"/>
  <c r="R1107" i="5"/>
  <c r="S1106" i="5"/>
  <c r="R1106" i="5"/>
  <c r="S1105" i="5"/>
  <c r="R1105" i="5"/>
  <c r="S1104" i="5"/>
  <c r="R1104" i="5"/>
  <c r="S1103" i="5"/>
  <c r="R1103" i="5"/>
  <c r="S1102" i="5"/>
  <c r="R1102" i="5"/>
  <c r="S1101" i="5"/>
  <c r="R1101" i="5"/>
  <c r="S1100" i="5"/>
  <c r="R1100" i="5"/>
  <c r="S1099" i="5"/>
  <c r="R1099" i="5"/>
  <c r="S1098" i="5"/>
  <c r="R1098" i="5"/>
  <c r="S1097" i="5"/>
  <c r="R1097" i="5"/>
  <c r="S1096" i="5"/>
  <c r="R1096" i="5"/>
  <c r="S1095" i="5"/>
  <c r="R1095" i="5"/>
  <c r="S1094" i="5"/>
  <c r="R1094" i="5"/>
  <c r="S1093" i="5"/>
  <c r="R1093" i="5"/>
  <c r="S1092" i="5"/>
  <c r="R1092" i="5"/>
  <c r="S1091" i="5"/>
  <c r="R1091" i="5"/>
  <c r="S1090" i="5"/>
  <c r="R1090" i="5"/>
  <c r="S1089" i="5"/>
  <c r="R1089" i="5"/>
  <c r="S1088" i="5"/>
  <c r="R1088" i="5"/>
  <c r="S1087" i="5"/>
  <c r="R1087" i="5"/>
  <c r="S1086" i="5"/>
  <c r="R1086" i="5"/>
  <c r="S1085" i="5"/>
  <c r="R1085" i="5"/>
  <c r="S1084" i="5"/>
  <c r="R1084" i="5"/>
  <c r="S1083" i="5"/>
  <c r="R1083" i="5"/>
  <c r="S1082" i="5"/>
  <c r="R1082" i="5"/>
  <c r="S1081" i="5"/>
  <c r="R1081" i="5"/>
  <c r="S1080" i="5"/>
  <c r="R1080" i="5"/>
  <c r="S1079" i="5"/>
  <c r="R1079" i="5"/>
  <c r="S1078" i="5"/>
  <c r="R1078" i="5"/>
  <c r="S1077" i="5"/>
  <c r="R1077" i="5"/>
  <c r="S1076" i="5"/>
  <c r="R1076" i="5"/>
  <c r="S1075" i="5"/>
  <c r="R1075" i="5"/>
  <c r="S1074" i="5"/>
  <c r="R1074" i="5"/>
  <c r="S1073" i="5"/>
  <c r="R1073" i="5"/>
  <c r="S1072" i="5"/>
  <c r="R1072" i="5"/>
  <c r="S1071" i="5"/>
  <c r="R1071" i="5"/>
  <c r="S1070" i="5"/>
  <c r="R1070" i="5"/>
  <c r="S1069" i="5"/>
  <c r="R1069" i="5"/>
  <c r="S1068" i="5"/>
  <c r="R1068" i="5"/>
  <c r="S1067" i="5"/>
  <c r="R1067" i="5"/>
  <c r="S1066" i="5"/>
  <c r="R1066" i="5"/>
  <c r="S1065" i="5"/>
  <c r="R1065" i="5"/>
  <c r="S1064" i="5"/>
  <c r="R1064" i="5"/>
  <c r="S1063" i="5"/>
  <c r="R1063" i="5"/>
  <c r="S1062" i="5"/>
  <c r="R1062" i="5"/>
  <c r="S1061" i="5"/>
  <c r="R1061" i="5"/>
  <c r="S1060" i="5"/>
  <c r="R1060" i="5"/>
  <c r="S1059" i="5"/>
  <c r="R1059" i="5"/>
  <c r="S1058" i="5"/>
  <c r="R1058" i="5"/>
  <c r="S1057" i="5"/>
  <c r="R1057" i="5"/>
  <c r="S1056" i="5"/>
  <c r="R1056" i="5"/>
  <c r="S1055" i="5"/>
  <c r="R1055" i="5"/>
  <c r="S1054" i="5"/>
  <c r="R1054" i="5"/>
  <c r="S1053" i="5"/>
  <c r="R1053" i="5"/>
  <c r="S1052" i="5"/>
  <c r="R1052" i="5"/>
  <c r="S1051" i="5"/>
  <c r="R1051" i="5"/>
  <c r="S1050" i="5"/>
  <c r="R1050" i="5"/>
  <c r="S1049" i="5"/>
  <c r="R1049" i="5"/>
  <c r="S1048" i="5"/>
  <c r="R1048" i="5"/>
  <c r="S1047" i="5"/>
  <c r="R1047" i="5"/>
  <c r="S1046" i="5"/>
  <c r="R1046" i="5"/>
  <c r="S1045" i="5"/>
  <c r="R1045" i="5"/>
  <c r="S1044" i="5"/>
  <c r="R1044" i="5"/>
  <c r="S1043" i="5"/>
  <c r="R1043" i="5"/>
  <c r="S1042" i="5"/>
  <c r="R1042" i="5"/>
  <c r="S1041" i="5"/>
  <c r="R1041" i="5"/>
  <c r="S1040" i="5"/>
  <c r="R1040" i="5"/>
  <c r="S1039" i="5"/>
  <c r="R1039" i="5"/>
  <c r="S1038" i="5"/>
  <c r="R1038" i="5"/>
  <c r="S1037" i="5"/>
  <c r="R1037" i="5"/>
  <c r="S1036" i="5"/>
  <c r="R1036" i="5"/>
  <c r="S1035" i="5"/>
  <c r="R1035" i="5"/>
  <c r="S1034" i="5"/>
  <c r="R1034" i="5"/>
  <c r="S1033" i="5"/>
  <c r="R1033" i="5"/>
  <c r="S1032" i="5"/>
  <c r="R1032" i="5"/>
  <c r="S1031" i="5"/>
  <c r="R1031" i="5"/>
  <c r="S1030" i="5"/>
  <c r="R1030" i="5"/>
  <c r="S1029" i="5"/>
  <c r="R1029" i="5"/>
  <c r="S1028" i="5"/>
  <c r="R1028" i="5"/>
  <c r="S1027" i="5"/>
  <c r="R1027" i="5"/>
  <c r="S1026" i="5"/>
  <c r="R1026" i="5"/>
  <c r="S1025" i="5"/>
  <c r="R1025" i="5"/>
  <c r="S1024" i="5"/>
  <c r="R1024" i="5"/>
  <c r="S1023" i="5"/>
  <c r="R1023" i="5"/>
  <c r="S1022" i="5"/>
  <c r="R1022" i="5"/>
  <c r="S1021" i="5"/>
  <c r="R1021" i="5"/>
  <c r="S1020" i="5"/>
  <c r="R1020" i="5"/>
  <c r="S1019" i="5"/>
  <c r="R1019" i="5"/>
  <c r="S1018" i="5"/>
  <c r="R1018" i="5"/>
  <c r="S1017" i="5"/>
  <c r="R1017" i="5"/>
  <c r="S1016" i="5"/>
  <c r="R1016" i="5"/>
  <c r="S1015" i="5"/>
  <c r="R1015" i="5"/>
  <c r="S1014" i="5"/>
  <c r="R1014" i="5"/>
  <c r="S1013" i="5"/>
  <c r="R1013" i="5"/>
  <c r="S1012" i="5"/>
  <c r="R1012" i="5"/>
  <c r="S1011" i="5"/>
  <c r="R1011" i="5"/>
  <c r="S1010" i="5"/>
  <c r="R1010" i="5"/>
  <c r="S1009" i="5"/>
  <c r="R1009" i="5"/>
  <c r="S1008" i="5"/>
  <c r="R1008" i="5"/>
  <c r="S1007" i="5"/>
  <c r="R1007" i="5"/>
  <c r="S1006" i="5"/>
  <c r="R1006" i="5"/>
  <c r="S1005" i="5"/>
  <c r="R1005" i="5"/>
  <c r="S1004" i="5"/>
  <c r="R1004" i="5"/>
  <c r="S1003" i="5"/>
  <c r="R1003" i="5"/>
  <c r="S1002" i="5"/>
  <c r="R1002" i="5"/>
  <c r="S1001" i="5"/>
  <c r="R1001" i="5"/>
  <c r="S1000" i="5"/>
  <c r="R1000" i="5"/>
  <c r="S999" i="5"/>
  <c r="R999" i="5"/>
  <c r="S998" i="5"/>
  <c r="R998" i="5"/>
  <c r="S997" i="5"/>
  <c r="R997" i="5"/>
  <c r="S996" i="5"/>
  <c r="R996" i="5"/>
  <c r="S995" i="5"/>
  <c r="R995" i="5"/>
  <c r="S994" i="5"/>
  <c r="R994" i="5"/>
  <c r="S993" i="5"/>
  <c r="R993" i="5"/>
  <c r="S992" i="5"/>
  <c r="R992" i="5"/>
  <c r="S991" i="5"/>
  <c r="R991" i="5"/>
  <c r="S990" i="5"/>
  <c r="R990" i="5"/>
  <c r="S989" i="5"/>
  <c r="R989" i="5"/>
  <c r="S988" i="5"/>
  <c r="R988" i="5"/>
  <c r="S987" i="5"/>
  <c r="R987" i="5"/>
  <c r="S986" i="5"/>
  <c r="R986" i="5"/>
  <c r="S985" i="5"/>
  <c r="R985" i="5"/>
  <c r="S984" i="5"/>
  <c r="R984" i="5"/>
  <c r="S983" i="5"/>
  <c r="R983" i="5"/>
  <c r="S982" i="5"/>
  <c r="R982" i="5"/>
  <c r="S981" i="5"/>
  <c r="R981" i="5"/>
  <c r="S980" i="5"/>
  <c r="R980" i="5"/>
  <c r="S979" i="5"/>
  <c r="R979" i="5"/>
  <c r="S978" i="5"/>
  <c r="R978" i="5"/>
  <c r="S977" i="5"/>
  <c r="R977" i="5"/>
  <c r="S976" i="5"/>
  <c r="R976" i="5"/>
  <c r="S975" i="5"/>
  <c r="R975" i="5"/>
  <c r="S974" i="5"/>
  <c r="R974" i="5"/>
  <c r="S973" i="5"/>
  <c r="R973" i="5"/>
  <c r="S972" i="5"/>
  <c r="R972" i="5"/>
  <c r="S971" i="5"/>
  <c r="R971" i="5"/>
  <c r="S970" i="5"/>
  <c r="R970" i="5"/>
  <c r="S969" i="5"/>
  <c r="R969" i="5"/>
  <c r="S968" i="5"/>
  <c r="R968" i="5"/>
  <c r="S967" i="5"/>
  <c r="R967" i="5"/>
  <c r="S966" i="5"/>
  <c r="R966" i="5"/>
  <c r="S965" i="5"/>
  <c r="R965" i="5"/>
  <c r="S964" i="5"/>
  <c r="R964" i="5"/>
  <c r="S963" i="5"/>
  <c r="R963" i="5"/>
  <c r="S962" i="5"/>
  <c r="R962" i="5"/>
  <c r="S961" i="5"/>
  <c r="R961" i="5"/>
  <c r="S960" i="5"/>
  <c r="R960" i="5"/>
  <c r="S959" i="5"/>
  <c r="R959" i="5"/>
  <c r="S958" i="5"/>
  <c r="R958" i="5"/>
  <c r="S957" i="5"/>
  <c r="R957" i="5"/>
  <c r="S956" i="5"/>
  <c r="R956" i="5"/>
  <c r="S955" i="5"/>
  <c r="R955" i="5"/>
  <c r="S954" i="5"/>
  <c r="R954" i="5"/>
  <c r="S953" i="5"/>
  <c r="R953" i="5"/>
  <c r="S952" i="5"/>
  <c r="R952" i="5"/>
  <c r="S951" i="5"/>
  <c r="R951" i="5"/>
  <c r="S950" i="5"/>
  <c r="R950" i="5"/>
  <c r="S949" i="5"/>
  <c r="R949" i="5"/>
  <c r="S948" i="5"/>
  <c r="R948" i="5"/>
  <c r="S947" i="5"/>
  <c r="R947" i="5"/>
  <c r="S946" i="5"/>
  <c r="R946" i="5"/>
  <c r="S945" i="5"/>
  <c r="R945" i="5"/>
  <c r="S944" i="5"/>
  <c r="R944" i="5"/>
  <c r="S943" i="5"/>
  <c r="R943" i="5"/>
  <c r="S942" i="5"/>
  <c r="R942" i="5"/>
  <c r="S941" i="5"/>
  <c r="R941" i="5"/>
  <c r="S940" i="5"/>
  <c r="R940" i="5"/>
  <c r="S939" i="5"/>
  <c r="R939" i="5"/>
  <c r="S938" i="5"/>
  <c r="R938" i="5"/>
  <c r="S937" i="5"/>
  <c r="R937" i="5"/>
  <c r="S936" i="5"/>
  <c r="R936" i="5"/>
  <c r="S935" i="5"/>
  <c r="R935" i="5"/>
  <c r="S934" i="5"/>
  <c r="R934" i="5"/>
  <c r="S933" i="5"/>
  <c r="R933" i="5"/>
  <c r="S932" i="5"/>
  <c r="R932" i="5"/>
  <c r="S931" i="5"/>
  <c r="R931" i="5"/>
  <c r="S930" i="5"/>
  <c r="R930" i="5"/>
  <c r="S929" i="5"/>
  <c r="R929" i="5"/>
  <c r="S928" i="5"/>
  <c r="R928" i="5"/>
  <c r="S927" i="5"/>
  <c r="R927" i="5"/>
  <c r="S926" i="5"/>
  <c r="R926" i="5"/>
  <c r="S925" i="5"/>
  <c r="R925" i="5"/>
  <c r="S924" i="5"/>
  <c r="R924" i="5"/>
  <c r="S923" i="5"/>
  <c r="R923" i="5"/>
  <c r="S922" i="5"/>
  <c r="R922" i="5"/>
  <c r="S921" i="5"/>
  <c r="R921" i="5"/>
  <c r="S920" i="5"/>
  <c r="R920" i="5"/>
  <c r="S919" i="5"/>
  <c r="R919" i="5"/>
  <c r="S918" i="5"/>
  <c r="R918" i="5"/>
  <c r="S917" i="5"/>
  <c r="R917" i="5"/>
  <c r="S916" i="5"/>
  <c r="R916" i="5"/>
  <c r="S915" i="5"/>
  <c r="R915" i="5"/>
  <c r="S914" i="5"/>
  <c r="R914" i="5"/>
  <c r="S913" i="5"/>
  <c r="R913" i="5"/>
  <c r="S912" i="5"/>
  <c r="R912" i="5"/>
  <c r="S911" i="5"/>
  <c r="R911" i="5"/>
  <c r="S910" i="5"/>
  <c r="R910" i="5"/>
  <c r="S909" i="5"/>
  <c r="R909" i="5"/>
  <c r="S908" i="5"/>
  <c r="R908" i="5"/>
  <c r="S907" i="5"/>
  <c r="R907" i="5"/>
  <c r="S906" i="5"/>
  <c r="R906" i="5"/>
  <c r="S905" i="5"/>
  <c r="R905" i="5"/>
  <c r="S904" i="5"/>
  <c r="R904" i="5"/>
  <c r="S903" i="5"/>
  <c r="R903" i="5"/>
  <c r="S902" i="5"/>
  <c r="R902" i="5"/>
  <c r="S901" i="5"/>
  <c r="R901" i="5"/>
  <c r="S900" i="5"/>
  <c r="R900" i="5"/>
  <c r="S899" i="5"/>
  <c r="R899" i="5"/>
  <c r="S898" i="5"/>
  <c r="R898" i="5"/>
  <c r="S897" i="5"/>
  <c r="R897" i="5"/>
  <c r="S896" i="5"/>
  <c r="R896" i="5"/>
  <c r="S895" i="5"/>
  <c r="R895" i="5"/>
  <c r="S894" i="5"/>
  <c r="R894" i="5"/>
  <c r="S893" i="5"/>
  <c r="R893" i="5"/>
  <c r="S892" i="5"/>
  <c r="R892" i="5"/>
  <c r="S891" i="5"/>
  <c r="R891" i="5"/>
  <c r="S890" i="5"/>
  <c r="R890" i="5"/>
  <c r="S889" i="5"/>
  <c r="R889" i="5"/>
  <c r="S888" i="5"/>
  <c r="R888" i="5"/>
  <c r="S887" i="5"/>
  <c r="R887" i="5"/>
  <c r="S886" i="5"/>
  <c r="R886" i="5"/>
  <c r="S885" i="5"/>
  <c r="R885" i="5"/>
  <c r="S884" i="5"/>
  <c r="R884" i="5"/>
  <c r="S883" i="5"/>
  <c r="R883" i="5"/>
  <c r="S882" i="5"/>
  <c r="R882" i="5"/>
  <c r="S881" i="5"/>
  <c r="R881" i="5"/>
  <c r="S880" i="5"/>
  <c r="R880" i="5"/>
  <c r="S879" i="5"/>
  <c r="R879" i="5"/>
  <c r="S878" i="5"/>
  <c r="R878" i="5"/>
  <c r="S877" i="5"/>
  <c r="R877" i="5"/>
  <c r="S876" i="5"/>
  <c r="R876" i="5"/>
  <c r="S875" i="5"/>
  <c r="R875" i="5"/>
  <c r="S874" i="5"/>
  <c r="R874" i="5"/>
  <c r="S873" i="5"/>
  <c r="R873" i="5"/>
  <c r="S872" i="5"/>
  <c r="R872" i="5"/>
  <c r="S871" i="5"/>
  <c r="R871" i="5"/>
  <c r="S870" i="5"/>
  <c r="R870" i="5"/>
  <c r="S869" i="5"/>
  <c r="R869" i="5"/>
  <c r="S868" i="5"/>
  <c r="R868" i="5"/>
  <c r="S867" i="5"/>
  <c r="R867" i="5"/>
  <c r="S866" i="5"/>
  <c r="R866" i="5"/>
  <c r="S865" i="5"/>
  <c r="R865" i="5"/>
  <c r="S864" i="5"/>
  <c r="R864" i="5"/>
  <c r="S863" i="5"/>
  <c r="R863" i="5"/>
  <c r="S862" i="5"/>
  <c r="R862" i="5"/>
  <c r="S861" i="5"/>
  <c r="R861" i="5"/>
  <c r="S860" i="5"/>
  <c r="R860" i="5"/>
  <c r="S859" i="5"/>
  <c r="R859" i="5"/>
  <c r="S858" i="5"/>
  <c r="R858" i="5"/>
  <c r="S857" i="5"/>
  <c r="R857" i="5"/>
  <c r="S856" i="5"/>
  <c r="R856" i="5"/>
  <c r="S855" i="5"/>
  <c r="R855" i="5"/>
  <c r="S854" i="5"/>
  <c r="R854" i="5"/>
  <c r="S853" i="5"/>
  <c r="R853" i="5"/>
  <c r="S852" i="5"/>
  <c r="R852" i="5"/>
  <c r="S851" i="5"/>
  <c r="R851" i="5"/>
  <c r="S850" i="5"/>
  <c r="R850" i="5"/>
  <c r="S849" i="5"/>
  <c r="R849" i="5"/>
  <c r="S848" i="5"/>
  <c r="R848" i="5"/>
  <c r="S847" i="5"/>
  <c r="R847" i="5"/>
  <c r="S846" i="5"/>
  <c r="R846" i="5"/>
  <c r="S845" i="5"/>
  <c r="R845" i="5"/>
  <c r="S844" i="5"/>
  <c r="R844" i="5"/>
  <c r="S843" i="5"/>
  <c r="R843" i="5"/>
  <c r="S842" i="5"/>
  <c r="R842" i="5"/>
  <c r="S841" i="5"/>
  <c r="R841" i="5"/>
  <c r="S840" i="5"/>
  <c r="R840" i="5"/>
  <c r="S839" i="5"/>
  <c r="R839" i="5"/>
  <c r="S838" i="5"/>
  <c r="R838" i="5"/>
  <c r="S837" i="5"/>
  <c r="R837" i="5"/>
  <c r="S836" i="5"/>
  <c r="R836" i="5"/>
  <c r="S835" i="5"/>
  <c r="R835" i="5"/>
  <c r="S834" i="5"/>
  <c r="R834" i="5"/>
  <c r="S833" i="5"/>
  <c r="R833" i="5"/>
  <c r="S832" i="5"/>
  <c r="R832" i="5"/>
  <c r="S831" i="5"/>
  <c r="R831" i="5"/>
  <c r="S830" i="5"/>
  <c r="R830" i="5"/>
  <c r="S829" i="5"/>
  <c r="R829" i="5"/>
  <c r="S828" i="5"/>
  <c r="R828" i="5"/>
  <c r="S827" i="5"/>
  <c r="R827" i="5"/>
  <c r="S826" i="5"/>
  <c r="R826" i="5"/>
  <c r="S825" i="5"/>
  <c r="R825" i="5"/>
  <c r="S824" i="5"/>
  <c r="R824" i="5"/>
  <c r="S823" i="5"/>
  <c r="R823" i="5"/>
  <c r="S822" i="5"/>
  <c r="R822" i="5"/>
  <c r="S821" i="5"/>
  <c r="R821" i="5"/>
  <c r="S820" i="5"/>
  <c r="R820" i="5"/>
  <c r="S819" i="5"/>
  <c r="R819" i="5"/>
  <c r="S818" i="5"/>
  <c r="R818" i="5"/>
  <c r="S817" i="5"/>
  <c r="R817" i="5"/>
  <c r="S816" i="5"/>
  <c r="R816" i="5"/>
  <c r="S815" i="5"/>
  <c r="R815" i="5"/>
  <c r="S814" i="5"/>
  <c r="R814" i="5"/>
  <c r="S813" i="5"/>
  <c r="R813" i="5"/>
  <c r="S812" i="5"/>
  <c r="R812" i="5"/>
  <c r="S811" i="5"/>
  <c r="R811" i="5"/>
  <c r="S810" i="5"/>
  <c r="R810" i="5"/>
  <c r="S809" i="5"/>
  <c r="R809" i="5"/>
  <c r="S808" i="5"/>
  <c r="R808" i="5"/>
  <c r="S807" i="5"/>
  <c r="R807" i="5"/>
  <c r="S806" i="5"/>
  <c r="R806" i="5"/>
  <c r="S805" i="5"/>
  <c r="R805" i="5"/>
  <c r="S804" i="5"/>
  <c r="R804" i="5"/>
  <c r="S803" i="5"/>
  <c r="R803" i="5"/>
  <c r="S802" i="5"/>
  <c r="R802" i="5"/>
  <c r="S801" i="5"/>
  <c r="R801" i="5"/>
  <c r="S800" i="5"/>
  <c r="R800" i="5"/>
  <c r="S799" i="5"/>
  <c r="R799" i="5"/>
  <c r="S798" i="5"/>
  <c r="R798" i="5"/>
  <c r="S797" i="5"/>
  <c r="R797" i="5"/>
  <c r="S796" i="5"/>
  <c r="R796" i="5"/>
  <c r="S795" i="5"/>
  <c r="R795" i="5"/>
  <c r="S794" i="5"/>
  <c r="R794" i="5"/>
  <c r="S793" i="5"/>
  <c r="R793" i="5"/>
  <c r="S792" i="5"/>
  <c r="R792" i="5"/>
  <c r="S791" i="5"/>
  <c r="R791" i="5"/>
  <c r="S790" i="5"/>
  <c r="R790" i="5"/>
  <c r="S789" i="5"/>
  <c r="R789" i="5"/>
  <c r="S788" i="5"/>
  <c r="R788" i="5"/>
  <c r="S787" i="5"/>
  <c r="R787" i="5"/>
  <c r="S786" i="5"/>
  <c r="R786" i="5"/>
  <c r="S785" i="5"/>
  <c r="R785" i="5"/>
  <c r="S784" i="5"/>
  <c r="R784" i="5"/>
  <c r="S783" i="5"/>
  <c r="R783" i="5"/>
  <c r="S782" i="5"/>
  <c r="R782" i="5"/>
  <c r="S781" i="5"/>
  <c r="R781" i="5"/>
  <c r="S780" i="5"/>
  <c r="R780" i="5"/>
  <c r="S779" i="5"/>
  <c r="R779" i="5"/>
  <c r="S778" i="5"/>
  <c r="R778" i="5"/>
  <c r="S777" i="5"/>
  <c r="R777" i="5"/>
  <c r="S776" i="5"/>
  <c r="R776" i="5"/>
  <c r="S775" i="5"/>
  <c r="R775" i="5"/>
  <c r="S774" i="5"/>
  <c r="R774" i="5"/>
  <c r="S773" i="5"/>
  <c r="R773" i="5"/>
  <c r="S772" i="5"/>
  <c r="R772" i="5"/>
  <c r="S771" i="5"/>
  <c r="R771" i="5"/>
  <c r="S770" i="5"/>
  <c r="R770" i="5"/>
  <c r="S769" i="5"/>
  <c r="R769" i="5"/>
  <c r="S768" i="5"/>
  <c r="R768" i="5"/>
  <c r="S767" i="5"/>
  <c r="R767" i="5"/>
  <c r="S766" i="5"/>
  <c r="R766" i="5"/>
  <c r="S765" i="5"/>
  <c r="R765" i="5"/>
  <c r="S764" i="5"/>
  <c r="R764" i="5"/>
  <c r="S763" i="5"/>
  <c r="R763" i="5"/>
  <c r="S762" i="5"/>
  <c r="R762" i="5"/>
  <c r="S761" i="5"/>
  <c r="R761" i="5"/>
  <c r="S760" i="5"/>
  <c r="R760" i="5"/>
  <c r="S759" i="5"/>
  <c r="R759" i="5"/>
  <c r="S758" i="5"/>
  <c r="R758" i="5"/>
  <c r="S757" i="5"/>
  <c r="R757" i="5"/>
  <c r="S756" i="5"/>
  <c r="R756" i="5"/>
  <c r="S755" i="5"/>
  <c r="R755" i="5"/>
  <c r="S754" i="5"/>
  <c r="R754" i="5"/>
  <c r="S753" i="5"/>
  <c r="R753" i="5"/>
  <c r="S752" i="5"/>
  <c r="R752" i="5"/>
  <c r="S751" i="5"/>
  <c r="R751" i="5"/>
  <c r="S750" i="5"/>
  <c r="R750" i="5"/>
  <c r="S749" i="5"/>
  <c r="R749" i="5"/>
  <c r="S748" i="5"/>
  <c r="R748" i="5"/>
  <c r="S747" i="5"/>
  <c r="R747" i="5"/>
  <c r="S746" i="5"/>
  <c r="R746" i="5"/>
  <c r="S745" i="5"/>
  <c r="R745" i="5"/>
  <c r="S744" i="5"/>
  <c r="R744" i="5"/>
  <c r="S743" i="5"/>
  <c r="R743" i="5"/>
  <c r="S742" i="5"/>
  <c r="R742" i="5"/>
  <c r="S741" i="5"/>
  <c r="R741" i="5"/>
  <c r="S740" i="5"/>
  <c r="R740" i="5"/>
  <c r="S739" i="5"/>
  <c r="R739" i="5"/>
  <c r="S738" i="5"/>
  <c r="R738" i="5"/>
  <c r="S737" i="5"/>
  <c r="R737" i="5"/>
  <c r="S736" i="5"/>
  <c r="R736" i="5"/>
  <c r="S735" i="5"/>
  <c r="R735" i="5"/>
  <c r="S734" i="5"/>
  <c r="R734" i="5"/>
  <c r="S733" i="5"/>
  <c r="R733" i="5"/>
  <c r="S732" i="5"/>
  <c r="R732" i="5"/>
  <c r="S731" i="5"/>
  <c r="R731" i="5"/>
  <c r="S730" i="5"/>
  <c r="R730" i="5"/>
  <c r="S729" i="5"/>
  <c r="R729" i="5"/>
  <c r="S728" i="5"/>
  <c r="R728" i="5"/>
  <c r="S727" i="5"/>
  <c r="R727" i="5"/>
  <c r="S726" i="5"/>
  <c r="R726" i="5"/>
  <c r="S725" i="5"/>
  <c r="R725" i="5"/>
  <c r="S724" i="5"/>
  <c r="R724" i="5"/>
  <c r="S723" i="5"/>
  <c r="R723" i="5"/>
  <c r="S722" i="5"/>
  <c r="R722" i="5"/>
  <c r="S721" i="5"/>
  <c r="R721" i="5"/>
  <c r="S720" i="5"/>
  <c r="R720" i="5"/>
  <c r="S719" i="5"/>
  <c r="R719" i="5"/>
  <c r="S718" i="5"/>
  <c r="R718" i="5"/>
  <c r="S717" i="5"/>
  <c r="R717" i="5"/>
  <c r="S716" i="5"/>
  <c r="R716" i="5"/>
  <c r="S715" i="5"/>
  <c r="R715" i="5"/>
  <c r="S714" i="5"/>
  <c r="R714" i="5"/>
  <c r="S713" i="5"/>
  <c r="R713" i="5"/>
  <c r="S712" i="5"/>
  <c r="R712" i="5"/>
  <c r="S711" i="5"/>
  <c r="R711" i="5"/>
  <c r="S710" i="5"/>
  <c r="R710" i="5"/>
  <c r="S709" i="5"/>
  <c r="R709" i="5"/>
  <c r="S708" i="5"/>
  <c r="R708" i="5"/>
  <c r="S707" i="5"/>
  <c r="R707" i="5"/>
  <c r="S706" i="5"/>
  <c r="R706" i="5"/>
  <c r="S705" i="5"/>
  <c r="R705" i="5"/>
  <c r="S704" i="5"/>
  <c r="R704" i="5"/>
  <c r="S703" i="5"/>
  <c r="R703" i="5"/>
  <c r="S702" i="5"/>
  <c r="R702" i="5"/>
  <c r="S701" i="5"/>
  <c r="R701" i="5"/>
  <c r="S700" i="5"/>
  <c r="R700" i="5"/>
  <c r="S699" i="5"/>
  <c r="R699" i="5"/>
  <c r="S698" i="5"/>
  <c r="R698" i="5"/>
  <c r="S697" i="5"/>
  <c r="R697" i="5"/>
  <c r="S696" i="5"/>
  <c r="R696" i="5"/>
  <c r="S695" i="5"/>
  <c r="R695" i="5"/>
  <c r="S694" i="5"/>
  <c r="R694" i="5"/>
  <c r="S693" i="5"/>
  <c r="R693" i="5"/>
  <c r="S692" i="5"/>
  <c r="R692" i="5"/>
  <c r="S691" i="5"/>
  <c r="R691" i="5"/>
  <c r="S690" i="5"/>
  <c r="R690" i="5"/>
  <c r="S689" i="5"/>
  <c r="R689" i="5"/>
  <c r="S688" i="5"/>
  <c r="R688" i="5"/>
  <c r="S687" i="5"/>
  <c r="R687" i="5"/>
  <c r="S686" i="5"/>
  <c r="R686" i="5"/>
  <c r="S685" i="5"/>
  <c r="R685" i="5"/>
  <c r="S684" i="5"/>
  <c r="R684" i="5"/>
  <c r="S683" i="5"/>
  <c r="R683" i="5"/>
  <c r="S682" i="5"/>
  <c r="R682" i="5"/>
  <c r="S681" i="5"/>
  <c r="R681" i="5"/>
  <c r="S680" i="5"/>
  <c r="R680" i="5"/>
  <c r="S679" i="5"/>
  <c r="R679" i="5"/>
  <c r="S678" i="5"/>
  <c r="R678" i="5"/>
  <c r="S677" i="5"/>
  <c r="R677" i="5"/>
  <c r="S676" i="5"/>
  <c r="R676" i="5"/>
  <c r="S675" i="5"/>
  <c r="R675" i="5"/>
  <c r="S674" i="5"/>
  <c r="R674" i="5"/>
  <c r="S673" i="5"/>
  <c r="R673" i="5"/>
  <c r="S672" i="5"/>
  <c r="R672" i="5"/>
  <c r="S671" i="5"/>
  <c r="R671" i="5"/>
  <c r="S670" i="5"/>
  <c r="R670" i="5"/>
  <c r="S669" i="5"/>
  <c r="R669" i="5"/>
  <c r="S668" i="5"/>
  <c r="R668" i="5"/>
  <c r="S667" i="5"/>
  <c r="R667" i="5"/>
  <c r="S666" i="5"/>
  <c r="R666" i="5"/>
  <c r="S665" i="5"/>
  <c r="R665" i="5"/>
  <c r="S664" i="5"/>
  <c r="R664" i="5"/>
  <c r="S663" i="5"/>
  <c r="R663" i="5"/>
  <c r="S662" i="5"/>
  <c r="R662" i="5"/>
  <c r="S661" i="5"/>
  <c r="R661" i="5"/>
  <c r="S660" i="5"/>
  <c r="R660" i="5"/>
  <c r="S659" i="5"/>
  <c r="R659" i="5"/>
  <c r="S658" i="5"/>
  <c r="R658" i="5"/>
  <c r="S657" i="5"/>
  <c r="R657" i="5"/>
  <c r="S656" i="5"/>
  <c r="R656" i="5"/>
  <c r="S655" i="5"/>
  <c r="R655" i="5"/>
  <c r="S654" i="5"/>
  <c r="R654" i="5"/>
  <c r="S653" i="5"/>
  <c r="R653" i="5"/>
  <c r="S652" i="5"/>
  <c r="R652" i="5"/>
  <c r="S651" i="5"/>
  <c r="R651" i="5"/>
  <c r="S650" i="5"/>
  <c r="R650" i="5"/>
  <c r="S649" i="5"/>
  <c r="R649" i="5"/>
  <c r="S648" i="5"/>
  <c r="R648" i="5"/>
  <c r="S647" i="5"/>
  <c r="R647" i="5"/>
  <c r="S646" i="5"/>
  <c r="R646" i="5"/>
  <c r="S645" i="5"/>
  <c r="R645" i="5"/>
  <c r="S644" i="5"/>
  <c r="R644" i="5"/>
  <c r="S643" i="5"/>
  <c r="R643" i="5"/>
  <c r="S642" i="5"/>
  <c r="R642" i="5"/>
  <c r="S641" i="5"/>
  <c r="R641" i="5"/>
  <c r="S640" i="5"/>
  <c r="R640" i="5"/>
  <c r="S639" i="5"/>
  <c r="R639" i="5"/>
  <c r="S638" i="5"/>
  <c r="R638" i="5"/>
  <c r="S637" i="5"/>
  <c r="R637" i="5"/>
  <c r="S636" i="5"/>
  <c r="R636" i="5"/>
  <c r="S635" i="5"/>
  <c r="R635" i="5"/>
  <c r="S634" i="5"/>
  <c r="R634" i="5"/>
  <c r="S633" i="5"/>
  <c r="R633" i="5"/>
  <c r="S632" i="5"/>
  <c r="R632" i="5"/>
  <c r="S631" i="5"/>
  <c r="R631" i="5"/>
  <c r="S630" i="5"/>
  <c r="R630" i="5"/>
  <c r="S629" i="5"/>
  <c r="R629" i="5"/>
  <c r="S628" i="5"/>
  <c r="R628" i="5"/>
  <c r="S627" i="5"/>
  <c r="R627" i="5"/>
  <c r="S626" i="5"/>
  <c r="R626" i="5"/>
  <c r="S625" i="5"/>
  <c r="R625" i="5"/>
  <c r="S624" i="5"/>
  <c r="R624" i="5"/>
  <c r="S623" i="5"/>
  <c r="R623" i="5"/>
  <c r="S622" i="5"/>
  <c r="R622" i="5"/>
  <c r="S621" i="5"/>
  <c r="R621" i="5"/>
  <c r="S620" i="5"/>
  <c r="R620" i="5"/>
  <c r="S619" i="5"/>
  <c r="R619" i="5"/>
  <c r="S618" i="5"/>
  <c r="R618" i="5"/>
  <c r="S617" i="5"/>
  <c r="R617" i="5"/>
  <c r="S616" i="5"/>
  <c r="R616" i="5"/>
  <c r="S615" i="5"/>
  <c r="R615" i="5"/>
  <c r="S614" i="5"/>
  <c r="R614" i="5"/>
  <c r="S613" i="5"/>
  <c r="R613" i="5"/>
  <c r="S612" i="5"/>
  <c r="R612" i="5"/>
  <c r="S611" i="5"/>
  <c r="R611" i="5"/>
  <c r="S610" i="5"/>
  <c r="R610" i="5"/>
  <c r="S609" i="5"/>
  <c r="R609" i="5"/>
  <c r="S608" i="5"/>
  <c r="R608" i="5"/>
  <c r="S607" i="5"/>
  <c r="R607" i="5"/>
  <c r="S606" i="5"/>
  <c r="R606" i="5"/>
  <c r="S605" i="5"/>
  <c r="R605" i="5"/>
  <c r="S604" i="5"/>
  <c r="R604" i="5"/>
  <c r="S603" i="5"/>
  <c r="R603" i="5"/>
  <c r="S602" i="5"/>
  <c r="R602" i="5"/>
  <c r="S601" i="5"/>
  <c r="R601" i="5"/>
  <c r="S600" i="5"/>
  <c r="R600" i="5"/>
  <c r="S599" i="5"/>
  <c r="R599" i="5"/>
  <c r="S598" i="5"/>
  <c r="R598" i="5"/>
  <c r="S597" i="5"/>
  <c r="R597" i="5"/>
  <c r="S596" i="5"/>
  <c r="R596" i="5"/>
  <c r="S595" i="5"/>
  <c r="R595" i="5"/>
  <c r="S594" i="5"/>
  <c r="R594" i="5"/>
  <c r="S593" i="5"/>
  <c r="R593" i="5"/>
  <c r="S592" i="5"/>
  <c r="R592" i="5"/>
  <c r="S591" i="5"/>
  <c r="R591" i="5"/>
  <c r="S590" i="5"/>
  <c r="R590" i="5"/>
  <c r="S589" i="5"/>
  <c r="R589" i="5"/>
  <c r="S588" i="5"/>
  <c r="R588" i="5"/>
  <c r="S587" i="5"/>
  <c r="R587" i="5"/>
  <c r="S586" i="5"/>
  <c r="R586" i="5"/>
  <c r="S585" i="5"/>
  <c r="R585" i="5"/>
  <c r="S584" i="5"/>
  <c r="R584" i="5"/>
  <c r="S583" i="5"/>
  <c r="R583" i="5"/>
  <c r="S582" i="5"/>
  <c r="R582" i="5"/>
  <c r="S581" i="5"/>
  <c r="R581" i="5"/>
  <c r="S580" i="5"/>
  <c r="R580" i="5"/>
  <c r="S579" i="5"/>
  <c r="R579" i="5"/>
  <c r="S578" i="5"/>
  <c r="R578" i="5"/>
  <c r="S577" i="5"/>
  <c r="R577" i="5"/>
  <c r="S576" i="5"/>
  <c r="R576" i="5"/>
  <c r="S575" i="5"/>
  <c r="R575" i="5"/>
  <c r="S574" i="5"/>
  <c r="R574" i="5"/>
  <c r="S573" i="5"/>
  <c r="R573" i="5"/>
  <c r="S572" i="5"/>
  <c r="R572" i="5"/>
  <c r="S571" i="5"/>
  <c r="R571" i="5"/>
  <c r="S570" i="5"/>
  <c r="R570" i="5"/>
  <c r="S569" i="5"/>
  <c r="R569" i="5"/>
  <c r="S568" i="5"/>
  <c r="R568" i="5"/>
  <c r="S567" i="5"/>
  <c r="R567" i="5"/>
  <c r="S566" i="5"/>
  <c r="R566" i="5"/>
  <c r="S565" i="5"/>
  <c r="R565" i="5"/>
  <c r="S564" i="5"/>
  <c r="R564" i="5"/>
  <c r="S563" i="5"/>
  <c r="R563" i="5"/>
  <c r="S562" i="5"/>
  <c r="R562" i="5"/>
  <c r="S561" i="5"/>
  <c r="R561" i="5"/>
  <c r="S560" i="5"/>
  <c r="R560" i="5"/>
  <c r="S559" i="5"/>
  <c r="R559" i="5"/>
  <c r="S558" i="5"/>
  <c r="R558" i="5"/>
  <c r="S557" i="5"/>
  <c r="R557" i="5"/>
  <c r="S556" i="5"/>
  <c r="R556" i="5"/>
  <c r="S555" i="5"/>
  <c r="R555" i="5"/>
  <c r="S554" i="5"/>
  <c r="R554" i="5"/>
  <c r="S553" i="5"/>
  <c r="R553" i="5"/>
  <c r="S552" i="5"/>
  <c r="R552" i="5"/>
  <c r="S551" i="5"/>
  <c r="R551" i="5"/>
  <c r="S550" i="5"/>
  <c r="R550" i="5"/>
  <c r="S549" i="5"/>
  <c r="R549" i="5"/>
  <c r="S548" i="5"/>
  <c r="R548" i="5"/>
  <c r="S547" i="5"/>
  <c r="R547" i="5"/>
  <c r="S546" i="5"/>
  <c r="R546" i="5"/>
  <c r="S545" i="5"/>
  <c r="R545" i="5"/>
  <c r="S544" i="5"/>
  <c r="R544" i="5"/>
  <c r="S543" i="5"/>
  <c r="R543" i="5"/>
  <c r="S542" i="5"/>
  <c r="R542" i="5"/>
  <c r="S541" i="5"/>
  <c r="R541" i="5"/>
  <c r="S540" i="5"/>
  <c r="R540" i="5"/>
  <c r="S539" i="5"/>
  <c r="R539" i="5"/>
  <c r="S538" i="5"/>
  <c r="R538" i="5"/>
  <c r="S537" i="5"/>
  <c r="R537" i="5"/>
  <c r="S536" i="5"/>
  <c r="R536" i="5"/>
  <c r="S535" i="5"/>
  <c r="R535" i="5"/>
  <c r="S534" i="5"/>
  <c r="R534" i="5"/>
  <c r="S533" i="5"/>
  <c r="R533" i="5"/>
  <c r="S532" i="5"/>
  <c r="R532" i="5"/>
  <c r="S531" i="5"/>
  <c r="R531" i="5"/>
  <c r="S530" i="5"/>
  <c r="R530" i="5"/>
  <c r="S529" i="5"/>
  <c r="R529" i="5"/>
  <c r="S528" i="5"/>
  <c r="R528" i="5"/>
  <c r="S527" i="5"/>
  <c r="R527" i="5"/>
  <c r="S526" i="5"/>
  <c r="R526" i="5"/>
  <c r="S525" i="5"/>
  <c r="R525" i="5"/>
  <c r="S524" i="5"/>
  <c r="R524" i="5"/>
  <c r="S523" i="5"/>
  <c r="R523" i="5"/>
  <c r="S522" i="5"/>
  <c r="R522" i="5"/>
  <c r="S521" i="5"/>
  <c r="R521" i="5"/>
  <c r="S520" i="5"/>
  <c r="R520" i="5"/>
  <c r="S519" i="5"/>
  <c r="R519" i="5"/>
  <c r="S518" i="5"/>
  <c r="R518" i="5"/>
  <c r="S517" i="5"/>
  <c r="R517" i="5"/>
  <c r="S516" i="5"/>
  <c r="R516" i="5"/>
  <c r="S515" i="5"/>
  <c r="R515" i="5"/>
  <c r="S514" i="5"/>
  <c r="R514" i="5"/>
  <c r="S513" i="5"/>
  <c r="R513" i="5"/>
  <c r="S512" i="5"/>
  <c r="R512" i="5"/>
  <c r="S511" i="5"/>
  <c r="R511" i="5"/>
  <c r="S510" i="5"/>
  <c r="R510" i="5"/>
  <c r="S509" i="5"/>
  <c r="R509" i="5"/>
  <c r="S508" i="5"/>
  <c r="R508" i="5"/>
  <c r="S507" i="5"/>
  <c r="R507" i="5"/>
  <c r="S506" i="5"/>
  <c r="R506" i="5"/>
  <c r="S505" i="5"/>
  <c r="R505" i="5"/>
  <c r="S504" i="5"/>
  <c r="R504" i="5"/>
  <c r="S503" i="5"/>
  <c r="R503" i="5"/>
  <c r="S502" i="5"/>
  <c r="R502" i="5"/>
  <c r="S501" i="5"/>
  <c r="R501" i="5"/>
  <c r="S500" i="5"/>
  <c r="R500" i="5"/>
  <c r="S499" i="5"/>
  <c r="R499" i="5"/>
  <c r="S498" i="5"/>
  <c r="R498" i="5"/>
  <c r="S497" i="5"/>
  <c r="R497" i="5"/>
  <c r="S496" i="5"/>
  <c r="R496" i="5"/>
  <c r="S495" i="5"/>
  <c r="R495" i="5"/>
  <c r="S494" i="5"/>
  <c r="R494" i="5"/>
  <c r="S493" i="5"/>
  <c r="R493" i="5"/>
  <c r="S492" i="5"/>
  <c r="R492" i="5"/>
  <c r="S491" i="5"/>
  <c r="R491" i="5"/>
  <c r="S490" i="5"/>
  <c r="R490" i="5"/>
  <c r="S489" i="5"/>
  <c r="R489" i="5"/>
  <c r="S488" i="5"/>
  <c r="R488" i="5"/>
  <c r="S487" i="5"/>
  <c r="R487" i="5"/>
  <c r="S486" i="5"/>
  <c r="R486" i="5"/>
  <c r="S485" i="5"/>
  <c r="R485" i="5"/>
  <c r="S484" i="5"/>
  <c r="R484" i="5"/>
  <c r="S483" i="5"/>
  <c r="R483" i="5"/>
  <c r="S482" i="5"/>
  <c r="R482" i="5"/>
  <c r="S481" i="5"/>
  <c r="R481" i="5"/>
  <c r="S480" i="5"/>
  <c r="R480" i="5"/>
  <c r="S479" i="5"/>
  <c r="R479" i="5"/>
  <c r="S478" i="5"/>
  <c r="R478" i="5"/>
  <c r="S477" i="5"/>
  <c r="R477" i="5"/>
  <c r="S476" i="5"/>
  <c r="R476" i="5"/>
  <c r="S475" i="5"/>
  <c r="R475" i="5"/>
  <c r="S474" i="5"/>
  <c r="R474" i="5"/>
  <c r="S473" i="5"/>
  <c r="R473" i="5"/>
  <c r="S472" i="5"/>
  <c r="R472" i="5"/>
  <c r="S471" i="5"/>
  <c r="R471" i="5"/>
  <c r="S470" i="5"/>
  <c r="R470" i="5"/>
  <c r="S469" i="5"/>
  <c r="R469" i="5"/>
  <c r="S468" i="5"/>
  <c r="R468" i="5"/>
  <c r="S467" i="5"/>
  <c r="R467" i="5"/>
  <c r="S466" i="5"/>
  <c r="R466" i="5"/>
  <c r="S465" i="5"/>
  <c r="R465" i="5"/>
  <c r="S464" i="5"/>
  <c r="R464" i="5"/>
  <c r="S463" i="5"/>
  <c r="R463" i="5"/>
  <c r="S462" i="5"/>
  <c r="R462" i="5"/>
  <c r="S461" i="5"/>
  <c r="R461" i="5"/>
  <c r="S460" i="5"/>
  <c r="R460" i="5"/>
  <c r="S459" i="5"/>
  <c r="R459" i="5"/>
  <c r="S458" i="5"/>
  <c r="R458" i="5"/>
  <c r="S457" i="5"/>
  <c r="R457" i="5"/>
  <c r="S456" i="5"/>
  <c r="R456" i="5"/>
  <c r="S455" i="5"/>
  <c r="R455" i="5"/>
  <c r="S454" i="5"/>
  <c r="R454" i="5"/>
  <c r="S453" i="5"/>
  <c r="R453" i="5"/>
  <c r="S452" i="5"/>
  <c r="R452" i="5"/>
  <c r="S451" i="5"/>
  <c r="R451" i="5"/>
  <c r="S450" i="5"/>
  <c r="R450" i="5"/>
  <c r="S449" i="5"/>
  <c r="R449" i="5"/>
  <c r="S448" i="5"/>
  <c r="R448" i="5"/>
  <c r="S447" i="5"/>
  <c r="R447" i="5"/>
  <c r="S446" i="5"/>
  <c r="R446" i="5"/>
  <c r="S445" i="5"/>
  <c r="R445" i="5"/>
  <c r="S444" i="5"/>
  <c r="R444" i="5"/>
  <c r="S443" i="5"/>
  <c r="R443" i="5"/>
  <c r="S442" i="5"/>
  <c r="R442" i="5"/>
  <c r="S441" i="5"/>
  <c r="R441" i="5"/>
  <c r="S440" i="5"/>
  <c r="R440" i="5"/>
  <c r="S439" i="5"/>
  <c r="R439" i="5"/>
  <c r="S438" i="5"/>
  <c r="R438" i="5"/>
  <c r="S437" i="5"/>
  <c r="R437" i="5"/>
  <c r="S436" i="5"/>
  <c r="R436" i="5"/>
  <c r="S435" i="5"/>
  <c r="R435" i="5"/>
  <c r="S434" i="5"/>
  <c r="R434" i="5"/>
  <c r="S433" i="5"/>
  <c r="R433" i="5"/>
  <c r="S432" i="5"/>
  <c r="R432" i="5"/>
  <c r="S431" i="5"/>
  <c r="R431" i="5"/>
  <c r="S430" i="5"/>
  <c r="R430" i="5"/>
  <c r="S429" i="5"/>
  <c r="R429" i="5"/>
  <c r="S428" i="5"/>
  <c r="R428" i="5"/>
  <c r="S427" i="5"/>
  <c r="R427" i="5"/>
  <c r="S426" i="5"/>
  <c r="R426" i="5"/>
  <c r="S425" i="5"/>
  <c r="R425" i="5"/>
  <c r="S424" i="5"/>
  <c r="R424" i="5"/>
  <c r="S423" i="5"/>
  <c r="R423" i="5"/>
  <c r="S422" i="5"/>
  <c r="R422" i="5"/>
  <c r="S421" i="5"/>
  <c r="R421" i="5"/>
  <c r="S420" i="5"/>
  <c r="R420" i="5"/>
  <c r="S419" i="5"/>
  <c r="R419" i="5"/>
  <c r="S418" i="5"/>
  <c r="R418" i="5"/>
  <c r="S417" i="5"/>
  <c r="R417" i="5"/>
  <c r="S416" i="5"/>
  <c r="R416" i="5"/>
  <c r="S415" i="5"/>
  <c r="R415" i="5"/>
  <c r="S414" i="5"/>
  <c r="R414" i="5"/>
  <c r="S413" i="5"/>
  <c r="R413" i="5"/>
  <c r="S412" i="5"/>
  <c r="R412" i="5"/>
  <c r="S411" i="5"/>
  <c r="R411" i="5"/>
  <c r="S410" i="5"/>
  <c r="R410" i="5"/>
  <c r="S409" i="5"/>
  <c r="R409" i="5"/>
  <c r="S408" i="5"/>
  <c r="R408" i="5"/>
  <c r="S407" i="5"/>
  <c r="R407" i="5"/>
  <c r="S406" i="5"/>
  <c r="R406" i="5"/>
  <c r="S405" i="5"/>
  <c r="R405" i="5"/>
  <c r="S404" i="5"/>
  <c r="R404" i="5"/>
  <c r="S403" i="5"/>
  <c r="R403" i="5"/>
  <c r="S402" i="5"/>
  <c r="R402" i="5"/>
  <c r="S401" i="5"/>
  <c r="R401" i="5"/>
  <c r="S400" i="5"/>
  <c r="R400" i="5"/>
  <c r="S399" i="5"/>
  <c r="R399" i="5"/>
  <c r="S398" i="5"/>
  <c r="R398" i="5"/>
  <c r="S397" i="5"/>
  <c r="R397" i="5"/>
  <c r="S396" i="5"/>
  <c r="R396" i="5"/>
  <c r="S395" i="5"/>
  <c r="R395" i="5"/>
  <c r="S394" i="5"/>
  <c r="R394" i="5"/>
  <c r="S393" i="5"/>
  <c r="R393" i="5"/>
  <c r="S392" i="5"/>
  <c r="R392" i="5"/>
  <c r="S391" i="5"/>
  <c r="R391" i="5"/>
  <c r="S390" i="5"/>
  <c r="R390" i="5"/>
  <c r="S389" i="5"/>
  <c r="R389" i="5"/>
  <c r="S388" i="5"/>
  <c r="R388" i="5"/>
  <c r="S387" i="5"/>
  <c r="R387" i="5"/>
  <c r="S386" i="5"/>
  <c r="R386" i="5"/>
  <c r="S385" i="5"/>
  <c r="R385" i="5"/>
  <c r="S384" i="5"/>
  <c r="R384" i="5"/>
  <c r="S383" i="5"/>
  <c r="R383" i="5"/>
  <c r="S382" i="5"/>
  <c r="R382" i="5"/>
  <c r="S381" i="5"/>
  <c r="R381" i="5"/>
  <c r="S380" i="5"/>
  <c r="R380" i="5"/>
  <c r="S379" i="5"/>
  <c r="R379" i="5"/>
  <c r="S378" i="5"/>
  <c r="R378" i="5"/>
  <c r="S377" i="5"/>
  <c r="R377" i="5"/>
  <c r="S376" i="5"/>
  <c r="R376" i="5"/>
  <c r="S375" i="5"/>
  <c r="R375" i="5"/>
  <c r="S374" i="5"/>
  <c r="R374" i="5"/>
  <c r="S373" i="5"/>
  <c r="R373" i="5"/>
  <c r="S372" i="5"/>
  <c r="R372" i="5"/>
  <c r="S371" i="5"/>
  <c r="R371" i="5"/>
  <c r="S370" i="5"/>
  <c r="R370" i="5"/>
  <c r="S369" i="5"/>
  <c r="R369" i="5"/>
  <c r="S368" i="5"/>
  <c r="R368" i="5"/>
  <c r="S367" i="5"/>
  <c r="R367" i="5"/>
  <c r="S366" i="5"/>
  <c r="R366" i="5"/>
  <c r="S365" i="5"/>
  <c r="R365" i="5"/>
  <c r="S364" i="5"/>
  <c r="R364" i="5"/>
  <c r="S363" i="5"/>
  <c r="R363" i="5"/>
  <c r="S362" i="5"/>
  <c r="R362" i="5"/>
  <c r="S361" i="5"/>
  <c r="R361" i="5"/>
  <c r="S360" i="5"/>
  <c r="R360" i="5"/>
  <c r="S359" i="5"/>
  <c r="R359" i="5"/>
  <c r="S358" i="5"/>
  <c r="R358" i="5"/>
  <c r="S357" i="5"/>
  <c r="R357" i="5"/>
  <c r="S356" i="5"/>
  <c r="R356" i="5"/>
  <c r="S355" i="5"/>
  <c r="R355" i="5"/>
  <c r="S354" i="5"/>
  <c r="R354" i="5"/>
  <c r="S353" i="5"/>
  <c r="R353" i="5"/>
  <c r="S352" i="5"/>
  <c r="R352" i="5"/>
  <c r="S351" i="5"/>
  <c r="R351" i="5"/>
  <c r="S350" i="5"/>
  <c r="R350" i="5"/>
  <c r="S349" i="5"/>
  <c r="R349" i="5"/>
  <c r="S348" i="5"/>
  <c r="R348" i="5"/>
  <c r="S347" i="5"/>
  <c r="R347" i="5"/>
  <c r="S346" i="5"/>
  <c r="R346" i="5"/>
  <c r="S345" i="5"/>
  <c r="R345" i="5"/>
  <c r="S344" i="5"/>
  <c r="R344" i="5"/>
  <c r="S343" i="5"/>
  <c r="R343" i="5"/>
  <c r="S342" i="5"/>
  <c r="R342" i="5"/>
  <c r="S341" i="5"/>
  <c r="R341" i="5"/>
  <c r="S340" i="5"/>
  <c r="R340" i="5"/>
  <c r="S339" i="5"/>
  <c r="R339" i="5"/>
  <c r="S338" i="5"/>
  <c r="R338" i="5"/>
  <c r="S337" i="5"/>
  <c r="R337" i="5"/>
  <c r="S336" i="5"/>
  <c r="R336" i="5"/>
  <c r="S335" i="5"/>
  <c r="R335" i="5"/>
  <c r="S334" i="5"/>
  <c r="R334" i="5"/>
  <c r="S333" i="5"/>
  <c r="R333" i="5"/>
  <c r="S332" i="5"/>
  <c r="R332" i="5"/>
  <c r="S331" i="5"/>
  <c r="R331" i="5"/>
  <c r="S330" i="5"/>
  <c r="R330" i="5"/>
  <c r="S329" i="5"/>
  <c r="R329" i="5"/>
  <c r="S328" i="5"/>
  <c r="R328" i="5"/>
  <c r="S327" i="5"/>
  <c r="R327" i="5"/>
  <c r="S326" i="5"/>
  <c r="R326" i="5"/>
  <c r="S325" i="5"/>
  <c r="R325" i="5"/>
  <c r="S324" i="5"/>
  <c r="R324" i="5"/>
  <c r="S323" i="5"/>
  <c r="R323" i="5"/>
  <c r="S322" i="5"/>
  <c r="R322" i="5"/>
  <c r="S321" i="5"/>
  <c r="R321" i="5"/>
  <c r="S320" i="5"/>
  <c r="R320" i="5"/>
  <c r="S319" i="5"/>
  <c r="R319" i="5"/>
  <c r="S318" i="5"/>
  <c r="R318" i="5"/>
  <c r="S317" i="5"/>
  <c r="R317" i="5"/>
  <c r="S316" i="5"/>
  <c r="R316" i="5"/>
  <c r="S315" i="5"/>
  <c r="R315" i="5"/>
  <c r="S314" i="5"/>
  <c r="R314" i="5"/>
  <c r="S313" i="5"/>
  <c r="R313" i="5"/>
  <c r="S312" i="5"/>
  <c r="R312" i="5"/>
  <c r="S311" i="5"/>
  <c r="R311" i="5"/>
  <c r="S310" i="5"/>
  <c r="R310" i="5"/>
  <c r="S309" i="5"/>
  <c r="R309" i="5"/>
  <c r="S308" i="5"/>
  <c r="R308" i="5"/>
  <c r="S307" i="5"/>
  <c r="R307" i="5"/>
  <c r="S306" i="5"/>
  <c r="R306" i="5"/>
  <c r="S305" i="5"/>
  <c r="R305" i="5"/>
  <c r="S304" i="5"/>
  <c r="R304" i="5"/>
  <c r="S303" i="5"/>
  <c r="R303" i="5"/>
  <c r="S302" i="5"/>
  <c r="R302" i="5"/>
  <c r="S301" i="5"/>
  <c r="R301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S294" i="5"/>
  <c r="R294" i="5"/>
  <c r="S293" i="5"/>
  <c r="R293" i="5"/>
  <c r="S292" i="5"/>
  <c r="R292" i="5"/>
  <c r="S291" i="5"/>
  <c r="R291" i="5"/>
  <c r="S290" i="5"/>
  <c r="R290" i="5"/>
  <c r="S289" i="5"/>
  <c r="R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S268" i="5"/>
  <c r="R268" i="5"/>
  <c r="S267" i="5"/>
  <c r="R267" i="5"/>
  <c r="S266" i="5"/>
  <c r="R266" i="5"/>
  <c r="S265" i="5"/>
  <c r="R265" i="5"/>
  <c r="S264" i="5"/>
  <c r="R264" i="5"/>
  <c r="S263" i="5"/>
  <c r="R263" i="5"/>
  <c r="S262" i="5"/>
  <c r="R262" i="5"/>
  <c r="S261" i="5"/>
  <c r="R261" i="5"/>
  <c r="S260" i="5"/>
  <c r="R260" i="5"/>
  <c r="S259" i="5"/>
  <c r="R259" i="5"/>
  <c r="S258" i="5"/>
  <c r="R258" i="5"/>
  <c r="S257" i="5"/>
  <c r="R257" i="5"/>
  <c r="S256" i="5"/>
  <c r="R256" i="5"/>
  <c r="S255" i="5"/>
  <c r="R255" i="5"/>
  <c r="S254" i="5"/>
  <c r="R254" i="5"/>
  <c r="S253" i="5"/>
  <c r="R253" i="5"/>
  <c r="S252" i="5"/>
  <c r="R252" i="5"/>
  <c r="S251" i="5"/>
  <c r="R251" i="5"/>
  <c r="S250" i="5"/>
  <c r="R250" i="5"/>
  <c r="S249" i="5"/>
  <c r="R249" i="5"/>
  <c r="S248" i="5"/>
  <c r="R248" i="5"/>
  <c r="S247" i="5"/>
  <c r="R247" i="5"/>
  <c r="S246" i="5"/>
  <c r="R246" i="5"/>
  <c r="S245" i="5"/>
  <c r="R245" i="5"/>
  <c r="S244" i="5"/>
  <c r="R244" i="5"/>
  <c r="S243" i="5"/>
  <c r="R243" i="5"/>
  <c r="S242" i="5"/>
  <c r="R242" i="5"/>
  <c r="S241" i="5"/>
  <c r="R241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R3" i="5"/>
  <c r="L1" i="5"/>
  <c r="J1" i="5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5" i="4"/>
  <c r="X547" i="4"/>
  <c r="X549" i="4"/>
  <c r="X551" i="4"/>
  <c r="X555" i="4"/>
  <c r="X560" i="4"/>
  <c r="X562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7" i="4"/>
  <c r="X691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I943" i="4"/>
  <c r="W1525" i="4"/>
  <c r="I1525" i="4"/>
  <c r="W1524" i="4"/>
  <c r="I1524" i="4"/>
  <c r="W1523" i="4"/>
  <c r="I1523" i="4"/>
  <c r="W1522" i="4"/>
  <c r="I1522" i="4"/>
  <c r="W1521" i="4"/>
  <c r="I1521" i="4"/>
  <c r="W1520" i="4"/>
  <c r="I1520" i="4"/>
  <c r="W1519" i="4"/>
  <c r="I1519" i="4"/>
  <c r="W1518" i="4"/>
  <c r="I1518" i="4"/>
  <c r="W1517" i="4"/>
  <c r="I1517" i="4"/>
  <c r="W1516" i="4"/>
  <c r="I1516" i="4"/>
  <c r="W1515" i="4"/>
  <c r="I1515" i="4"/>
  <c r="W1514" i="4"/>
  <c r="I1514" i="4"/>
  <c r="W1513" i="4"/>
  <c r="I1513" i="4"/>
  <c r="W1512" i="4"/>
  <c r="I1512" i="4"/>
  <c r="W1511" i="4"/>
  <c r="I1511" i="4"/>
  <c r="W1510" i="4"/>
  <c r="I1510" i="4"/>
  <c r="W1509" i="4"/>
  <c r="I1509" i="4"/>
  <c r="W1508" i="4"/>
  <c r="I1508" i="4"/>
  <c r="W1507" i="4"/>
  <c r="I1507" i="4"/>
  <c r="W1506" i="4"/>
  <c r="I1506" i="4"/>
  <c r="W1505" i="4"/>
  <c r="I1505" i="4"/>
  <c r="W1504" i="4"/>
  <c r="I1504" i="4"/>
  <c r="W1503" i="4"/>
  <c r="I1503" i="4"/>
  <c r="W1502" i="4"/>
  <c r="I1502" i="4"/>
  <c r="W1501" i="4"/>
  <c r="I1501" i="4"/>
  <c r="W1500" i="4"/>
  <c r="I1500" i="4"/>
  <c r="W1499" i="4"/>
  <c r="I1499" i="4"/>
  <c r="W1498" i="4"/>
  <c r="I1498" i="4"/>
  <c r="W1497" i="4"/>
  <c r="I1497" i="4"/>
  <c r="W1496" i="4"/>
  <c r="I1496" i="4"/>
  <c r="W1495" i="4"/>
  <c r="I1495" i="4"/>
  <c r="W1494" i="4"/>
  <c r="I1494" i="4"/>
  <c r="W1493" i="4"/>
  <c r="I1493" i="4"/>
  <c r="W1492" i="4"/>
  <c r="I1492" i="4"/>
  <c r="W1491" i="4"/>
  <c r="I1491" i="4"/>
  <c r="W1490" i="4"/>
  <c r="I1490" i="4"/>
  <c r="W1489" i="4"/>
  <c r="I1489" i="4"/>
  <c r="W1488" i="4"/>
  <c r="I1488" i="4"/>
  <c r="W1487" i="4"/>
  <c r="I1487" i="4"/>
  <c r="W1486" i="4"/>
  <c r="I1486" i="4"/>
  <c r="W1485" i="4"/>
  <c r="I1485" i="4"/>
  <c r="W1484" i="4"/>
  <c r="I1484" i="4"/>
  <c r="W1483" i="4"/>
  <c r="I1483" i="4"/>
  <c r="W1482" i="4"/>
  <c r="I1482" i="4"/>
  <c r="W1481" i="4"/>
  <c r="I1481" i="4"/>
  <c r="W1480" i="4"/>
  <c r="I1480" i="4"/>
  <c r="W1479" i="4"/>
  <c r="I1479" i="4"/>
  <c r="W1478" i="4"/>
  <c r="I1478" i="4"/>
  <c r="W1477" i="4"/>
  <c r="I1477" i="4"/>
  <c r="W1476" i="4"/>
  <c r="I1476" i="4"/>
  <c r="W1475" i="4"/>
  <c r="I1475" i="4"/>
  <c r="W1474" i="4"/>
  <c r="I1474" i="4"/>
  <c r="W1473" i="4"/>
  <c r="I1473" i="4"/>
  <c r="W1472" i="4"/>
  <c r="I1472" i="4"/>
  <c r="W1471" i="4"/>
  <c r="I1471" i="4"/>
  <c r="W1470" i="4"/>
  <c r="I1470" i="4"/>
  <c r="W1469" i="4"/>
  <c r="I1469" i="4"/>
  <c r="W1468" i="4"/>
  <c r="I1468" i="4"/>
  <c r="W1467" i="4"/>
  <c r="I1467" i="4"/>
  <c r="W1466" i="4"/>
  <c r="I1466" i="4"/>
  <c r="W1465" i="4"/>
  <c r="I1465" i="4"/>
  <c r="W1464" i="4"/>
  <c r="I1464" i="4"/>
  <c r="W1463" i="4"/>
  <c r="I1463" i="4"/>
  <c r="W1462" i="4"/>
  <c r="I1462" i="4"/>
  <c r="W1461" i="4"/>
  <c r="I1461" i="4"/>
  <c r="W1460" i="4"/>
  <c r="I1460" i="4"/>
  <c r="W1459" i="4"/>
  <c r="I1459" i="4"/>
  <c r="W1458" i="4"/>
  <c r="I1458" i="4"/>
  <c r="W1457" i="4"/>
  <c r="I1457" i="4"/>
  <c r="W1456" i="4"/>
  <c r="I1456" i="4"/>
  <c r="W1455" i="4"/>
  <c r="I1455" i="4"/>
  <c r="W1454" i="4"/>
  <c r="I1454" i="4"/>
  <c r="W1453" i="4"/>
  <c r="I1453" i="4"/>
  <c r="W1452" i="4"/>
  <c r="I1452" i="4"/>
  <c r="W1451" i="4"/>
  <c r="I1451" i="4"/>
  <c r="W1450" i="4"/>
  <c r="I1450" i="4"/>
  <c r="W1449" i="4"/>
  <c r="I1449" i="4"/>
  <c r="W1448" i="4"/>
  <c r="I1448" i="4"/>
  <c r="W1447" i="4"/>
  <c r="I1447" i="4"/>
  <c r="W1446" i="4"/>
  <c r="I1446" i="4"/>
  <c r="W1445" i="4"/>
  <c r="I1445" i="4"/>
  <c r="W1444" i="4"/>
  <c r="I1444" i="4"/>
  <c r="W1443" i="4"/>
  <c r="I1443" i="4"/>
  <c r="W1442" i="4"/>
  <c r="I1442" i="4"/>
  <c r="W1441" i="4"/>
  <c r="I1441" i="4"/>
  <c r="W1440" i="4"/>
  <c r="I1440" i="4"/>
  <c r="W1439" i="4"/>
  <c r="I1439" i="4"/>
  <c r="W1438" i="4"/>
  <c r="I1438" i="4"/>
  <c r="W1437" i="4"/>
  <c r="I1437" i="4"/>
  <c r="W1436" i="4"/>
  <c r="I1436" i="4"/>
  <c r="W1435" i="4"/>
  <c r="I1435" i="4"/>
  <c r="W1434" i="4"/>
  <c r="I1434" i="4"/>
  <c r="W1433" i="4"/>
  <c r="I1433" i="4"/>
  <c r="W1432" i="4"/>
  <c r="I1432" i="4"/>
  <c r="W1431" i="4"/>
  <c r="I1431" i="4"/>
  <c r="W1430" i="4"/>
  <c r="I1430" i="4"/>
  <c r="W1429" i="4"/>
  <c r="I1429" i="4"/>
  <c r="W1428" i="4"/>
  <c r="I1428" i="4"/>
  <c r="W1427" i="4"/>
  <c r="I1427" i="4"/>
  <c r="W1426" i="4"/>
  <c r="I1426" i="4"/>
  <c r="W1425" i="4"/>
  <c r="I1425" i="4"/>
  <c r="W1424" i="4"/>
  <c r="I1424" i="4"/>
  <c r="W1423" i="4"/>
  <c r="I1423" i="4"/>
  <c r="W1422" i="4"/>
  <c r="I1422" i="4"/>
  <c r="W1421" i="4"/>
  <c r="I1421" i="4"/>
  <c r="W1420" i="4"/>
  <c r="I1420" i="4"/>
  <c r="W1419" i="4"/>
  <c r="I1419" i="4"/>
  <c r="W1418" i="4"/>
  <c r="I1418" i="4"/>
  <c r="W1417" i="4"/>
  <c r="I1417" i="4"/>
  <c r="W1416" i="4"/>
  <c r="I1416" i="4"/>
  <c r="W1415" i="4"/>
  <c r="I1415" i="4"/>
  <c r="W1414" i="4"/>
  <c r="I1414" i="4"/>
  <c r="W1413" i="4"/>
  <c r="I1413" i="4"/>
  <c r="W1412" i="4"/>
  <c r="I1412" i="4"/>
  <c r="W1411" i="4"/>
  <c r="I1411" i="4"/>
  <c r="W1410" i="4"/>
  <c r="I1410" i="4"/>
  <c r="W1409" i="4"/>
  <c r="I1409" i="4"/>
  <c r="W1408" i="4"/>
  <c r="I1408" i="4"/>
  <c r="W1407" i="4"/>
  <c r="I1407" i="4"/>
  <c r="W1406" i="4"/>
  <c r="I1406" i="4"/>
  <c r="W1405" i="4"/>
  <c r="I1405" i="4"/>
  <c r="W1404" i="4"/>
  <c r="I1404" i="4"/>
  <c r="W1403" i="4"/>
  <c r="I1403" i="4"/>
  <c r="W1402" i="4"/>
  <c r="I1402" i="4"/>
  <c r="W1401" i="4"/>
  <c r="I1401" i="4"/>
  <c r="W1400" i="4"/>
  <c r="I1400" i="4"/>
  <c r="W1399" i="4"/>
  <c r="I1399" i="4"/>
  <c r="W1398" i="4"/>
  <c r="I1398" i="4"/>
  <c r="W1397" i="4"/>
  <c r="I1397" i="4"/>
  <c r="W1396" i="4"/>
  <c r="I1396" i="4"/>
  <c r="W1395" i="4"/>
  <c r="I1395" i="4"/>
  <c r="W1394" i="4"/>
  <c r="I1394" i="4"/>
  <c r="W1393" i="4"/>
  <c r="I1393" i="4"/>
  <c r="W1392" i="4"/>
  <c r="I1392" i="4"/>
  <c r="W1391" i="4"/>
  <c r="I1391" i="4"/>
  <c r="W1390" i="4"/>
  <c r="I1390" i="4"/>
  <c r="W1389" i="4"/>
  <c r="I1389" i="4"/>
  <c r="W1388" i="4"/>
  <c r="I1388" i="4"/>
  <c r="W1387" i="4"/>
  <c r="I1387" i="4"/>
  <c r="W1386" i="4"/>
  <c r="I1386" i="4"/>
  <c r="W1385" i="4"/>
  <c r="I1385" i="4"/>
  <c r="W1384" i="4"/>
  <c r="I1384" i="4"/>
  <c r="W1383" i="4"/>
  <c r="I1383" i="4"/>
  <c r="W1382" i="4"/>
  <c r="I1382" i="4"/>
  <c r="W1381" i="4"/>
  <c r="I1381" i="4"/>
  <c r="W1380" i="4"/>
  <c r="I1380" i="4"/>
  <c r="W1379" i="4"/>
  <c r="I1379" i="4"/>
  <c r="W1378" i="4"/>
  <c r="I1378" i="4"/>
  <c r="W1377" i="4"/>
  <c r="I1377" i="4"/>
  <c r="W1376" i="4"/>
  <c r="I1376" i="4"/>
  <c r="W1375" i="4"/>
  <c r="I1375" i="4"/>
  <c r="W1374" i="4"/>
  <c r="I1374" i="4"/>
  <c r="W1373" i="4"/>
  <c r="I1373" i="4"/>
  <c r="W1372" i="4"/>
  <c r="I1372" i="4"/>
  <c r="W1371" i="4"/>
  <c r="I1371" i="4"/>
  <c r="W1370" i="4"/>
  <c r="I1370" i="4"/>
  <c r="W1369" i="4"/>
  <c r="I1369" i="4"/>
  <c r="W1368" i="4"/>
  <c r="I1368" i="4"/>
  <c r="W1367" i="4"/>
  <c r="I1367" i="4"/>
  <c r="W1366" i="4"/>
  <c r="I1366" i="4"/>
  <c r="W1365" i="4"/>
  <c r="I1365" i="4"/>
  <c r="W1364" i="4"/>
  <c r="I1364" i="4"/>
  <c r="W1363" i="4"/>
  <c r="I1363" i="4"/>
  <c r="W1362" i="4"/>
  <c r="I1362" i="4"/>
  <c r="W1361" i="4"/>
  <c r="I1361" i="4"/>
  <c r="W1360" i="4"/>
  <c r="I1360" i="4"/>
  <c r="W1359" i="4"/>
  <c r="I1359" i="4"/>
  <c r="W1358" i="4"/>
  <c r="I1358" i="4"/>
  <c r="W1357" i="4"/>
  <c r="I1357" i="4"/>
  <c r="W1356" i="4"/>
  <c r="I1356" i="4"/>
  <c r="W1355" i="4"/>
  <c r="I1355" i="4"/>
  <c r="W1354" i="4"/>
  <c r="I1354" i="4"/>
  <c r="W1353" i="4"/>
  <c r="I1353" i="4"/>
  <c r="W1352" i="4"/>
  <c r="I1352" i="4"/>
  <c r="W1351" i="4"/>
  <c r="I1351" i="4"/>
  <c r="W1350" i="4"/>
  <c r="I1350" i="4"/>
  <c r="W1349" i="4"/>
  <c r="I1349" i="4"/>
  <c r="W1348" i="4"/>
  <c r="I1348" i="4"/>
  <c r="W1347" i="4"/>
  <c r="I1347" i="4"/>
  <c r="W1346" i="4"/>
  <c r="I1346" i="4"/>
  <c r="W1345" i="4"/>
  <c r="I1345" i="4"/>
  <c r="W1344" i="4"/>
  <c r="I1344" i="4"/>
  <c r="W1343" i="4"/>
  <c r="I1343" i="4"/>
  <c r="W1342" i="4"/>
  <c r="I1342" i="4"/>
  <c r="W1341" i="4"/>
  <c r="I1341" i="4"/>
  <c r="W1340" i="4"/>
  <c r="I1340" i="4"/>
  <c r="W1339" i="4"/>
  <c r="I1339" i="4"/>
  <c r="W1338" i="4"/>
  <c r="I1338" i="4"/>
  <c r="W1337" i="4"/>
  <c r="I1337" i="4"/>
  <c r="W1336" i="4"/>
  <c r="I1336" i="4"/>
  <c r="W1335" i="4"/>
  <c r="I1335" i="4"/>
  <c r="W1334" i="4"/>
  <c r="I1334" i="4"/>
  <c r="W1333" i="4"/>
  <c r="I1333" i="4"/>
  <c r="W1332" i="4"/>
  <c r="I1332" i="4"/>
  <c r="W1331" i="4"/>
  <c r="I1331" i="4"/>
  <c r="W1330" i="4"/>
  <c r="I1330" i="4"/>
  <c r="W1329" i="4"/>
  <c r="I1329" i="4"/>
  <c r="W1328" i="4"/>
  <c r="I1328" i="4"/>
  <c r="W1327" i="4"/>
  <c r="I1327" i="4"/>
  <c r="W1326" i="4"/>
  <c r="I1326" i="4"/>
  <c r="W1325" i="4"/>
  <c r="I1325" i="4"/>
  <c r="W1324" i="4"/>
  <c r="I1324" i="4"/>
  <c r="W1323" i="4"/>
  <c r="I1323" i="4"/>
  <c r="W1322" i="4"/>
  <c r="I1322" i="4"/>
  <c r="W1321" i="4"/>
  <c r="I1321" i="4"/>
  <c r="W1320" i="4"/>
  <c r="I1320" i="4"/>
  <c r="W1319" i="4"/>
  <c r="I1319" i="4"/>
  <c r="W1318" i="4"/>
  <c r="I1318" i="4"/>
  <c r="W1317" i="4"/>
  <c r="I1317" i="4"/>
  <c r="W1316" i="4"/>
  <c r="I1316" i="4"/>
  <c r="W1315" i="4"/>
  <c r="I1315" i="4"/>
  <c r="W1314" i="4"/>
  <c r="I1314" i="4"/>
  <c r="W1313" i="4"/>
  <c r="I1313" i="4"/>
  <c r="W1312" i="4"/>
  <c r="I1312" i="4"/>
  <c r="W1311" i="4"/>
  <c r="I1311" i="4"/>
  <c r="W1310" i="4"/>
  <c r="I1310" i="4"/>
  <c r="W1309" i="4"/>
  <c r="I1309" i="4"/>
  <c r="W1308" i="4"/>
  <c r="I1308" i="4"/>
  <c r="W1307" i="4"/>
  <c r="I1307" i="4"/>
  <c r="W1306" i="4"/>
  <c r="I1306" i="4"/>
  <c r="W1305" i="4"/>
  <c r="I1305" i="4"/>
  <c r="W1304" i="4"/>
  <c r="I1304" i="4"/>
  <c r="W1303" i="4"/>
  <c r="I1303" i="4"/>
  <c r="W1302" i="4"/>
  <c r="I1302" i="4"/>
  <c r="W1301" i="4"/>
  <c r="I1301" i="4"/>
  <c r="W1300" i="4"/>
  <c r="I1300" i="4"/>
  <c r="W1299" i="4"/>
  <c r="I1299" i="4"/>
  <c r="W1298" i="4"/>
  <c r="I1298" i="4"/>
  <c r="W1297" i="4"/>
  <c r="I1297" i="4"/>
  <c r="W1296" i="4"/>
  <c r="I1296" i="4"/>
  <c r="W1295" i="4"/>
  <c r="I1295" i="4"/>
  <c r="W1294" i="4"/>
  <c r="I1294" i="4"/>
  <c r="W1293" i="4"/>
  <c r="I1293" i="4"/>
  <c r="W1292" i="4"/>
  <c r="I1292" i="4"/>
  <c r="W1291" i="4"/>
  <c r="I1291" i="4"/>
  <c r="W1290" i="4"/>
  <c r="I1290" i="4"/>
  <c r="W1289" i="4"/>
  <c r="I1289" i="4"/>
  <c r="W1288" i="4"/>
  <c r="I1288" i="4"/>
  <c r="W1287" i="4"/>
  <c r="I1287" i="4"/>
  <c r="W1286" i="4"/>
  <c r="I1286" i="4"/>
  <c r="W1285" i="4"/>
  <c r="I1285" i="4"/>
  <c r="W1284" i="4"/>
  <c r="I1284" i="4"/>
  <c r="W1283" i="4"/>
  <c r="I1283" i="4"/>
  <c r="W1282" i="4"/>
  <c r="I1282" i="4"/>
  <c r="W1281" i="4"/>
  <c r="I1281" i="4"/>
  <c r="W1280" i="4"/>
  <c r="I1280" i="4"/>
  <c r="W1279" i="4"/>
  <c r="I1279" i="4"/>
  <c r="W1278" i="4"/>
  <c r="I1278" i="4"/>
  <c r="W1277" i="4"/>
  <c r="I1277" i="4"/>
  <c r="W1276" i="4"/>
  <c r="I1276" i="4"/>
  <c r="W1275" i="4"/>
  <c r="I1275" i="4"/>
  <c r="W1274" i="4"/>
  <c r="I1274" i="4"/>
  <c r="W1273" i="4"/>
  <c r="I1273" i="4"/>
  <c r="W1272" i="4"/>
  <c r="I1272" i="4"/>
  <c r="W1271" i="4"/>
  <c r="I1271" i="4"/>
  <c r="W1270" i="4"/>
  <c r="I1270" i="4"/>
  <c r="W1269" i="4"/>
  <c r="I1269" i="4"/>
  <c r="W1268" i="4"/>
  <c r="I1268" i="4"/>
  <c r="W1267" i="4"/>
  <c r="I1267" i="4"/>
  <c r="W1266" i="4"/>
  <c r="I1266" i="4"/>
  <c r="W1265" i="4"/>
  <c r="I1265" i="4"/>
  <c r="W1264" i="4"/>
  <c r="I1264" i="4"/>
  <c r="W1263" i="4"/>
  <c r="I1263" i="4"/>
  <c r="W1262" i="4"/>
  <c r="I1262" i="4"/>
  <c r="W1261" i="4"/>
  <c r="I1261" i="4"/>
  <c r="W1260" i="4"/>
  <c r="I1260" i="4"/>
  <c r="W1259" i="4"/>
  <c r="I1259" i="4"/>
  <c r="W1258" i="4"/>
  <c r="I1258" i="4"/>
  <c r="W1257" i="4"/>
  <c r="I1257" i="4"/>
  <c r="W1256" i="4"/>
  <c r="I1256" i="4"/>
  <c r="W1255" i="4"/>
  <c r="I1255" i="4"/>
  <c r="W1254" i="4"/>
  <c r="I1254" i="4"/>
  <c r="W1253" i="4"/>
  <c r="I1253" i="4"/>
  <c r="W1252" i="4"/>
  <c r="I1252" i="4"/>
  <c r="W1251" i="4"/>
  <c r="I1251" i="4"/>
  <c r="W1250" i="4"/>
  <c r="I1250" i="4"/>
  <c r="W1249" i="4"/>
  <c r="I1249" i="4"/>
  <c r="W1248" i="4"/>
  <c r="I1248" i="4"/>
  <c r="W1247" i="4"/>
  <c r="I1247" i="4"/>
  <c r="W1246" i="4"/>
  <c r="I1246" i="4"/>
  <c r="W1245" i="4"/>
  <c r="I1245" i="4"/>
  <c r="W1244" i="4"/>
  <c r="I1244" i="4"/>
  <c r="W1243" i="4"/>
  <c r="I1243" i="4"/>
  <c r="W1242" i="4"/>
  <c r="I1242" i="4"/>
  <c r="W1241" i="4"/>
  <c r="I1241" i="4"/>
  <c r="W1240" i="4"/>
  <c r="I1240" i="4"/>
  <c r="W1239" i="4"/>
  <c r="I1239" i="4"/>
  <c r="W1238" i="4"/>
  <c r="I1238" i="4"/>
  <c r="W1237" i="4"/>
  <c r="I1237" i="4"/>
  <c r="W1236" i="4"/>
  <c r="I1236" i="4"/>
  <c r="W1235" i="4"/>
  <c r="I1235" i="4"/>
  <c r="W1234" i="4"/>
  <c r="I1234" i="4"/>
  <c r="W1233" i="4"/>
  <c r="I1233" i="4"/>
  <c r="W1232" i="4"/>
  <c r="I1232" i="4"/>
  <c r="W1231" i="4"/>
  <c r="I1231" i="4"/>
  <c r="W1230" i="4"/>
  <c r="I1230" i="4"/>
  <c r="W1229" i="4"/>
  <c r="I1229" i="4"/>
  <c r="W1228" i="4"/>
  <c r="I1228" i="4"/>
  <c r="W1227" i="4"/>
  <c r="I1227" i="4"/>
  <c r="W1226" i="4"/>
  <c r="I1226" i="4"/>
  <c r="W1225" i="4"/>
  <c r="I1225" i="4"/>
  <c r="W1224" i="4"/>
  <c r="I1224" i="4"/>
  <c r="W1223" i="4"/>
  <c r="I1223" i="4"/>
  <c r="W1222" i="4"/>
  <c r="I1222" i="4"/>
  <c r="W1221" i="4"/>
  <c r="I1221" i="4"/>
  <c r="W1220" i="4"/>
  <c r="I1220" i="4"/>
  <c r="W1219" i="4"/>
  <c r="I1219" i="4"/>
  <c r="W1218" i="4"/>
  <c r="I1218" i="4"/>
  <c r="W1217" i="4"/>
  <c r="I1217" i="4"/>
  <c r="W1216" i="4"/>
  <c r="I1216" i="4"/>
  <c r="W1215" i="4"/>
  <c r="I1215" i="4"/>
  <c r="W1214" i="4"/>
  <c r="I1214" i="4"/>
  <c r="W1213" i="4"/>
  <c r="I1213" i="4"/>
  <c r="W1212" i="4"/>
  <c r="I1212" i="4"/>
  <c r="W1211" i="4"/>
  <c r="I1211" i="4"/>
  <c r="W1210" i="4"/>
  <c r="I1210" i="4"/>
  <c r="W1209" i="4"/>
  <c r="I1209" i="4"/>
  <c r="W1208" i="4"/>
  <c r="I1208" i="4"/>
  <c r="W1207" i="4"/>
  <c r="I1207" i="4"/>
  <c r="W1206" i="4"/>
  <c r="I1206" i="4"/>
  <c r="W1205" i="4"/>
  <c r="I1205" i="4"/>
  <c r="W1204" i="4"/>
  <c r="I1204" i="4"/>
  <c r="W1203" i="4"/>
  <c r="I1203" i="4"/>
  <c r="W1202" i="4"/>
  <c r="I1202" i="4"/>
  <c r="W1201" i="4"/>
  <c r="I1201" i="4"/>
  <c r="W1200" i="4"/>
  <c r="I1200" i="4"/>
  <c r="W1199" i="4"/>
  <c r="I1199" i="4"/>
  <c r="W1198" i="4"/>
  <c r="I1198" i="4"/>
  <c r="W1197" i="4"/>
  <c r="I1197" i="4"/>
  <c r="W1196" i="4"/>
  <c r="I1196" i="4"/>
  <c r="W1195" i="4"/>
  <c r="I1195" i="4"/>
  <c r="W1194" i="4"/>
  <c r="I1194" i="4"/>
  <c r="W1193" i="4"/>
  <c r="I1193" i="4"/>
  <c r="W1192" i="4"/>
  <c r="I1192" i="4"/>
  <c r="W1191" i="4"/>
  <c r="I1191" i="4"/>
  <c r="W1190" i="4"/>
  <c r="I1190" i="4"/>
  <c r="W1189" i="4"/>
  <c r="I1189" i="4"/>
  <c r="W1188" i="4"/>
  <c r="I1188" i="4"/>
  <c r="W1187" i="4"/>
  <c r="I1187" i="4"/>
  <c r="W1186" i="4"/>
  <c r="I1186" i="4"/>
  <c r="W1185" i="4"/>
  <c r="I1185" i="4"/>
  <c r="W1184" i="4"/>
  <c r="I1184" i="4"/>
  <c r="W1183" i="4"/>
  <c r="I1183" i="4"/>
  <c r="W1182" i="4"/>
  <c r="I1182" i="4"/>
  <c r="W1181" i="4"/>
  <c r="I1181" i="4"/>
  <c r="W1180" i="4"/>
  <c r="I1180" i="4"/>
  <c r="W1179" i="4"/>
  <c r="I1179" i="4"/>
  <c r="W1178" i="4"/>
  <c r="I1178" i="4"/>
  <c r="W1177" i="4"/>
  <c r="I1177" i="4"/>
  <c r="W1176" i="4"/>
  <c r="I1176" i="4"/>
  <c r="W1175" i="4"/>
  <c r="I1175" i="4"/>
  <c r="W1174" i="4"/>
  <c r="I1174" i="4"/>
  <c r="W1173" i="4"/>
  <c r="I1173" i="4"/>
  <c r="W1172" i="4"/>
  <c r="I1172" i="4"/>
  <c r="W1171" i="4"/>
  <c r="I1171" i="4"/>
  <c r="W1170" i="4"/>
  <c r="I1170" i="4"/>
  <c r="W1169" i="4"/>
  <c r="I1169" i="4"/>
  <c r="W1168" i="4"/>
  <c r="I1168" i="4"/>
  <c r="W1167" i="4"/>
  <c r="I1167" i="4"/>
  <c r="W1166" i="4"/>
  <c r="I1166" i="4"/>
  <c r="W1165" i="4"/>
  <c r="I1165" i="4"/>
  <c r="W1164" i="4"/>
  <c r="I1164" i="4"/>
  <c r="W1163" i="4"/>
  <c r="I1163" i="4"/>
  <c r="W1162" i="4"/>
  <c r="I1162" i="4"/>
  <c r="W1161" i="4"/>
  <c r="I1161" i="4"/>
  <c r="W1160" i="4"/>
  <c r="I1160" i="4"/>
  <c r="W1159" i="4"/>
  <c r="I1159" i="4"/>
  <c r="W1158" i="4"/>
  <c r="I1158" i="4"/>
  <c r="W1157" i="4"/>
  <c r="I1157" i="4"/>
  <c r="W1156" i="4"/>
  <c r="I1156" i="4"/>
  <c r="W1155" i="4"/>
  <c r="I1155" i="4"/>
  <c r="W1154" i="4"/>
  <c r="I1154" i="4"/>
  <c r="W1153" i="4"/>
  <c r="I1153" i="4"/>
  <c r="W1152" i="4"/>
  <c r="I1152" i="4"/>
  <c r="W1151" i="4"/>
  <c r="I1151" i="4"/>
  <c r="W1150" i="4"/>
  <c r="I1150" i="4"/>
  <c r="W1149" i="4"/>
  <c r="I1149" i="4"/>
  <c r="W1148" i="4"/>
  <c r="I1148" i="4"/>
  <c r="W1147" i="4"/>
  <c r="I1147" i="4"/>
  <c r="W1146" i="4"/>
  <c r="I1146" i="4"/>
  <c r="W1145" i="4"/>
  <c r="I1145" i="4"/>
  <c r="W1144" i="4"/>
  <c r="I1144" i="4"/>
  <c r="W1143" i="4"/>
  <c r="I1143" i="4"/>
  <c r="W1142" i="4"/>
  <c r="I1142" i="4"/>
  <c r="W1141" i="4"/>
  <c r="I1141" i="4"/>
  <c r="W1140" i="4"/>
  <c r="I1140" i="4"/>
  <c r="W1139" i="4"/>
  <c r="I1139" i="4"/>
  <c r="W1138" i="4"/>
  <c r="I1138" i="4"/>
  <c r="W1137" i="4"/>
  <c r="I1137" i="4"/>
  <c r="W1136" i="4"/>
  <c r="I1136" i="4"/>
  <c r="W1135" i="4"/>
  <c r="I1135" i="4"/>
  <c r="W1134" i="4"/>
  <c r="I1134" i="4"/>
  <c r="W1133" i="4"/>
  <c r="I1133" i="4"/>
  <c r="W1132" i="4"/>
  <c r="I1132" i="4"/>
  <c r="W1131" i="4"/>
  <c r="I1131" i="4"/>
  <c r="W1130" i="4"/>
  <c r="I1130" i="4"/>
  <c r="W1129" i="4"/>
  <c r="I1129" i="4"/>
  <c r="W1128" i="4"/>
  <c r="I1128" i="4"/>
  <c r="W1127" i="4"/>
  <c r="I1127" i="4"/>
  <c r="W1126" i="4"/>
  <c r="I1126" i="4"/>
  <c r="W1125" i="4"/>
  <c r="I1125" i="4"/>
  <c r="W1124" i="4"/>
  <c r="I1124" i="4"/>
  <c r="W1123" i="4"/>
  <c r="I1123" i="4"/>
  <c r="W1122" i="4"/>
  <c r="I1122" i="4"/>
  <c r="W1121" i="4"/>
  <c r="I1121" i="4"/>
  <c r="W1120" i="4"/>
  <c r="I1120" i="4"/>
  <c r="W1119" i="4"/>
  <c r="I1119" i="4"/>
  <c r="W1118" i="4"/>
  <c r="I1118" i="4"/>
  <c r="W1117" i="4"/>
  <c r="I1117" i="4"/>
  <c r="W1116" i="4"/>
  <c r="I1116" i="4"/>
  <c r="W1115" i="4"/>
  <c r="I1115" i="4"/>
  <c r="W1114" i="4"/>
  <c r="I1114" i="4"/>
  <c r="W1113" i="4"/>
  <c r="I1113" i="4"/>
  <c r="W1112" i="4"/>
  <c r="I1112" i="4"/>
  <c r="W1111" i="4"/>
  <c r="I1111" i="4"/>
  <c r="W1110" i="4"/>
  <c r="I1110" i="4"/>
  <c r="W1109" i="4"/>
  <c r="I1109" i="4"/>
  <c r="W1108" i="4"/>
  <c r="I1108" i="4"/>
  <c r="W1107" i="4"/>
  <c r="I1107" i="4"/>
  <c r="W1106" i="4"/>
  <c r="I1106" i="4"/>
  <c r="W1105" i="4"/>
  <c r="I1105" i="4"/>
  <c r="W1104" i="4"/>
  <c r="I1104" i="4"/>
  <c r="W1103" i="4"/>
  <c r="I1103" i="4"/>
  <c r="W1102" i="4"/>
  <c r="I1102" i="4"/>
  <c r="W1101" i="4"/>
  <c r="I1101" i="4"/>
  <c r="W1100" i="4"/>
  <c r="I1100" i="4"/>
  <c r="W1099" i="4"/>
  <c r="I1099" i="4"/>
  <c r="W1098" i="4"/>
  <c r="I1098" i="4"/>
  <c r="W1097" i="4"/>
  <c r="I1097" i="4"/>
  <c r="W1096" i="4"/>
  <c r="I1096" i="4"/>
  <c r="W1095" i="4"/>
  <c r="I1095" i="4"/>
  <c r="W1094" i="4"/>
  <c r="I1094" i="4"/>
  <c r="W1093" i="4"/>
  <c r="I1093" i="4"/>
  <c r="W1092" i="4"/>
  <c r="I1092" i="4"/>
  <c r="W1091" i="4"/>
  <c r="I1091" i="4"/>
  <c r="W1090" i="4"/>
  <c r="I1090" i="4"/>
  <c r="W1089" i="4"/>
  <c r="I1089" i="4"/>
  <c r="W1088" i="4"/>
  <c r="I1088" i="4"/>
  <c r="W1087" i="4"/>
  <c r="I1087" i="4"/>
  <c r="W1086" i="4"/>
  <c r="I1086" i="4"/>
  <c r="W1085" i="4"/>
  <c r="I1085" i="4"/>
  <c r="W1084" i="4"/>
  <c r="I1084" i="4"/>
  <c r="W1083" i="4"/>
  <c r="I1083" i="4"/>
  <c r="W1082" i="4"/>
  <c r="I1082" i="4"/>
  <c r="W1081" i="4"/>
  <c r="I1081" i="4"/>
  <c r="W1080" i="4"/>
  <c r="I1080" i="4"/>
  <c r="W1079" i="4"/>
  <c r="I1079" i="4"/>
  <c r="W1078" i="4"/>
  <c r="I1078" i="4"/>
  <c r="W1077" i="4"/>
  <c r="I1077" i="4"/>
  <c r="W1076" i="4"/>
  <c r="I1076" i="4"/>
  <c r="W1075" i="4"/>
  <c r="I1075" i="4"/>
  <c r="W1074" i="4"/>
  <c r="I1074" i="4"/>
  <c r="W1073" i="4"/>
  <c r="I1073" i="4"/>
  <c r="W1072" i="4"/>
  <c r="I1072" i="4"/>
  <c r="W1071" i="4"/>
  <c r="I1071" i="4"/>
  <c r="W1070" i="4"/>
  <c r="I1070" i="4"/>
  <c r="W1069" i="4"/>
  <c r="I1069" i="4"/>
  <c r="W1068" i="4"/>
  <c r="I1068" i="4"/>
  <c r="W1067" i="4"/>
  <c r="I1067" i="4"/>
  <c r="W1066" i="4"/>
  <c r="I1066" i="4"/>
  <c r="W1065" i="4"/>
  <c r="I1065" i="4"/>
  <c r="W1064" i="4"/>
  <c r="I1064" i="4"/>
  <c r="W1063" i="4"/>
  <c r="I1063" i="4"/>
  <c r="W1062" i="4"/>
  <c r="I1062" i="4"/>
  <c r="W1061" i="4"/>
  <c r="I1061" i="4"/>
  <c r="W1060" i="4"/>
  <c r="I1060" i="4"/>
  <c r="W1059" i="4"/>
  <c r="I1059" i="4"/>
  <c r="W1058" i="4"/>
  <c r="I1058" i="4"/>
  <c r="W1057" i="4"/>
  <c r="I1057" i="4"/>
  <c r="W1056" i="4"/>
  <c r="I1056" i="4"/>
  <c r="W1055" i="4"/>
  <c r="I1055" i="4"/>
  <c r="W1054" i="4"/>
  <c r="I1054" i="4"/>
  <c r="W1053" i="4"/>
  <c r="I1053" i="4"/>
  <c r="W1052" i="4"/>
  <c r="I1052" i="4"/>
  <c r="W1051" i="4"/>
  <c r="I1051" i="4"/>
  <c r="W1050" i="4"/>
  <c r="I1050" i="4"/>
  <c r="W1049" i="4"/>
  <c r="I1049" i="4"/>
  <c r="W1048" i="4"/>
  <c r="I1048" i="4"/>
  <c r="W1047" i="4"/>
  <c r="I1047" i="4"/>
  <c r="W1046" i="4"/>
  <c r="I1046" i="4"/>
  <c r="W1045" i="4"/>
  <c r="I1045" i="4"/>
  <c r="W1044" i="4"/>
  <c r="I1044" i="4"/>
  <c r="W1043" i="4"/>
  <c r="I1043" i="4"/>
  <c r="W1042" i="4"/>
  <c r="I1042" i="4"/>
  <c r="W1041" i="4"/>
  <c r="I1041" i="4"/>
  <c r="W1040" i="4"/>
  <c r="I1040" i="4"/>
  <c r="W1039" i="4"/>
  <c r="I1039" i="4"/>
  <c r="W1038" i="4"/>
  <c r="I1038" i="4"/>
  <c r="W1037" i="4"/>
  <c r="I1037" i="4"/>
  <c r="W1036" i="4"/>
  <c r="I1036" i="4"/>
  <c r="W1035" i="4"/>
  <c r="I1035" i="4"/>
  <c r="W1034" i="4"/>
  <c r="I1034" i="4"/>
  <c r="W1033" i="4"/>
  <c r="I1033" i="4"/>
  <c r="W1032" i="4"/>
  <c r="I1032" i="4"/>
  <c r="W1031" i="4"/>
  <c r="I1031" i="4"/>
  <c r="W1030" i="4"/>
  <c r="I1030" i="4"/>
  <c r="W1029" i="4"/>
  <c r="I1029" i="4"/>
  <c r="W1028" i="4"/>
  <c r="I1028" i="4"/>
  <c r="W1027" i="4"/>
  <c r="I1027" i="4"/>
  <c r="W1026" i="4"/>
  <c r="I1026" i="4"/>
  <c r="W1025" i="4"/>
  <c r="I1025" i="4"/>
  <c r="W1024" i="4"/>
  <c r="I1024" i="4"/>
  <c r="W1023" i="4"/>
  <c r="I1023" i="4"/>
  <c r="W1022" i="4"/>
  <c r="I1022" i="4"/>
  <c r="W1021" i="4"/>
  <c r="I1021" i="4"/>
  <c r="W1020" i="4"/>
  <c r="I1020" i="4"/>
  <c r="W1019" i="4"/>
  <c r="I1019" i="4"/>
  <c r="W1018" i="4"/>
  <c r="I1018" i="4"/>
  <c r="W1017" i="4"/>
  <c r="I1017" i="4"/>
  <c r="W1016" i="4"/>
  <c r="I1016" i="4"/>
  <c r="W1015" i="4"/>
  <c r="I1015" i="4"/>
  <c r="W1014" i="4"/>
  <c r="I1014" i="4"/>
  <c r="W1013" i="4"/>
  <c r="I1013" i="4"/>
  <c r="W1012" i="4"/>
  <c r="I1012" i="4"/>
  <c r="W1011" i="4"/>
  <c r="I1011" i="4"/>
  <c r="W1010" i="4"/>
  <c r="I1010" i="4"/>
  <c r="W1009" i="4"/>
  <c r="I1009" i="4"/>
  <c r="W1008" i="4"/>
  <c r="I1008" i="4"/>
  <c r="W1007" i="4"/>
  <c r="I1007" i="4"/>
  <c r="W1006" i="4"/>
  <c r="I1006" i="4"/>
  <c r="W1005" i="4"/>
  <c r="I1005" i="4"/>
  <c r="W1004" i="4"/>
  <c r="I1004" i="4"/>
  <c r="W1003" i="4"/>
  <c r="I1003" i="4"/>
  <c r="W1002" i="4"/>
  <c r="I1002" i="4"/>
  <c r="W1001" i="4"/>
  <c r="I1001" i="4"/>
  <c r="W1000" i="4"/>
  <c r="I1000" i="4"/>
  <c r="W999" i="4"/>
  <c r="I999" i="4"/>
  <c r="W998" i="4"/>
  <c r="I998" i="4"/>
  <c r="W997" i="4"/>
  <c r="I997" i="4"/>
  <c r="W996" i="4"/>
  <c r="I996" i="4"/>
  <c r="W995" i="4"/>
  <c r="I995" i="4"/>
  <c r="W994" i="4"/>
  <c r="I994" i="4"/>
  <c r="W993" i="4"/>
  <c r="I993" i="4"/>
  <c r="W992" i="4"/>
  <c r="I992" i="4"/>
  <c r="W991" i="4"/>
  <c r="I991" i="4"/>
  <c r="W990" i="4"/>
  <c r="I990" i="4"/>
  <c r="W989" i="4"/>
  <c r="I989" i="4"/>
  <c r="W988" i="4"/>
  <c r="I988" i="4"/>
  <c r="W987" i="4"/>
  <c r="I987" i="4"/>
  <c r="W986" i="4"/>
  <c r="I986" i="4"/>
  <c r="W985" i="4"/>
  <c r="I985" i="4"/>
  <c r="W984" i="4"/>
  <c r="I984" i="4"/>
  <c r="W983" i="4"/>
  <c r="I983" i="4"/>
  <c r="W982" i="4"/>
  <c r="I982" i="4"/>
  <c r="W981" i="4"/>
  <c r="I981" i="4"/>
  <c r="W980" i="4"/>
  <c r="I980" i="4"/>
  <c r="W979" i="4"/>
  <c r="I979" i="4"/>
  <c r="W978" i="4"/>
  <c r="I978" i="4"/>
  <c r="W977" i="4"/>
  <c r="I977" i="4"/>
  <c r="W976" i="4"/>
  <c r="I976" i="4"/>
  <c r="W975" i="4"/>
  <c r="I975" i="4"/>
  <c r="W974" i="4"/>
  <c r="I974" i="4"/>
  <c r="W973" i="4"/>
  <c r="I973" i="4"/>
  <c r="W972" i="4"/>
  <c r="I972" i="4"/>
  <c r="W971" i="4"/>
  <c r="I971" i="4"/>
  <c r="W970" i="4"/>
  <c r="I970" i="4"/>
  <c r="W969" i="4"/>
  <c r="I969" i="4"/>
  <c r="W968" i="4"/>
  <c r="I968" i="4"/>
  <c r="W967" i="4"/>
  <c r="I967" i="4"/>
  <c r="W966" i="4"/>
  <c r="I966" i="4"/>
  <c r="W965" i="4"/>
  <c r="I965" i="4"/>
  <c r="W964" i="4"/>
  <c r="I964" i="4"/>
  <c r="W963" i="4"/>
  <c r="I963" i="4"/>
  <c r="W962" i="4"/>
  <c r="I962" i="4"/>
  <c r="W961" i="4"/>
  <c r="I961" i="4"/>
  <c r="W960" i="4"/>
  <c r="I960" i="4"/>
  <c r="W959" i="4"/>
  <c r="I959" i="4"/>
  <c r="W958" i="4"/>
  <c r="I958" i="4"/>
  <c r="W957" i="4"/>
  <c r="I957" i="4"/>
  <c r="W956" i="4"/>
  <c r="I956" i="4"/>
  <c r="W955" i="4"/>
  <c r="I955" i="4"/>
  <c r="W954" i="4"/>
  <c r="I954" i="4"/>
  <c r="W953" i="4"/>
  <c r="I953" i="4"/>
  <c r="W952" i="4"/>
  <c r="I952" i="4"/>
  <c r="W951" i="4"/>
  <c r="I951" i="4"/>
  <c r="W950" i="4"/>
  <c r="I950" i="4"/>
  <c r="W949" i="4"/>
  <c r="I949" i="4"/>
  <c r="W948" i="4"/>
  <c r="I948" i="4"/>
  <c r="W947" i="4"/>
  <c r="I947" i="4"/>
  <c r="W946" i="4"/>
  <c r="I946" i="4"/>
  <c r="W945" i="4"/>
  <c r="I945" i="4"/>
  <c r="W944" i="4"/>
  <c r="I944" i="4"/>
  <c r="W943" i="4"/>
  <c r="W942" i="4"/>
  <c r="I942" i="4"/>
  <c r="W941" i="4"/>
  <c r="I941" i="4"/>
  <c r="W940" i="4"/>
  <c r="I940" i="4"/>
  <c r="W939" i="4"/>
  <c r="I939" i="4"/>
  <c r="W938" i="4"/>
  <c r="I938" i="4"/>
  <c r="W937" i="4"/>
  <c r="I937" i="4"/>
  <c r="W936" i="4"/>
  <c r="I936" i="4"/>
  <c r="W935" i="4"/>
  <c r="I935" i="4"/>
  <c r="W934" i="4"/>
  <c r="I934" i="4"/>
  <c r="W933" i="4"/>
  <c r="I933" i="4"/>
  <c r="W932" i="4"/>
  <c r="I932" i="4"/>
  <c r="W931" i="4"/>
  <c r="I931" i="4"/>
  <c r="W930" i="4"/>
  <c r="I930" i="4"/>
  <c r="W929" i="4"/>
  <c r="I929" i="4"/>
  <c r="W928" i="4"/>
  <c r="I928" i="4"/>
  <c r="W927" i="4"/>
  <c r="I927" i="4"/>
  <c r="W926" i="4"/>
  <c r="I926" i="4"/>
  <c r="W925" i="4"/>
  <c r="I925" i="4"/>
  <c r="W924" i="4"/>
  <c r="I924" i="4"/>
  <c r="W923" i="4"/>
  <c r="I923" i="4"/>
  <c r="W922" i="4"/>
  <c r="I922" i="4"/>
  <c r="W921" i="4"/>
  <c r="I921" i="4"/>
  <c r="W920" i="4"/>
  <c r="I920" i="4"/>
  <c r="W919" i="4"/>
  <c r="I919" i="4"/>
  <c r="W918" i="4"/>
  <c r="I918" i="4"/>
  <c r="W917" i="4"/>
  <c r="I917" i="4"/>
  <c r="W916" i="4"/>
  <c r="I916" i="4"/>
  <c r="W915" i="4"/>
  <c r="I915" i="4"/>
  <c r="W914" i="4"/>
  <c r="I914" i="4"/>
  <c r="W913" i="4"/>
  <c r="I913" i="4"/>
  <c r="W912" i="4"/>
  <c r="I912" i="4"/>
  <c r="W911" i="4"/>
  <c r="I911" i="4"/>
  <c r="W910" i="4"/>
  <c r="I910" i="4"/>
  <c r="W909" i="4"/>
  <c r="I909" i="4"/>
  <c r="W908" i="4"/>
  <c r="I908" i="4"/>
  <c r="W907" i="4"/>
  <c r="I907" i="4"/>
  <c r="W906" i="4"/>
  <c r="I906" i="4"/>
  <c r="W905" i="4"/>
  <c r="I905" i="4"/>
  <c r="W904" i="4"/>
  <c r="I904" i="4"/>
  <c r="W903" i="4"/>
  <c r="I903" i="4"/>
  <c r="W902" i="4"/>
  <c r="I902" i="4"/>
  <c r="W901" i="4"/>
  <c r="I901" i="4"/>
  <c r="W900" i="4"/>
  <c r="I900" i="4"/>
  <c r="W899" i="4"/>
  <c r="I899" i="4"/>
  <c r="W898" i="4"/>
  <c r="I898" i="4"/>
  <c r="W897" i="4"/>
  <c r="I897" i="4"/>
  <c r="W896" i="4"/>
  <c r="I896" i="4"/>
  <c r="W895" i="4"/>
  <c r="I895" i="4"/>
  <c r="W894" i="4"/>
  <c r="I894" i="4"/>
  <c r="W893" i="4"/>
  <c r="I893" i="4"/>
  <c r="W892" i="4"/>
  <c r="I892" i="4"/>
  <c r="W891" i="4"/>
  <c r="I891" i="4"/>
  <c r="W890" i="4"/>
  <c r="I890" i="4"/>
  <c r="W889" i="4"/>
  <c r="I889" i="4"/>
  <c r="W888" i="4"/>
  <c r="I888" i="4"/>
  <c r="W887" i="4"/>
  <c r="I887" i="4"/>
  <c r="W886" i="4"/>
  <c r="I886" i="4"/>
  <c r="W885" i="4"/>
  <c r="I885" i="4"/>
  <c r="W884" i="4"/>
  <c r="I884" i="4"/>
  <c r="W883" i="4"/>
  <c r="I883" i="4"/>
  <c r="W882" i="4"/>
  <c r="I882" i="4"/>
  <c r="W881" i="4"/>
  <c r="I881" i="4"/>
  <c r="W880" i="4"/>
  <c r="I880" i="4"/>
  <c r="W879" i="4"/>
  <c r="I879" i="4"/>
  <c r="W878" i="4"/>
  <c r="I878" i="4"/>
  <c r="W877" i="4"/>
  <c r="I877" i="4"/>
  <c r="W876" i="4"/>
  <c r="I876" i="4"/>
  <c r="W875" i="4"/>
  <c r="I875" i="4"/>
  <c r="W874" i="4"/>
  <c r="I874" i="4"/>
  <c r="W873" i="4"/>
  <c r="I873" i="4"/>
  <c r="W872" i="4"/>
  <c r="I872" i="4"/>
  <c r="W871" i="4"/>
  <c r="I871" i="4"/>
  <c r="W870" i="4"/>
  <c r="I870" i="4"/>
  <c r="W869" i="4"/>
  <c r="I869" i="4"/>
  <c r="W868" i="4"/>
  <c r="I868" i="4"/>
  <c r="W867" i="4"/>
  <c r="I867" i="4"/>
  <c r="W866" i="4"/>
  <c r="I866" i="4"/>
  <c r="W865" i="4"/>
  <c r="I865" i="4"/>
  <c r="W864" i="4"/>
  <c r="I864" i="4"/>
  <c r="W863" i="4"/>
  <c r="I863" i="4"/>
  <c r="W862" i="4"/>
  <c r="I862" i="4"/>
  <c r="W861" i="4"/>
  <c r="I861" i="4"/>
  <c r="W860" i="4"/>
  <c r="I860" i="4"/>
  <c r="W859" i="4"/>
  <c r="I859" i="4"/>
  <c r="W858" i="4"/>
  <c r="I858" i="4"/>
  <c r="W857" i="4"/>
  <c r="I857" i="4"/>
  <c r="W856" i="4"/>
  <c r="I856" i="4"/>
  <c r="W855" i="4"/>
  <c r="I855" i="4"/>
  <c r="W854" i="4"/>
  <c r="I854" i="4"/>
  <c r="W853" i="4"/>
  <c r="I853" i="4"/>
  <c r="W852" i="4"/>
  <c r="I852" i="4"/>
  <c r="W851" i="4"/>
  <c r="I851" i="4"/>
  <c r="W850" i="4"/>
  <c r="I850" i="4"/>
  <c r="W849" i="4"/>
  <c r="I849" i="4"/>
  <c r="W848" i="4"/>
  <c r="I848" i="4"/>
  <c r="W847" i="4"/>
  <c r="I847" i="4"/>
  <c r="W846" i="4"/>
  <c r="I846" i="4"/>
  <c r="W845" i="4"/>
  <c r="I845" i="4"/>
  <c r="W844" i="4"/>
  <c r="I844" i="4"/>
  <c r="W843" i="4"/>
  <c r="I843" i="4"/>
  <c r="W842" i="4"/>
  <c r="I842" i="4"/>
  <c r="W841" i="4"/>
  <c r="I841" i="4"/>
  <c r="W840" i="4"/>
  <c r="I840" i="4"/>
  <c r="W839" i="4"/>
  <c r="I839" i="4"/>
  <c r="W838" i="4"/>
  <c r="I838" i="4"/>
  <c r="W837" i="4"/>
  <c r="I837" i="4"/>
  <c r="W836" i="4"/>
  <c r="I836" i="4"/>
  <c r="W835" i="4"/>
  <c r="I835" i="4"/>
  <c r="W834" i="4"/>
  <c r="I834" i="4"/>
  <c r="W833" i="4"/>
  <c r="I833" i="4"/>
  <c r="W832" i="4"/>
  <c r="I832" i="4"/>
  <c r="W831" i="4"/>
  <c r="I831" i="4"/>
  <c r="W830" i="4"/>
  <c r="I830" i="4"/>
  <c r="W829" i="4"/>
  <c r="I829" i="4"/>
  <c r="W828" i="4"/>
  <c r="I828" i="4"/>
  <c r="W827" i="4"/>
  <c r="I827" i="4"/>
  <c r="W826" i="4"/>
  <c r="I826" i="4"/>
  <c r="W825" i="4"/>
  <c r="I825" i="4"/>
  <c r="W824" i="4"/>
  <c r="I824" i="4"/>
  <c r="W823" i="4"/>
  <c r="I823" i="4"/>
  <c r="W822" i="4"/>
  <c r="I822" i="4"/>
  <c r="W821" i="4"/>
  <c r="I821" i="4"/>
  <c r="W820" i="4"/>
  <c r="I820" i="4"/>
  <c r="W819" i="4"/>
  <c r="I819" i="4"/>
  <c r="W818" i="4"/>
  <c r="I818" i="4"/>
  <c r="W817" i="4"/>
  <c r="I817" i="4"/>
  <c r="W816" i="4"/>
  <c r="I816" i="4"/>
  <c r="W815" i="4"/>
  <c r="I815" i="4"/>
  <c r="W814" i="4"/>
  <c r="I814" i="4"/>
  <c r="W813" i="4"/>
  <c r="I813" i="4"/>
  <c r="W812" i="4"/>
  <c r="I812" i="4"/>
  <c r="W811" i="4"/>
  <c r="I811" i="4"/>
  <c r="W810" i="4"/>
  <c r="I810" i="4"/>
  <c r="W809" i="4"/>
  <c r="I809" i="4"/>
  <c r="W808" i="4"/>
  <c r="I808" i="4"/>
  <c r="W807" i="4"/>
  <c r="I807" i="4"/>
  <c r="W806" i="4"/>
  <c r="I806" i="4"/>
  <c r="W805" i="4"/>
  <c r="I805" i="4"/>
  <c r="W804" i="4"/>
  <c r="I804" i="4"/>
  <c r="W803" i="4"/>
  <c r="I803" i="4"/>
  <c r="W802" i="4"/>
  <c r="I802" i="4"/>
  <c r="W801" i="4"/>
  <c r="I801" i="4"/>
  <c r="W800" i="4"/>
  <c r="I800" i="4"/>
  <c r="W799" i="4"/>
  <c r="I799" i="4"/>
  <c r="W798" i="4"/>
  <c r="I798" i="4"/>
  <c r="W797" i="4"/>
  <c r="I797" i="4"/>
  <c r="W796" i="4"/>
  <c r="I796" i="4"/>
  <c r="W795" i="4"/>
  <c r="I795" i="4"/>
  <c r="W794" i="4"/>
  <c r="I794" i="4"/>
  <c r="W793" i="4"/>
  <c r="I793" i="4"/>
  <c r="W792" i="4"/>
  <c r="I792" i="4"/>
  <c r="W791" i="4"/>
  <c r="I791" i="4"/>
  <c r="W790" i="4"/>
  <c r="I790" i="4"/>
  <c r="W789" i="4"/>
  <c r="I789" i="4"/>
  <c r="W788" i="4"/>
  <c r="I788" i="4"/>
  <c r="W787" i="4"/>
  <c r="I787" i="4"/>
  <c r="W786" i="4"/>
  <c r="I786" i="4"/>
  <c r="W785" i="4"/>
  <c r="I785" i="4"/>
  <c r="W784" i="4"/>
  <c r="I784" i="4"/>
  <c r="W783" i="4"/>
  <c r="I783" i="4"/>
  <c r="W782" i="4"/>
  <c r="I782" i="4"/>
  <c r="W781" i="4"/>
  <c r="I781" i="4"/>
  <c r="W780" i="4"/>
  <c r="I780" i="4"/>
  <c r="W779" i="4"/>
  <c r="I779" i="4"/>
  <c r="W778" i="4"/>
  <c r="I778" i="4"/>
  <c r="W777" i="4"/>
  <c r="I777" i="4"/>
  <c r="W776" i="4"/>
  <c r="I776" i="4"/>
  <c r="W775" i="4"/>
  <c r="I775" i="4"/>
  <c r="W774" i="4"/>
  <c r="I774" i="4"/>
  <c r="W773" i="4"/>
  <c r="I773" i="4"/>
  <c r="W772" i="4"/>
  <c r="I772" i="4"/>
  <c r="W771" i="4"/>
  <c r="I771" i="4"/>
  <c r="W770" i="4"/>
  <c r="I770" i="4"/>
  <c r="W769" i="4"/>
  <c r="I769" i="4"/>
  <c r="W768" i="4"/>
  <c r="I768" i="4"/>
  <c r="W767" i="4"/>
  <c r="I767" i="4"/>
  <c r="W766" i="4"/>
  <c r="I766" i="4"/>
  <c r="W765" i="4"/>
  <c r="I765" i="4"/>
  <c r="W764" i="4"/>
  <c r="I764" i="4"/>
  <c r="W763" i="4"/>
  <c r="I763" i="4"/>
  <c r="W762" i="4"/>
  <c r="I762" i="4"/>
  <c r="W761" i="4"/>
  <c r="I761" i="4"/>
  <c r="W760" i="4"/>
  <c r="I760" i="4"/>
  <c r="W759" i="4"/>
  <c r="I759" i="4"/>
  <c r="W758" i="4"/>
  <c r="I758" i="4"/>
  <c r="W757" i="4"/>
  <c r="I757" i="4"/>
  <c r="W756" i="4"/>
  <c r="I756" i="4"/>
  <c r="W755" i="4"/>
  <c r="I755" i="4"/>
  <c r="W754" i="4"/>
  <c r="I754" i="4"/>
  <c r="W753" i="4"/>
  <c r="I753" i="4"/>
  <c r="W752" i="4"/>
  <c r="I752" i="4"/>
  <c r="W751" i="4"/>
  <c r="I751" i="4"/>
  <c r="W750" i="4"/>
  <c r="I750" i="4"/>
  <c r="W749" i="4"/>
  <c r="I749" i="4"/>
  <c r="W748" i="4"/>
  <c r="I748" i="4"/>
  <c r="W747" i="4"/>
  <c r="I747" i="4"/>
  <c r="W746" i="4"/>
  <c r="I746" i="4"/>
  <c r="W745" i="4"/>
  <c r="I745" i="4"/>
  <c r="W744" i="4"/>
  <c r="I744" i="4"/>
  <c r="W743" i="4"/>
  <c r="I743" i="4"/>
  <c r="W742" i="4"/>
  <c r="I742" i="4"/>
  <c r="W741" i="4"/>
  <c r="I741" i="4"/>
  <c r="W740" i="4"/>
  <c r="I740" i="4"/>
  <c r="W739" i="4"/>
  <c r="I739" i="4"/>
  <c r="W738" i="4"/>
  <c r="I738" i="4"/>
  <c r="W737" i="4"/>
  <c r="I737" i="4"/>
  <c r="W736" i="4"/>
  <c r="I736" i="4"/>
  <c r="W735" i="4"/>
  <c r="I735" i="4"/>
  <c r="W734" i="4"/>
  <c r="I734" i="4"/>
  <c r="W733" i="4"/>
  <c r="I733" i="4"/>
  <c r="W732" i="4"/>
  <c r="I732" i="4"/>
  <c r="W731" i="4"/>
  <c r="I731" i="4"/>
  <c r="W730" i="4"/>
  <c r="I730" i="4"/>
  <c r="W729" i="4"/>
  <c r="I729" i="4"/>
  <c r="W728" i="4"/>
  <c r="I728" i="4"/>
  <c r="W727" i="4"/>
  <c r="I727" i="4"/>
  <c r="W726" i="4"/>
  <c r="I726" i="4"/>
  <c r="W725" i="4"/>
  <c r="I725" i="4"/>
  <c r="W724" i="4"/>
  <c r="I724" i="4"/>
  <c r="W723" i="4"/>
  <c r="I723" i="4"/>
  <c r="W722" i="4"/>
  <c r="I722" i="4"/>
  <c r="W721" i="4"/>
  <c r="I721" i="4"/>
  <c r="W720" i="4"/>
  <c r="I720" i="4"/>
  <c r="W719" i="4"/>
  <c r="I719" i="4"/>
  <c r="W718" i="4"/>
  <c r="I718" i="4"/>
  <c r="W717" i="4"/>
  <c r="I717" i="4"/>
  <c r="W716" i="4"/>
  <c r="I716" i="4"/>
  <c r="W715" i="4"/>
  <c r="I715" i="4"/>
  <c r="W714" i="4"/>
  <c r="I714" i="4"/>
  <c r="W713" i="4"/>
  <c r="I713" i="4"/>
  <c r="W712" i="4"/>
  <c r="I712" i="4"/>
  <c r="W711" i="4"/>
  <c r="I711" i="4"/>
  <c r="W710" i="4"/>
  <c r="I710" i="4"/>
  <c r="W709" i="4"/>
  <c r="I709" i="4"/>
  <c r="W708" i="4"/>
  <c r="I708" i="4"/>
  <c r="W707" i="4"/>
  <c r="I707" i="4"/>
  <c r="W706" i="4"/>
  <c r="I706" i="4"/>
  <c r="W705" i="4"/>
  <c r="I705" i="4"/>
  <c r="W704" i="4"/>
  <c r="I704" i="4"/>
  <c r="W703" i="4"/>
  <c r="I703" i="4"/>
  <c r="W702" i="4"/>
  <c r="I702" i="4"/>
  <c r="W701" i="4"/>
  <c r="I701" i="4"/>
  <c r="W700" i="4"/>
  <c r="I700" i="4"/>
  <c r="W699" i="4"/>
  <c r="I699" i="4"/>
  <c r="W698" i="4"/>
  <c r="I698" i="4"/>
  <c r="W697" i="4"/>
  <c r="I697" i="4"/>
  <c r="W696" i="4"/>
  <c r="I696" i="4"/>
  <c r="W695" i="4"/>
  <c r="I695" i="4"/>
  <c r="W694" i="4"/>
  <c r="I694" i="4"/>
  <c r="W693" i="4"/>
  <c r="I693" i="4"/>
  <c r="W692" i="4"/>
  <c r="I692" i="4"/>
  <c r="W691" i="4"/>
  <c r="I691" i="4"/>
  <c r="W690" i="4"/>
  <c r="I690" i="4"/>
  <c r="W689" i="4"/>
  <c r="I689" i="4"/>
  <c r="W688" i="4"/>
  <c r="I688" i="4"/>
  <c r="W687" i="4"/>
  <c r="I687" i="4"/>
  <c r="W686" i="4"/>
  <c r="I686" i="4"/>
  <c r="W685" i="4"/>
  <c r="I685" i="4"/>
  <c r="W684" i="4"/>
  <c r="I684" i="4"/>
  <c r="W683" i="4"/>
  <c r="I683" i="4"/>
  <c r="W682" i="4"/>
  <c r="I682" i="4"/>
  <c r="W681" i="4"/>
  <c r="I681" i="4"/>
  <c r="W680" i="4"/>
  <c r="I680" i="4"/>
  <c r="W679" i="4"/>
  <c r="I679" i="4"/>
  <c r="W678" i="4"/>
  <c r="I678" i="4"/>
  <c r="W677" i="4"/>
  <c r="I677" i="4"/>
  <c r="W676" i="4"/>
  <c r="I676" i="4"/>
  <c r="W675" i="4"/>
  <c r="I675" i="4"/>
  <c r="W674" i="4"/>
  <c r="I674" i="4"/>
  <c r="W673" i="4"/>
  <c r="I673" i="4"/>
  <c r="W672" i="4"/>
  <c r="I672" i="4"/>
  <c r="W671" i="4"/>
  <c r="I671" i="4"/>
  <c r="W670" i="4"/>
  <c r="I670" i="4"/>
  <c r="W669" i="4"/>
  <c r="I669" i="4"/>
  <c r="W668" i="4"/>
  <c r="I668" i="4"/>
  <c r="W667" i="4"/>
  <c r="I667" i="4"/>
  <c r="W666" i="4"/>
  <c r="I666" i="4"/>
  <c r="W665" i="4"/>
  <c r="I665" i="4"/>
  <c r="W664" i="4"/>
  <c r="I664" i="4"/>
  <c r="W663" i="4"/>
  <c r="I663" i="4"/>
  <c r="W662" i="4"/>
  <c r="I662" i="4"/>
  <c r="W661" i="4"/>
  <c r="I661" i="4"/>
  <c r="W660" i="4"/>
  <c r="I660" i="4"/>
  <c r="W659" i="4"/>
  <c r="I659" i="4"/>
  <c r="W658" i="4"/>
  <c r="I658" i="4"/>
  <c r="W657" i="4"/>
  <c r="I657" i="4"/>
  <c r="W656" i="4"/>
  <c r="I656" i="4"/>
  <c r="W655" i="4"/>
  <c r="I655" i="4"/>
  <c r="W654" i="4"/>
  <c r="I654" i="4"/>
  <c r="W653" i="4"/>
  <c r="I653" i="4"/>
  <c r="W652" i="4"/>
  <c r="I652" i="4"/>
  <c r="W651" i="4"/>
  <c r="I651" i="4"/>
  <c r="W650" i="4"/>
  <c r="I650" i="4"/>
  <c r="W649" i="4"/>
  <c r="I649" i="4"/>
  <c r="W648" i="4"/>
  <c r="I648" i="4"/>
  <c r="W647" i="4"/>
  <c r="I647" i="4"/>
  <c r="W646" i="4"/>
  <c r="I646" i="4"/>
  <c r="W645" i="4"/>
  <c r="I645" i="4"/>
  <c r="W644" i="4"/>
  <c r="I644" i="4"/>
  <c r="W643" i="4"/>
  <c r="I643" i="4"/>
  <c r="W642" i="4"/>
  <c r="I642" i="4"/>
  <c r="W641" i="4"/>
  <c r="I641" i="4"/>
  <c r="W640" i="4"/>
  <c r="I640" i="4"/>
  <c r="W639" i="4"/>
  <c r="I639" i="4"/>
  <c r="W638" i="4"/>
  <c r="I638" i="4"/>
  <c r="W637" i="4"/>
  <c r="I637" i="4"/>
  <c r="W636" i="4"/>
  <c r="I636" i="4"/>
  <c r="W635" i="4"/>
  <c r="I635" i="4"/>
  <c r="W634" i="4"/>
  <c r="I634" i="4"/>
  <c r="W633" i="4"/>
  <c r="I633" i="4"/>
  <c r="W632" i="4"/>
  <c r="I632" i="4"/>
  <c r="W631" i="4"/>
  <c r="I631" i="4"/>
  <c r="W630" i="4"/>
  <c r="I630" i="4"/>
  <c r="W629" i="4"/>
  <c r="I629" i="4"/>
  <c r="W628" i="4"/>
  <c r="I628" i="4"/>
  <c r="W627" i="4"/>
  <c r="I627" i="4"/>
  <c r="W626" i="4"/>
  <c r="I626" i="4"/>
  <c r="W625" i="4"/>
  <c r="I625" i="4"/>
  <c r="W624" i="4"/>
  <c r="I624" i="4"/>
  <c r="W623" i="4"/>
  <c r="I623" i="4"/>
  <c r="W622" i="4"/>
  <c r="I622" i="4"/>
  <c r="W621" i="4"/>
  <c r="I621" i="4"/>
  <c r="W620" i="4"/>
  <c r="I620" i="4"/>
  <c r="W619" i="4"/>
  <c r="I619" i="4"/>
  <c r="W618" i="4"/>
  <c r="I618" i="4"/>
  <c r="W617" i="4"/>
  <c r="I617" i="4"/>
  <c r="W616" i="4"/>
  <c r="I616" i="4"/>
  <c r="W615" i="4"/>
  <c r="I615" i="4"/>
  <c r="W614" i="4"/>
  <c r="I614" i="4"/>
  <c r="W613" i="4"/>
  <c r="I613" i="4"/>
  <c r="W612" i="4"/>
  <c r="I612" i="4"/>
  <c r="W611" i="4"/>
  <c r="I611" i="4"/>
  <c r="W610" i="4"/>
  <c r="I610" i="4"/>
  <c r="W609" i="4"/>
  <c r="I609" i="4"/>
  <c r="W608" i="4"/>
  <c r="I608" i="4"/>
  <c r="W607" i="4"/>
  <c r="I607" i="4"/>
  <c r="W606" i="4"/>
  <c r="I606" i="4"/>
  <c r="W605" i="4"/>
  <c r="I605" i="4"/>
  <c r="W604" i="4"/>
  <c r="I604" i="4"/>
  <c r="W603" i="4"/>
  <c r="I603" i="4"/>
  <c r="W602" i="4"/>
  <c r="I602" i="4"/>
  <c r="W601" i="4"/>
  <c r="I601" i="4"/>
  <c r="W600" i="4"/>
  <c r="I600" i="4"/>
  <c r="W599" i="4"/>
  <c r="I599" i="4"/>
  <c r="W598" i="4"/>
  <c r="I598" i="4"/>
  <c r="W597" i="4"/>
  <c r="I597" i="4"/>
  <c r="W596" i="4"/>
  <c r="I596" i="4"/>
  <c r="W595" i="4"/>
  <c r="I595" i="4"/>
  <c r="W594" i="4"/>
  <c r="I594" i="4"/>
  <c r="W593" i="4"/>
  <c r="I593" i="4"/>
  <c r="W592" i="4"/>
  <c r="I592" i="4"/>
  <c r="W591" i="4"/>
  <c r="I591" i="4"/>
  <c r="W590" i="4"/>
  <c r="I590" i="4"/>
  <c r="W589" i="4"/>
  <c r="I589" i="4"/>
  <c r="W588" i="4"/>
  <c r="I588" i="4"/>
  <c r="W587" i="4"/>
  <c r="I587" i="4"/>
  <c r="W586" i="4"/>
  <c r="I586" i="4"/>
  <c r="W585" i="4"/>
  <c r="I585" i="4"/>
  <c r="W584" i="4"/>
  <c r="I584" i="4"/>
  <c r="W583" i="4"/>
  <c r="I583" i="4"/>
  <c r="W582" i="4"/>
  <c r="I582" i="4"/>
  <c r="W581" i="4"/>
  <c r="I581" i="4"/>
  <c r="W580" i="4"/>
  <c r="I580" i="4"/>
  <c r="W579" i="4"/>
  <c r="I579" i="4"/>
  <c r="W578" i="4"/>
  <c r="I578" i="4"/>
  <c r="W577" i="4"/>
  <c r="I577" i="4"/>
  <c r="W576" i="4"/>
  <c r="I576" i="4"/>
  <c r="W575" i="4"/>
  <c r="I575" i="4"/>
  <c r="W574" i="4"/>
  <c r="I574" i="4"/>
  <c r="W573" i="4"/>
  <c r="I573" i="4"/>
  <c r="W572" i="4"/>
  <c r="I572" i="4"/>
  <c r="W571" i="4"/>
  <c r="I571" i="4"/>
  <c r="W570" i="4"/>
  <c r="I570" i="4"/>
  <c r="W569" i="4"/>
  <c r="I569" i="4"/>
  <c r="W568" i="4"/>
  <c r="I568" i="4"/>
  <c r="W567" i="4"/>
  <c r="I567" i="4"/>
  <c r="W566" i="4"/>
  <c r="I566" i="4"/>
  <c r="W565" i="4"/>
  <c r="I565" i="4"/>
  <c r="W564" i="4"/>
  <c r="I564" i="4"/>
  <c r="W563" i="4"/>
  <c r="I563" i="4"/>
  <c r="W562" i="4"/>
  <c r="I562" i="4"/>
  <c r="W561" i="4"/>
  <c r="I561" i="4"/>
  <c r="W560" i="4"/>
  <c r="I560" i="4"/>
  <c r="W559" i="4"/>
  <c r="I559" i="4"/>
  <c r="W558" i="4"/>
  <c r="I558" i="4"/>
  <c r="W557" i="4"/>
  <c r="I557" i="4"/>
  <c r="W556" i="4"/>
  <c r="I556" i="4"/>
  <c r="W555" i="4"/>
  <c r="I555" i="4"/>
  <c r="W554" i="4"/>
  <c r="I554" i="4"/>
  <c r="W553" i="4"/>
  <c r="I553" i="4"/>
  <c r="W552" i="4"/>
  <c r="I552" i="4"/>
  <c r="W551" i="4"/>
  <c r="I551" i="4"/>
  <c r="W550" i="4"/>
  <c r="I550" i="4"/>
  <c r="W549" i="4"/>
  <c r="I549" i="4"/>
  <c r="W548" i="4"/>
  <c r="I548" i="4"/>
  <c r="W547" i="4"/>
  <c r="I547" i="4"/>
  <c r="W546" i="4"/>
  <c r="I546" i="4"/>
  <c r="W545" i="4"/>
  <c r="I545" i="4"/>
  <c r="W544" i="4"/>
  <c r="I544" i="4"/>
  <c r="W543" i="4"/>
  <c r="I543" i="4"/>
  <c r="W542" i="4"/>
  <c r="I542" i="4"/>
  <c r="W541" i="4"/>
  <c r="I541" i="4"/>
  <c r="W540" i="4"/>
  <c r="I540" i="4"/>
  <c r="W539" i="4"/>
  <c r="I539" i="4"/>
  <c r="W538" i="4"/>
  <c r="I538" i="4"/>
  <c r="W537" i="4"/>
  <c r="I537" i="4"/>
  <c r="W536" i="4"/>
  <c r="I536" i="4"/>
  <c r="W535" i="4"/>
  <c r="I535" i="4"/>
  <c r="W534" i="4"/>
  <c r="I534" i="4"/>
  <c r="W533" i="4"/>
  <c r="I533" i="4"/>
  <c r="W532" i="4"/>
  <c r="I532" i="4"/>
  <c r="W531" i="4"/>
  <c r="I531" i="4"/>
  <c r="W530" i="4"/>
  <c r="I530" i="4"/>
  <c r="W529" i="4"/>
  <c r="I529" i="4"/>
  <c r="W528" i="4"/>
  <c r="I528" i="4"/>
  <c r="W527" i="4"/>
  <c r="I527" i="4"/>
  <c r="W526" i="4"/>
  <c r="I526" i="4"/>
  <c r="W525" i="4"/>
  <c r="I525" i="4"/>
  <c r="W524" i="4"/>
  <c r="I524" i="4"/>
  <c r="W523" i="4"/>
  <c r="I523" i="4"/>
  <c r="W522" i="4"/>
  <c r="I522" i="4"/>
  <c r="W521" i="4"/>
  <c r="I521" i="4"/>
  <c r="W520" i="4"/>
  <c r="I520" i="4"/>
  <c r="W519" i="4"/>
  <c r="I519" i="4"/>
  <c r="W518" i="4"/>
  <c r="I518" i="4"/>
  <c r="W517" i="4"/>
  <c r="I517" i="4"/>
  <c r="W516" i="4"/>
  <c r="I516" i="4"/>
  <c r="W515" i="4"/>
  <c r="I515" i="4"/>
  <c r="W514" i="4"/>
  <c r="I514" i="4"/>
  <c r="W513" i="4"/>
  <c r="I513" i="4"/>
  <c r="W512" i="4"/>
  <c r="I512" i="4"/>
  <c r="W511" i="4"/>
  <c r="I511" i="4"/>
  <c r="W510" i="4"/>
  <c r="I510" i="4"/>
  <c r="W509" i="4"/>
  <c r="I509" i="4"/>
  <c r="W508" i="4"/>
  <c r="I508" i="4"/>
  <c r="W507" i="4"/>
  <c r="I507" i="4"/>
  <c r="W506" i="4"/>
  <c r="I506" i="4"/>
  <c r="W505" i="4"/>
  <c r="I505" i="4"/>
  <c r="W504" i="4"/>
  <c r="I504" i="4"/>
  <c r="W503" i="4"/>
  <c r="I503" i="4"/>
  <c r="W502" i="4"/>
  <c r="I502" i="4"/>
  <c r="W501" i="4"/>
  <c r="I501" i="4"/>
  <c r="W500" i="4"/>
  <c r="I500" i="4"/>
  <c r="W499" i="4"/>
  <c r="I499" i="4"/>
  <c r="W498" i="4"/>
  <c r="I498" i="4"/>
  <c r="W497" i="4"/>
  <c r="I497" i="4"/>
  <c r="W496" i="4"/>
  <c r="I496" i="4"/>
  <c r="W495" i="4"/>
  <c r="I495" i="4"/>
  <c r="W494" i="4"/>
  <c r="I494" i="4"/>
  <c r="W493" i="4"/>
  <c r="I493" i="4"/>
  <c r="W492" i="4"/>
  <c r="I492" i="4"/>
  <c r="W491" i="4"/>
  <c r="I491" i="4"/>
  <c r="W490" i="4"/>
  <c r="I490" i="4"/>
  <c r="W489" i="4"/>
  <c r="I489" i="4"/>
  <c r="W488" i="4"/>
  <c r="I488" i="4"/>
  <c r="W487" i="4"/>
  <c r="I487" i="4"/>
  <c r="W486" i="4"/>
  <c r="I486" i="4"/>
  <c r="W485" i="4"/>
  <c r="I485" i="4"/>
  <c r="W484" i="4"/>
  <c r="I484" i="4"/>
  <c r="W483" i="4"/>
  <c r="I483" i="4"/>
  <c r="W482" i="4"/>
  <c r="I482" i="4"/>
  <c r="W481" i="4"/>
  <c r="I481" i="4"/>
  <c r="W480" i="4"/>
  <c r="I480" i="4"/>
  <c r="W479" i="4"/>
  <c r="I479" i="4"/>
  <c r="W478" i="4"/>
  <c r="I478" i="4"/>
  <c r="W477" i="4"/>
  <c r="I477" i="4"/>
  <c r="W476" i="4"/>
  <c r="I476" i="4"/>
  <c r="W475" i="4"/>
  <c r="I475" i="4"/>
  <c r="W474" i="4"/>
  <c r="I474" i="4"/>
  <c r="W473" i="4"/>
  <c r="I473" i="4"/>
  <c r="W472" i="4"/>
  <c r="I472" i="4"/>
  <c r="W471" i="4"/>
  <c r="I471" i="4"/>
  <c r="W470" i="4"/>
  <c r="I470" i="4"/>
  <c r="W469" i="4"/>
  <c r="I469" i="4"/>
  <c r="W468" i="4"/>
  <c r="I468" i="4"/>
  <c r="W467" i="4"/>
  <c r="I467" i="4"/>
  <c r="W466" i="4"/>
  <c r="I466" i="4"/>
  <c r="W465" i="4"/>
  <c r="I465" i="4"/>
  <c r="W464" i="4"/>
  <c r="I464" i="4"/>
  <c r="W463" i="4"/>
  <c r="I463" i="4"/>
  <c r="W462" i="4"/>
  <c r="I462" i="4"/>
  <c r="W461" i="4"/>
  <c r="I461" i="4"/>
  <c r="W460" i="4"/>
  <c r="I460" i="4"/>
  <c r="W459" i="4"/>
  <c r="I459" i="4"/>
  <c r="W458" i="4"/>
  <c r="I458" i="4"/>
  <c r="W457" i="4"/>
  <c r="I457" i="4"/>
  <c r="W456" i="4"/>
  <c r="I456" i="4"/>
  <c r="W455" i="4"/>
  <c r="I455" i="4"/>
  <c r="W454" i="4"/>
  <c r="I454" i="4"/>
  <c r="W453" i="4"/>
  <c r="I453" i="4"/>
  <c r="W452" i="4"/>
  <c r="I452" i="4"/>
  <c r="W451" i="4"/>
  <c r="I451" i="4"/>
  <c r="W450" i="4"/>
  <c r="I450" i="4"/>
  <c r="W449" i="4"/>
  <c r="I449" i="4"/>
  <c r="W448" i="4"/>
  <c r="I448" i="4"/>
  <c r="W447" i="4"/>
  <c r="I447" i="4"/>
  <c r="W446" i="4"/>
  <c r="I446" i="4"/>
  <c r="W445" i="4"/>
  <c r="I445" i="4"/>
  <c r="W444" i="4"/>
  <c r="I444" i="4"/>
  <c r="W443" i="4"/>
  <c r="I443" i="4"/>
  <c r="W442" i="4"/>
  <c r="I442" i="4"/>
  <c r="W441" i="4"/>
  <c r="I441" i="4"/>
  <c r="W440" i="4"/>
  <c r="I440" i="4"/>
  <c r="W439" i="4"/>
  <c r="I439" i="4"/>
  <c r="W438" i="4"/>
  <c r="I438" i="4"/>
  <c r="W437" i="4"/>
  <c r="I437" i="4"/>
  <c r="W436" i="4"/>
  <c r="I436" i="4"/>
  <c r="W435" i="4"/>
  <c r="I435" i="4"/>
  <c r="W434" i="4"/>
  <c r="I434" i="4"/>
  <c r="W433" i="4"/>
  <c r="I433" i="4"/>
  <c r="W432" i="4"/>
  <c r="I432" i="4"/>
  <c r="W431" i="4"/>
  <c r="I431" i="4"/>
  <c r="W430" i="4"/>
  <c r="I430" i="4"/>
  <c r="W429" i="4"/>
  <c r="I429" i="4"/>
  <c r="W428" i="4"/>
  <c r="I428" i="4"/>
  <c r="W427" i="4"/>
  <c r="I427" i="4"/>
  <c r="W426" i="4"/>
  <c r="I426" i="4"/>
  <c r="W425" i="4"/>
  <c r="I425" i="4"/>
  <c r="W424" i="4"/>
  <c r="I424" i="4"/>
  <c r="W423" i="4"/>
  <c r="I423" i="4"/>
  <c r="W422" i="4"/>
  <c r="I422" i="4"/>
  <c r="W421" i="4"/>
  <c r="I421" i="4"/>
  <c r="W420" i="4"/>
  <c r="I420" i="4"/>
  <c r="W419" i="4"/>
  <c r="I419" i="4"/>
  <c r="W418" i="4"/>
  <c r="I418" i="4"/>
  <c r="W417" i="4"/>
  <c r="I417" i="4"/>
  <c r="W416" i="4"/>
  <c r="I416" i="4"/>
  <c r="W415" i="4"/>
  <c r="I415" i="4"/>
  <c r="W414" i="4"/>
  <c r="I414" i="4"/>
  <c r="W413" i="4"/>
  <c r="I413" i="4"/>
  <c r="W412" i="4"/>
  <c r="I412" i="4"/>
  <c r="W411" i="4"/>
  <c r="I411" i="4"/>
  <c r="W410" i="4"/>
  <c r="I410" i="4"/>
  <c r="W409" i="4"/>
  <c r="I409" i="4"/>
  <c r="W408" i="4"/>
  <c r="I408" i="4"/>
  <c r="W407" i="4"/>
  <c r="I407" i="4"/>
  <c r="W406" i="4"/>
  <c r="I406" i="4"/>
  <c r="W405" i="4"/>
  <c r="I405" i="4"/>
  <c r="W404" i="4"/>
  <c r="I404" i="4"/>
  <c r="W403" i="4"/>
  <c r="I403" i="4"/>
  <c r="W402" i="4"/>
  <c r="I402" i="4"/>
  <c r="W401" i="4"/>
  <c r="I401" i="4"/>
  <c r="W400" i="4"/>
  <c r="I400" i="4"/>
  <c r="W399" i="4"/>
  <c r="I399" i="4"/>
  <c r="W398" i="4"/>
  <c r="I398" i="4"/>
  <c r="W397" i="4"/>
  <c r="I397" i="4"/>
  <c r="W396" i="4"/>
  <c r="I396" i="4"/>
  <c r="W395" i="4"/>
  <c r="I395" i="4"/>
  <c r="W394" i="4"/>
  <c r="I394" i="4"/>
  <c r="W393" i="4"/>
  <c r="I393" i="4"/>
  <c r="W392" i="4"/>
  <c r="I392" i="4"/>
  <c r="W391" i="4"/>
  <c r="I391" i="4"/>
  <c r="W390" i="4"/>
  <c r="I390" i="4"/>
  <c r="W389" i="4"/>
  <c r="I389" i="4"/>
  <c r="W388" i="4"/>
  <c r="I388" i="4"/>
  <c r="W387" i="4"/>
  <c r="I387" i="4"/>
  <c r="W386" i="4"/>
  <c r="I386" i="4"/>
  <c r="W385" i="4"/>
  <c r="I385" i="4"/>
  <c r="W384" i="4"/>
  <c r="I384" i="4"/>
  <c r="W383" i="4"/>
  <c r="I383" i="4"/>
  <c r="W382" i="4"/>
  <c r="I382" i="4"/>
  <c r="W381" i="4"/>
  <c r="I381" i="4"/>
  <c r="W380" i="4"/>
  <c r="I380" i="4"/>
  <c r="W379" i="4"/>
  <c r="I379" i="4"/>
  <c r="W378" i="4"/>
  <c r="I378" i="4"/>
  <c r="W377" i="4"/>
  <c r="I377" i="4"/>
  <c r="W376" i="4"/>
  <c r="I376" i="4"/>
  <c r="W375" i="4"/>
  <c r="I375" i="4"/>
  <c r="W374" i="4"/>
  <c r="I374" i="4"/>
  <c r="W373" i="4"/>
  <c r="I373" i="4"/>
  <c r="W372" i="4"/>
  <c r="I372" i="4"/>
  <c r="W371" i="4"/>
  <c r="I371" i="4"/>
  <c r="W370" i="4"/>
  <c r="I370" i="4"/>
  <c r="W369" i="4"/>
  <c r="I369" i="4"/>
  <c r="W368" i="4"/>
  <c r="I368" i="4"/>
  <c r="W367" i="4"/>
  <c r="I367" i="4"/>
  <c r="W366" i="4"/>
  <c r="I366" i="4"/>
  <c r="W365" i="4"/>
  <c r="I365" i="4"/>
  <c r="W364" i="4"/>
  <c r="I364" i="4"/>
  <c r="W363" i="4"/>
  <c r="I363" i="4"/>
  <c r="W362" i="4"/>
  <c r="I362" i="4"/>
  <c r="W361" i="4"/>
  <c r="I361" i="4"/>
  <c r="W360" i="4"/>
  <c r="I360" i="4"/>
  <c r="W359" i="4"/>
  <c r="I359" i="4"/>
  <c r="W358" i="4"/>
  <c r="I358" i="4"/>
  <c r="W357" i="4"/>
  <c r="I357" i="4"/>
  <c r="W356" i="4"/>
  <c r="I356" i="4"/>
  <c r="W355" i="4"/>
  <c r="I355" i="4"/>
  <c r="W354" i="4"/>
  <c r="I354" i="4"/>
  <c r="W353" i="4"/>
  <c r="I353" i="4"/>
  <c r="W352" i="4"/>
  <c r="I352" i="4"/>
  <c r="W351" i="4"/>
  <c r="I351" i="4"/>
  <c r="W350" i="4"/>
  <c r="I350" i="4"/>
  <c r="W349" i="4"/>
  <c r="I349" i="4"/>
  <c r="W348" i="4"/>
  <c r="I348" i="4"/>
  <c r="W347" i="4"/>
  <c r="I347" i="4"/>
  <c r="W346" i="4"/>
  <c r="I346" i="4"/>
  <c r="W345" i="4"/>
  <c r="I345" i="4"/>
  <c r="W344" i="4"/>
  <c r="I344" i="4"/>
  <c r="W343" i="4"/>
  <c r="I343" i="4"/>
  <c r="W342" i="4"/>
  <c r="I342" i="4"/>
  <c r="W341" i="4"/>
  <c r="I341" i="4"/>
  <c r="W340" i="4"/>
  <c r="I340" i="4"/>
  <c r="W339" i="4"/>
  <c r="I339" i="4"/>
  <c r="W338" i="4"/>
  <c r="I338" i="4"/>
  <c r="W337" i="4"/>
  <c r="I337" i="4"/>
  <c r="W336" i="4"/>
  <c r="I336" i="4"/>
  <c r="W335" i="4"/>
  <c r="I335" i="4"/>
  <c r="W334" i="4"/>
  <c r="I334" i="4"/>
  <c r="W333" i="4"/>
  <c r="I333" i="4"/>
  <c r="W332" i="4"/>
  <c r="I332" i="4"/>
  <c r="W331" i="4"/>
  <c r="I331" i="4"/>
  <c r="W330" i="4"/>
  <c r="I330" i="4"/>
  <c r="W329" i="4"/>
  <c r="I329" i="4"/>
  <c r="W328" i="4"/>
  <c r="I328" i="4"/>
  <c r="W327" i="4"/>
  <c r="I327" i="4"/>
  <c r="W326" i="4"/>
  <c r="I326" i="4"/>
  <c r="W325" i="4"/>
  <c r="I325" i="4"/>
  <c r="W324" i="4"/>
  <c r="I324" i="4"/>
  <c r="W323" i="4"/>
  <c r="I323" i="4"/>
  <c r="W322" i="4"/>
  <c r="I322" i="4"/>
  <c r="W321" i="4"/>
  <c r="I321" i="4"/>
  <c r="W320" i="4"/>
  <c r="I320" i="4"/>
  <c r="W319" i="4"/>
  <c r="I319" i="4"/>
  <c r="W318" i="4"/>
  <c r="I318" i="4"/>
  <c r="W317" i="4"/>
  <c r="I317" i="4"/>
  <c r="W316" i="4"/>
  <c r="I316" i="4"/>
  <c r="W315" i="4"/>
  <c r="I315" i="4"/>
  <c r="W314" i="4"/>
  <c r="I314" i="4"/>
  <c r="W313" i="4"/>
  <c r="I313" i="4"/>
  <c r="W312" i="4"/>
  <c r="I312" i="4"/>
  <c r="W311" i="4"/>
  <c r="I311" i="4"/>
  <c r="W310" i="4"/>
  <c r="I310" i="4"/>
  <c r="W309" i="4"/>
  <c r="I309" i="4"/>
  <c r="W308" i="4"/>
  <c r="I308" i="4"/>
  <c r="W307" i="4"/>
  <c r="I307" i="4"/>
  <c r="W306" i="4"/>
  <c r="I306" i="4"/>
  <c r="W305" i="4"/>
  <c r="I305" i="4"/>
  <c r="W304" i="4"/>
  <c r="I304" i="4"/>
  <c r="W303" i="4"/>
  <c r="I303" i="4"/>
  <c r="W302" i="4"/>
  <c r="I302" i="4"/>
  <c r="W301" i="4"/>
  <c r="I301" i="4"/>
  <c r="W300" i="4"/>
  <c r="I300" i="4"/>
  <c r="W299" i="4"/>
  <c r="I299" i="4"/>
  <c r="W298" i="4"/>
  <c r="I298" i="4"/>
  <c r="W297" i="4"/>
  <c r="I297" i="4"/>
  <c r="W296" i="4"/>
  <c r="I296" i="4"/>
  <c r="W295" i="4"/>
  <c r="I295" i="4"/>
  <c r="W294" i="4"/>
  <c r="I294" i="4"/>
  <c r="W293" i="4"/>
  <c r="I293" i="4"/>
  <c r="W292" i="4"/>
  <c r="I292" i="4"/>
  <c r="W291" i="4"/>
  <c r="I291" i="4"/>
  <c r="W290" i="4"/>
  <c r="I290" i="4"/>
  <c r="W289" i="4"/>
  <c r="I289" i="4"/>
  <c r="W288" i="4"/>
  <c r="I288" i="4"/>
  <c r="W287" i="4"/>
  <c r="I287" i="4"/>
  <c r="W286" i="4"/>
  <c r="I286" i="4"/>
  <c r="W285" i="4"/>
  <c r="I285" i="4"/>
  <c r="W284" i="4"/>
  <c r="I284" i="4"/>
  <c r="W283" i="4"/>
  <c r="I283" i="4"/>
  <c r="W282" i="4"/>
  <c r="I282" i="4"/>
  <c r="W281" i="4"/>
  <c r="I281" i="4"/>
  <c r="W280" i="4"/>
  <c r="I280" i="4"/>
  <c r="W279" i="4"/>
  <c r="I279" i="4"/>
  <c r="W278" i="4"/>
  <c r="I278" i="4"/>
  <c r="W277" i="4"/>
  <c r="I277" i="4"/>
  <c r="W276" i="4"/>
  <c r="I276" i="4"/>
  <c r="W275" i="4"/>
  <c r="I275" i="4"/>
  <c r="W274" i="4"/>
  <c r="I274" i="4"/>
  <c r="W273" i="4"/>
  <c r="I273" i="4"/>
  <c r="W272" i="4"/>
  <c r="I272" i="4"/>
  <c r="W271" i="4"/>
  <c r="I271" i="4"/>
  <c r="W270" i="4"/>
  <c r="I270" i="4"/>
  <c r="W269" i="4"/>
  <c r="I269" i="4"/>
  <c r="W268" i="4"/>
  <c r="I268" i="4"/>
  <c r="W267" i="4"/>
  <c r="I267" i="4"/>
  <c r="W266" i="4"/>
  <c r="I266" i="4"/>
  <c r="W265" i="4"/>
  <c r="I265" i="4"/>
  <c r="W264" i="4"/>
  <c r="I264" i="4"/>
  <c r="W263" i="4"/>
  <c r="I263" i="4"/>
  <c r="W262" i="4"/>
  <c r="I262" i="4"/>
  <c r="W261" i="4"/>
  <c r="I261" i="4"/>
  <c r="W260" i="4"/>
  <c r="I260" i="4"/>
  <c r="W259" i="4"/>
  <c r="I259" i="4"/>
  <c r="W258" i="4"/>
  <c r="I258" i="4"/>
  <c r="W257" i="4"/>
  <c r="I257" i="4"/>
  <c r="W256" i="4"/>
  <c r="I256" i="4"/>
  <c r="W255" i="4"/>
  <c r="I255" i="4"/>
  <c r="W254" i="4"/>
  <c r="I254" i="4"/>
  <c r="W253" i="4"/>
  <c r="I253" i="4"/>
  <c r="W252" i="4"/>
  <c r="I252" i="4"/>
  <c r="W251" i="4"/>
  <c r="I251" i="4"/>
  <c r="W250" i="4"/>
  <c r="I250" i="4"/>
  <c r="W249" i="4"/>
  <c r="I249" i="4"/>
  <c r="W248" i="4"/>
  <c r="I248" i="4"/>
  <c r="W247" i="4"/>
  <c r="I247" i="4"/>
  <c r="W246" i="4"/>
  <c r="I246" i="4"/>
  <c r="W245" i="4"/>
  <c r="I245" i="4"/>
  <c r="W244" i="4"/>
  <c r="I244" i="4"/>
  <c r="W243" i="4"/>
  <c r="I243" i="4"/>
  <c r="W242" i="4"/>
  <c r="I242" i="4"/>
  <c r="W241" i="4"/>
  <c r="I241" i="4"/>
  <c r="W240" i="4"/>
  <c r="I240" i="4"/>
  <c r="W239" i="4"/>
  <c r="I239" i="4"/>
  <c r="W238" i="4"/>
  <c r="I238" i="4"/>
  <c r="W237" i="4"/>
  <c r="I237" i="4"/>
  <c r="W236" i="4"/>
  <c r="I236" i="4"/>
  <c r="W235" i="4"/>
  <c r="I235" i="4"/>
  <c r="W234" i="4"/>
  <c r="I234" i="4"/>
  <c r="W233" i="4"/>
  <c r="I233" i="4"/>
  <c r="W232" i="4"/>
  <c r="I232" i="4"/>
  <c r="W231" i="4"/>
  <c r="I231" i="4"/>
  <c r="W230" i="4"/>
  <c r="I230" i="4"/>
  <c r="W229" i="4"/>
  <c r="I229" i="4"/>
  <c r="W228" i="4"/>
  <c r="I228" i="4"/>
  <c r="W227" i="4"/>
  <c r="I227" i="4"/>
  <c r="W226" i="4"/>
  <c r="I226" i="4"/>
  <c r="W225" i="4"/>
  <c r="I225" i="4"/>
  <c r="W224" i="4"/>
  <c r="I224" i="4"/>
  <c r="W223" i="4"/>
  <c r="I223" i="4"/>
  <c r="W222" i="4"/>
  <c r="I222" i="4"/>
  <c r="W221" i="4"/>
  <c r="I221" i="4"/>
  <c r="W220" i="4"/>
  <c r="I220" i="4"/>
  <c r="W219" i="4"/>
  <c r="I219" i="4"/>
  <c r="W218" i="4"/>
  <c r="I218" i="4"/>
  <c r="W217" i="4"/>
  <c r="I217" i="4"/>
  <c r="W216" i="4"/>
  <c r="I216" i="4"/>
  <c r="W215" i="4"/>
  <c r="I215" i="4"/>
  <c r="W214" i="4"/>
  <c r="I214" i="4"/>
  <c r="W213" i="4"/>
  <c r="I213" i="4"/>
  <c r="W212" i="4"/>
  <c r="I212" i="4"/>
  <c r="W211" i="4"/>
  <c r="I211" i="4"/>
  <c r="W210" i="4"/>
  <c r="I210" i="4"/>
  <c r="W209" i="4"/>
  <c r="I209" i="4"/>
  <c r="W208" i="4"/>
  <c r="I208" i="4"/>
  <c r="W207" i="4"/>
  <c r="I207" i="4"/>
  <c r="W206" i="4"/>
  <c r="I206" i="4"/>
  <c r="W205" i="4"/>
  <c r="I205" i="4"/>
  <c r="W204" i="4"/>
  <c r="I204" i="4"/>
  <c r="W203" i="4"/>
  <c r="I203" i="4"/>
  <c r="W202" i="4"/>
  <c r="I202" i="4"/>
  <c r="W201" i="4"/>
  <c r="I201" i="4"/>
  <c r="W200" i="4"/>
  <c r="I200" i="4"/>
  <c r="W199" i="4"/>
  <c r="I199" i="4"/>
  <c r="W198" i="4"/>
  <c r="I198" i="4"/>
  <c r="W197" i="4"/>
  <c r="I197" i="4"/>
  <c r="W196" i="4"/>
  <c r="I196" i="4"/>
  <c r="W195" i="4"/>
  <c r="I195" i="4"/>
  <c r="W194" i="4"/>
  <c r="I194" i="4"/>
  <c r="W193" i="4"/>
  <c r="I193" i="4"/>
  <c r="W192" i="4"/>
  <c r="I192" i="4"/>
  <c r="W191" i="4"/>
  <c r="I191" i="4"/>
  <c r="W190" i="4"/>
  <c r="I190" i="4"/>
  <c r="W189" i="4"/>
  <c r="I189" i="4"/>
  <c r="W188" i="4"/>
  <c r="I188" i="4"/>
  <c r="W187" i="4"/>
  <c r="I187" i="4"/>
  <c r="W186" i="4"/>
  <c r="I186" i="4"/>
  <c r="W185" i="4"/>
  <c r="I185" i="4"/>
  <c r="W184" i="4"/>
  <c r="I184" i="4"/>
  <c r="W183" i="4"/>
  <c r="I183" i="4"/>
  <c r="W182" i="4"/>
  <c r="I182" i="4"/>
  <c r="W181" i="4"/>
  <c r="I181" i="4"/>
  <c r="W180" i="4"/>
  <c r="I180" i="4"/>
  <c r="W179" i="4"/>
  <c r="I179" i="4"/>
  <c r="W178" i="4"/>
  <c r="I178" i="4"/>
  <c r="W177" i="4"/>
  <c r="I177" i="4"/>
  <c r="W176" i="4"/>
  <c r="I176" i="4"/>
  <c r="W175" i="4"/>
  <c r="I175" i="4"/>
  <c r="W174" i="4"/>
  <c r="I174" i="4"/>
  <c r="W173" i="4"/>
  <c r="I173" i="4"/>
  <c r="W172" i="4"/>
  <c r="I172" i="4"/>
  <c r="W171" i="4"/>
  <c r="I171" i="4"/>
  <c r="W170" i="4"/>
  <c r="I170" i="4"/>
  <c r="W169" i="4"/>
  <c r="I169" i="4"/>
  <c r="W168" i="4"/>
  <c r="I168" i="4"/>
  <c r="W167" i="4"/>
  <c r="I167" i="4"/>
  <c r="W166" i="4"/>
  <c r="I166" i="4"/>
  <c r="W165" i="4"/>
  <c r="I165" i="4"/>
  <c r="W164" i="4"/>
  <c r="I164" i="4"/>
  <c r="W163" i="4"/>
  <c r="I163" i="4"/>
  <c r="W162" i="4"/>
  <c r="I162" i="4"/>
  <c r="W161" i="4"/>
  <c r="I161" i="4"/>
  <c r="W160" i="4"/>
  <c r="I160" i="4"/>
  <c r="W159" i="4"/>
  <c r="I159" i="4"/>
  <c r="W158" i="4"/>
  <c r="I158" i="4"/>
  <c r="W157" i="4"/>
  <c r="I157" i="4"/>
  <c r="W156" i="4"/>
  <c r="I156" i="4"/>
  <c r="W155" i="4"/>
  <c r="I155" i="4"/>
  <c r="W154" i="4"/>
  <c r="I154" i="4"/>
  <c r="W153" i="4"/>
  <c r="I153" i="4"/>
  <c r="W152" i="4"/>
  <c r="I152" i="4"/>
  <c r="W151" i="4"/>
  <c r="I151" i="4"/>
  <c r="W150" i="4"/>
  <c r="I150" i="4"/>
  <c r="W149" i="4"/>
  <c r="I149" i="4"/>
  <c r="W148" i="4"/>
  <c r="I148" i="4"/>
  <c r="W147" i="4"/>
  <c r="I147" i="4"/>
  <c r="W146" i="4"/>
  <c r="I146" i="4"/>
  <c r="W145" i="4"/>
  <c r="I145" i="4"/>
  <c r="W144" i="4"/>
  <c r="I144" i="4"/>
  <c r="W143" i="4"/>
  <c r="I143" i="4"/>
  <c r="W142" i="4"/>
  <c r="I142" i="4"/>
  <c r="W141" i="4"/>
  <c r="I141" i="4"/>
  <c r="W140" i="4"/>
  <c r="I140" i="4"/>
  <c r="W139" i="4"/>
  <c r="I139" i="4"/>
  <c r="W138" i="4"/>
  <c r="I138" i="4"/>
  <c r="W137" i="4"/>
  <c r="I137" i="4"/>
  <c r="W136" i="4"/>
  <c r="I136" i="4"/>
  <c r="W135" i="4"/>
  <c r="I135" i="4"/>
  <c r="W134" i="4"/>
  <c r="I134" i="4"/>
  <c r="W133" i="4"/>
  <c r="I133" i="4"/>
  <c r="W132" i="4"/>
  <c r="I132" i="4"/>
  <c r="W131" i="4"/>
  <c r="I131" i="4"/>
  <c r="W130" i="4"/>
  <c r="I130" i="4"/>
  <c r="W129" i="4"/>
  <c r="I129" i="4"/>
  <c r="W128" i="4"/>
  <c r="I128" i="4"/>
  <c r="W127" i="4"/>
  <c r="I127" i="4"/>
  <c r="W126" i="4"/>
  <c r="I126" i="4"/>
  <c r="W125" i="4"/>
  <c r="I125" i="4"/>
  <c r="W124" i="4"/>
  <c r="I124" i="4"/>
  <c r="W123" i="4"/>
  <c r="I123" i="4"/>
  <c r="W122" i="4"/>
  <c r="I122" i="4"/>
  <c r="W121" i="4"/>
  <c r="I121" i="4"/>
  <c r="W120" i="4"/>
  <c r="I120" i="4"/>
  <c r="W119" i="4"/>
  <c r="I119" i="4"/>
  <c r="W118" i="4"/>
  <c r="I118" i="4"/>
  <c r="W117" i="4"/>
  <c r="I117" i="4"/>
  <c r="W116" i="4"/>
  <c r="I116" i="4"/>
  <c r="W115" i="4"/>
  <c r="I115" i="4"/>
  <c r="W114" i="4"/>
  <c r="I114" i="4"/>
  <c r="W113" i="4"/>
  <c r="I113" i="4"/>
  <c r="W112" i="4"/>
  <c r="I112" i="4"/>
  <c r="W111" i="4"/>
  <c r="I111" i="4"/>
  <c r="W110" i="4"/>
  <c r="I110" i="4"/>
  <c r="W109" i="4"/>
  <c r="I109" i="4"/>
  <c r="W108" i="4"/>
  <c r="I108" i="4"/>
  <c r="W107" i="4"/>
  <c r="I107" i="4"/>
  <c r="W106" i="4"/>
  <c r="I106" i="4"/>
  <c r="W105" i="4"/>
  <c r="I105" i="4"/>
  <c r="W104" i="4"/>
  <c r="I104" i="4"/>
  <c r="W103" i="4"/>
  <c r="I103" i="4"/>
  <c r="W102" i="4"/>
  <c r="I102" i="4"/>
  <c r="W101" i="4"/>
  <c r="I101" i="4"/>
  <c r="W100" i="4"/>
  <c r="I100" i="4"/>
  <c r="W99" i="4"/>
  <c r="I99" i="4"/>
  <c r="W98" i="4"/>
  <c r="I98" i="4"/>
  <c r="W97" i="4"/>
  <c r="I97" i="4"/>
  <c r="W96" i="4"/>
  <c r="I96" i="4"/>
  <c r="W95" i="4"/>
  <c r="I95" i="4"/>
  <c r="W94" i="4"/>
  <c r="I94" i="4"/>
  <c r="W93" i="4"/>
  <c r="I93" i="4"/>
  <c r="W92" i="4"/>
  <c r="I92" i="4"/>
  <c r="W91" i="4"/>
  <c r="I91" i="4"/>
  <c r="W90" i="4"/>
  <c r="I90" i="4"/>
  <c r="W89" i="4"/>
  <c r="I89" i="4"/>
  <c r="W88" i="4"/>
  <c r="I88" i="4"/>
  <c r="W87" i="4"/>
  <c r="I87" i="4"/>
  <c r="W86" i="4"/>
  <c r="I86" i="4"/>
  <c r="W85" i="4"/>
  <c r="I85" i="4"/>
  <c r="W84" i="4"/>
  <c r="I84" i="4"/>
  <c r="W83" i="4"/>
  <c r="I83" i="4"/>
  <c r="W82" i="4"/>
  <c r="I82" i="4"/>
  <c r="W81" i="4"/>
  <c r="I81" i="4"/>
  <c r="W80" i="4"/>
  <c r="I80" i="4"/>
  <c r="W79" i="4"/>
  <c r="I79" i="4"/>
  <c r="W78" i="4"/>
  <c r="I78" i="4"/>
  <c r="W77" i="4"/>
  <c r="I77" i="4"/>
  <c r="W76" i="4"/>
  <c r="I76" i="4"/>
  <c r="W75" i="4"/>
  <c r="I75" i="4"/>
  <c r="W74" i="4"/>
  <c r="I74" i="4"/>
  <c r="W73" i="4"/>
  <c r="I73" i="4"/>
  <c r="W72" i="4"/>
  <c r="I72" i="4"/>
  <c r="W71" i="4"/>
  <c r="I71" i="4"/>
  <c r="W70" i="4"/>
  <c r="I70" i="4"/>
  <c r="W69" i="4"/>
  <c r="I69" i="4"/>
  <c r="W68" i="4"/>
  <c r="I68" i="4"/>
  <c r="W67" i="4"/>
  <c r="I67" i="4"/>
  <c r="W66" i="4"/>
  <c r="I66" i="4"/>
  <c r="W65" i="4"/>
  <c r="I65" i="4"/>
  <c r="W64" i="4"/>
  <c r="I64" i="4"/>
  <c r="W63" i="4"/>
  <c r="I63" i="4"/>
  <c r="W62" i="4"/>
  <c r="I62" i="4"/>
  <c r="W61" i="4"/>
  <c r="I61" i="4"/>
  <c r="W60" i="4"/>
  <c r="I60" i="4"/>
  <c r="W59" i="4"/>
  <c r="I59" i="4"/>
  <c r="W58" i="4"/>
  <c r="I58" i="4"/>
  <c r="W57" i="4"/>
  <c r="I57" i="4"/>
  <c r="W56" i="4"/>
  <c r="I56" i="4"/>
  <c r="W55" i="4"/>
  <c r="I55" i="4"/>
  <c r="W54" i="4"/>
  <c r="I54" i="4"/>
  <c r="W53" i="4"/>
  <c r="I53" i="4"/>
  <c r="W52" i="4"/>
  <c r="I52" i="4"/>
  <c r="W51" i="4"/>
  <c r="I51" i="4"/>
  <c r="W50" i="4"/>
  <c r="I50" i="4"/>
  <c r="W49" i="4"/>
  <c r="I49" i="4"/>
  <c r="W48" i="4"/>
  <c r="I48" i="4"/>
  <c r="W47" i="4"/>
  <c r="I47" i="4"/>
  <c r="W46" i="4"/>
  <c r="I46" i="4"/>
  <c r="W45" i="4"/>
  <c r="I45" i="4"/>
  <c r="W44" i="4"/>
  <c r="I44" i="4"/>
  <c r="W43" i="4"/>
  <c r="I43" i="4"/>
  <c r="W42" i="4"/>
  <c r="I42" i="4"/>
  <c r="W41" i="4"/>
  <c r="I41" i="4"/>
  <c r="W40" i="4"/>
  <c r="I40" i="4"/>
  <c r="W39" i="4"/>
  <c r="I39" i="4"/>
  <c r="W38" i="4"/>
  <c r="I38" i="4"/>
  <c r="W37" i="4"/>
  <c r="I37" i="4"/>
  <c r="W36" i="4"/>
  <c r="I36" i="4"/>
  <c r="W35" i="4"/>
  <c r="I35" i="4"/>
  <c r="W34" i="4"/>
  <c r="I34" i="4"/>
  <c r="W33" i="4"/>
  <c r="I33" i="4"/>
  <c r="W32" i="4"/>
  <c r="I32" i="4"/>
  <c r="W31" i="4"/>
  <c r="I31" i="4"/>
  <c r="W30" i="4"/>
  <c r="I30" i="4"/>
  <c r="W29" i="4"/>
  <c r="I29" i="4"/>
  <c r="W28" i="4"/>
  <c r="I28" i="4"/>
  <c r="W27" i="4"/>
  <c r="I27" i="4"/>
  <c r="W26" i="4"/>
  <c r="I26" i="4"/>
  <c r="W25" i="4"/>
  <c r="I25" i="4"/>
  <c r="W24" i="4"/>
  <c r="I24" i="4"/>
  <c r="W23" i="4"/>
  <c r="I23" i="4"/>
  <c r="W22" i="4"/>
  <c r="I22" i="4"/>
  <c r="W21" i="4"/>
  <c r="I21" i="4"/>
  <c r="W20" i="4"/>
  <c r="I20" i="4"/>
  <c r="W19" i="4"/>
  <c r="I19" i="4"/>
  <c r="W18" i="4"/>
  <c r="I18" i="4"/>
  <c r="W17" i="4"/>
  <c r="I17" i="4"/>
  <c r="W16" i="4"/>
  <c r="I16" i="4"/>
  <c r="W15" i="4"/>
  <c r="I15" i="4"/>
  <c r="W14" i="4"/>
  <c r="I14" i="4"/>
  <c r="W13" i="4"/>
  <c r="I13" i="4"/>
  <c r="W12" i="4"/>
  <c r="I12" i="4"/>
  <c r="W11" i="4"/>
  <c r="I11" i="4"/>
  <c r="W10" i="4"/>
  <c r="I10" i="4"/>
  <c r="W9" i="4"/>
  <c r="I9" i="4"/>
  <c r="W8" i="4"/>
  <c r="I8" i="4"/>
  <c r="W7" i="4"/>
  <c r="I7" i="4"/>
  <c r="W6" i="4"/>
  <c r="I6" i="4"/>
  <c r="W5" i="4"/>
  <c r="I5" i="4"/>
  <c r="W4" i="4"/>
  <c r="I4" i="4"/>
  <c r="W3" i="4"/>
  <c r="I3" i="4"/>
  <c r="M1" i="4"/>
  <c r="K1" i="4"/>
  <c r="S1" i="5" l="1"/>
  <c r="X1" i="4"/>
</calcChain>
</file>

<file path=xl/sharedStrings.xml><?xml version="1.0" encoding="utf-8"?>
<sst xmlns="http://schemas.openxmlformats.org/spreadsheetml/2006/main" count="42189" uniqueCount="3100">
  <si>
    <t>Số hóa đơn</t>
  </si>
  <si>
    <t>Ngày lập hóa đơn</t>
  </si>
  <si>
    <t>STT mặt hàng</t>
  </si>
  <si>
    <t>TÊN HÀNG HÓA - DỊCH VỤ</t>
  </si>
  <si>
    <t>Đơn vị tính</t>
  </si>
  <si>
    <t>Số lượng</t>
  </si>
  <si>
    <t>Đơn giá</t>
  </si>
  <si>
    <t>Thành tiền</t>
  </si>
  <si>
    <t>Thuế suất thuế GTGT(%)</t>
  </si>
  <si>
    <t>Trạng thái hóa đơn</t>
  </si>
  <si>
    <t>Hóa đơn liên quan</t>
  </si>
  <si>
    <t>Thông tin hóa đơn liên quan</t>
  </si>
  <si>
    <t>Ngày lập hóa đơn (dạng text)</t>
  </si>
  <si>
    <t>26</t>
  </si>
  <si>
    <t>Hàng hóa dịch vụ</t>
  </si>
  <si>
    <t>Cái</t>
  </si>
  <si>
    <t>8%</t>
  </si>
  <si>
    <t>Hóa đơn mới</t>
  </si>
  <si>
    <t/>
  </si>
  <si>
    <t>Chiếc</t>
  </si>
  <si>
    <t>45</t>
  </si>
  <si>
    <t>Găng tay cao su s8</t>
  </si>
  <si>
    <t>Đôi</t>
  </si>
  <si>
    <t>Găng tay cao su s7n</t>
  </si>
  <si>
    <t>Găng tay sợi phủ lòng cao su</t>
  </si>
  <si>
    <t>4</t>
  </si>
  <si>
    <t>Dầu Điêzen 0,05S Mức 2</t>
  </si>
  <si>
    <t>Lít</t>
  </si>
  <si>
    <t>31/12/2025</t>
  </si>
  <si>
    <t>Dầu DO 0,05S-II</t>
  </si>
  <si>
    <t>10%</t>
  </si>
  <si>
    <t>12/06/2025</t>
  </si>
  <si>
    <t>06/06/2025</t>
  </si>
  <si>
    <t>1</t>
  </si>
  <si>
    <t>Bạt PP</t>
  </si>
  <si>
    <t>Kg</t>
  </si>
  <si>
    <t>31/05/2025</t>
  </si>
  <si>
    <t>27/05/2025</t>
  </si>
  <si>
    <t>06/05/2025</t>
  </si>
  <si>
    <t>21/04/2025</t>
  </si>
  <si>
    <t>14/03/2025</t>
  </si>
  <si>
    <t>10/03/2025</t>
  </si>
  <si>
    <t>31/03/2025</t>
  </si>
  <si>
    <t>Máy ép chậm Sunhouse SHD5503</t>
  </si>
  <si>
    <t>23/01/2025</t>
  </si>
  <si>
    <t>lít</t>
  </si>
  <si>
    <t>VND</t>
  </si>
  <si>
    <t>Mét</t>
  </si>
  <si>
    <t>Ống u.PVC Class2 DN 90 PN6</t>
  </si>
  <si>
    <t>199</t>
  </si>
  <si>
    <t>M2</t>
  </si>
  <si>
    <t>thanh</t>
  </si>
  <si>
    <t>183</t>
  </si>
  <si>
    <t>Bộ</t>
  </si>
  <si>
    <t>Thùng</t>
  </si>
  <si>
    <t>Hộp</t>
  </si>
  <si>
    <t>Lon</t>
  </si>
  <si>
    <t>Băng cản nước HK Waterbar V20</t>
  </si>
  <si>
    <t>Phụ gia bê tông chống thấm Sika Latex TH 25l</t>
  </si>
  <si>
    <t>Tôn mạ màu</t>
  </si>
  <si>
    <t>Chai</t>
  </si>
  <si>
    <t>77</t>
  </si>
  <si>
    <t>kg</t>
  </si>
  <si>
    <t>73</t>
  </si>
  <si>
    <t>Thép hộp mạ kẽm 50x100x1.4</t>
  </si>
  <si>
    <t>Thép hộp mạ kẽm 20x40x1.4</t>
  </si>
  <si>
    <t>Thép hộp mạ kẽm 30x30x1.1</t>
  </si>
  <si>
    <t>Thép hộp mạ kẽm 16x16x1.1</t>
  </si>
  <si>
    <t>Thép hộp mạ kẽm 30x60x1.4</t>
  </si>
  <si>
    <t>Thép hộp mạ kẽm 40x80x1.4</t>
  </si>
  <si>
    <t>Tôn xốp 0.35</t>
  </si>
  <si>
    <t>m</t>
  </si>
  <si>
    <t>Tôn mạ màu 0.35</t>
  </si>
  <si>
    <t>Thép ống kẽm nhúng 21.2x1.9</t>
  </si>
  <si>
    <t>Thép hộp mạ kẽm 25x50x1.1</t>
  </si>
  <si>
    <t>Thép hộp mạ kẽm 25x50x1.4</t>
  </si>
  <si>
    <t>Thép hộp mạ kẽm 75x75x1.8</t>
  </si>
  <si>
    <t>Thép hộp mạ kẽm 40x40x1.4</t>
  </si>
  <si>
    <t>m2</t>
  </si>
  <si>
    <t>Khẩu trang 3M 9001</t>
  </si>
  <si>
    <t>Hóa chất cấy thép Ramset Epcon G5 Pro - Tuýp 600ml</t>
  </si>
  <si>
    <t>Tuýp</t>
  </si>
  <si>
    <t>142</t>
  </si>
  <si>
    <t>141</t>
  </si>
  <si>
    <t>41</t>
  </si>
  <si>
    <t>36</t>
  </si>
  <si>
    <t>ĐAS Nắp bít ĐK 21</t>
  </si>
  <si>
    <t>Ống u.PVC Class2 DN 110 PN6</t>
  </si>
  <si>
    <t>Ống PPR DN 25 PN10</t>
  </si>
  <si>
    <t>Ống PPR DN 25 PN20</t>
  </si>
  <si>
    <t>176</t>
  </si>
  <si>
    <t>99</t>
  </si>
  <si>
    <t>DH-SZP107-E4 Đá cắt xanh 107*1.2mm E</t>
  </si>
  <si>
    <t>137</t>
  </si>
  <si>
    <t>DL-SK02-E1 Bút dạ ngòi dài màu xanh E</t>
  </si>
  <si>
    <t>DL4805T Mũi chụp tôn đen 8*48mm E</t>
  </si>
  <si>
    <t>JDDC4K06 - Đĩa cắt siêu mỏng</t>
  </si>
  <si>
    <t>8</t>
  </si>
  <si>
    <t>Sơn nước ngoại thất</t>
  </si>
  <si>
    <t>Viên</t>
  </si>
  <si>
    <t>Majestic hoàn hảo bóng base A 4.5L</t>
  </si>
  <si>
    <t>Majestic đẹp hoàn hảo bóng base A 13.5L</t>
  </si>
  <si>
    <t>Majestic Primer 17L</t>
  </si>
  <si>
    <t>126</t>
  </si>
  <si>
    <t>Gạch lát KT 600x600</t>
  </si>
  <si>
    <t>Gạch ốp KT 300x600</t>
  </si>
  <si>
    <t>M</t>
  </si>
  <si>
    <t>Keo Acrylic S1</t>
  </si>
  <si>
    <t>Silicone trung tính S5 đen</t>
  </si>
  <si>
    <t>Silicone trung tính S5 trắng</t>
  </si>
  <si>
    <t>Thép hộp mạ kẽm 50x50x1.4</t>
  </si>
  <si>
    <t>122</t>
  </si>
  <si>
    <t>160</t>
  </si>
  <si>
    <t>Ván ép phủ phim 2 mặt kích thước ( 2440 x 1220 x 15) mm</t>
  </si>
  <si>
    <t>Tấm</t>
  </si>
  <si>
    <t>103</t>
  </si>
  <si>
    <t>Phí Quản lý tài khoản VND (Tổ chức)</t>
  </si>
  <si>
    <t>Phí thanh toán SMS</t>
  </si>
  <si>
    <t>Phí dịch vụ ngân hàng</t>
  </si>
  <si>
    <t>20</t>
  </si>
  <si>
    <t>69</t>
  </si>
  <si>
    <t>JDDC1K01 - Đĩa cắt gạch khô 110 x 20 mm</t>
  </si>
  <si>
    <t>DH-HBZ25280-E1 Mũi đục dẹp chuôi lục giác 17x280x25mm E</t>
  </si>
  <si>
    <t>DH-HJZ017-E1 Mũi đục nhọn chuôi lục giác 17x280mm E</t>
  </si>
  <si>
    <t>156</t>
  </si>
  <si>
    <t>108</t>
  </si>
  <si>
    <t>97</t>
  </si>
  <si>
    <t>Cuộn</t>
  </si>
  <si>
    <t>Phụ gia bê tông chống thấm Sika Latex TH 25L</t>
  </si>
  <si>
    <t>Kim bơm cao áp bằng thép B10</t>
  </si>
  <si>
    <t>cái</t>
  </si>
  <si>
    <t>Chất kết dính sikadur - 31CF Normal AB (1.2 kg/set)</t>
  </si>
  <si>
    <t>Tôn mạ màu 0,35</t>
  </si>
  <si>
    <t>mét</t>
  </si>
  <si>
    <t>Thép hộp mạ kẽm 20x40x1.1</t>
  </si>
  <si>
    <t>Xăng RON 95 Mức 3</t>
  </si>
  <si>
    <t>10</t>
  </si>
  <si>
    <t>84</t>
  </si>
  <si>
    <t>Ván ép phủ phim 2 mặt kích thước ( 2440 x 1220 x 18) mm</t>
  </si>
  <si>
    <t>76</t>
  </si>
  <si>
    <t>6</t>
  </si>
  <si>
    <t>Ty ren D16</t>
  </si>
  <si>
    <t>Máy mài góc GA4034</t>
  </si>
  <si>
    <t>Phí chuyển tiền khác hệ thống dưới 500 triệu VND</t>
  </si>
  <si>
    <t>Phí kiểm định ô tô tải đến 2 tấn 36C-178.44T</t>
  </si>
  <si>
    <t>Xe</t>
  </si>
  <si>
    <t>44</t>
  </si>
  <si>
    <t>Nối góc 90 độ phun u.PVC DN 60 PN8</t>
  </si>
  <si>
    <t>Ống uPVC DN27 PN16 (Class2)</t>
  </si>
  <si>
    <t>37</t>
  </si>
  <si>
    <t>Ba chạc 90 độ phun uPVC ĐK 110 PN6</t>
  </si>
  <si>
    <t>Ba chạc 90 độ fun ĐK 48</t>
  </si>
  <si>
    <t>64</t>
  </si>
  <si>
    <t>18</t>
  </si>
  <si>
    <t>102</t>
  </si>
  <si>
    <t>Chất biến đổi gỉ B05</t>
  </si>
  <si>
    <t>134</t>
  </si>
  <si>
    <t>Ma tít gắn thép Ramset Epcon G5 PRO</t>
  </si>
  <si>
    <t>Thép góc L40</t>
  </si>
  <si>
    <t>Hộp Inox 304</t>
  </si>
  <si>
    <t>48</t>
  </si>
  <si>
    <t>Máy đầm đất (ZPC25)</t>
  </si>
  <si>
    <t>Dầu Điêzen 0,001S Mức 5</t>
  </si>
  <si>
    <t>74</t>
  </si>
  <si>
    <t>Chuyến</t>
  </si>
  <si>
    <t>78</t>
  </si>
  <si>
    <t>195</t>
  </si>
  <si>
    <t>Bạt xanh cam</t>
  </si>
  <si>
    <t>184</t>
  </si>
  <si>
    <t>3</t>
  </si>
  <si>
    <t>19</t>
  </si>
  <si>
    <t>SƠN CÔNG NGHIỆP ĐA NĂNG - SK 1KG</t>
  </si>
  <si>
    <t>25</t>
  </si>
  <si>
    <t>lon</t>
  </si>
  <si>
    <t>DH-Y20310 Mũi khoan bê tông xuyên tường 20*310mm E</t>
  </si>
  <si>
    <t>EDH-Y16310 Mũi khoan bê tông xuyên tường 16*310mm</t>
  </si>
  <si>
    <t>DH-Y18310 Mũi khoan bê tông xuyên tường 18*310mm E</t>
  </si>
  <si>
    <t>EDH-HJZ017-E1 Mũi đục</t>
  </si>
  <si>
    <t>72</t>
  </si>
  <si>
    <t>Majestic  Primer 17L</t>
  </si>
  <si>
    <t>57</t>
  </si>
  <si>
    <t>JOTASHIELD BỀN MÀU TOÀN DIỆN BASE A     4.5L</t>
  </si>
  <si>
    <t>Jotashield Primer 17L</t>
  </si>
  <si>
    <t>Jotun waterguard light 20KG</t>
  </si>
  <si>
    <t>JOTUN BỘT TRÉT NỘI THẤT 40KG</t>
  </si>
  <si>
    <t>Bao</t>
  </si>
  <si>
    <t>15</t>
  </si>
  <si>
    <t>133</t>
  </si>
  <si>
    <t>113</t>
  </si>
  <si>
    <t>Essence sơn lót chống kiềm 17L</t>
  </si>
  <si>
    <t>96</t>
  </si>
  <si>
    <t>Polyurethane nguyên sinh TCK-669 (9kg/thùng)</t>
  </si>
  <si>
    <t>thùng</t>
  </si>
  <si>
    <t>95</t>
  </si>
  <si>
    <t>17</t>
  </si>
  <si>
    <t>Máy bơm chất chống thấm TCK-510</t>
  </si>
  <si>
    <t>Thép hộp mạ kẽm 20x20x1.1</t>
  </si>
  <si>
    <t>120</t>
  </si>
  <si>
    <t>Thép hộp mạ kẽm 40x40x1.1</t>
  </si>
  <si>
    <t>Thép hộp mạ kẽm 25x25x1.1</t>
  </si>
  <si>
    <t>13</t>
  </si>
  <si>
    <t>152</t>
  </si>
  <si>
    <t>Bia lon Hà Nội (Hàng khuyến mại)</t>
  </si>
  <si>
    <t>Bát ren D16 đen</t>
  </si>
  <si>
    <t>Nilon trắng đục khổ 1.2m</t>
  </si>
  <si>
    <t>Máy mài góc M9000B</t>
  </si>
  <si>
    <t>94</t>
  </si>
  <si>
    <t>Ống PVC-U (uPVC DN21-NTC</t>
  </si>
  <si>
    <t>18/12/2025</t>
  </si>
  <si>
    <t>75</t>
  </si>
  <si>
    <t>09/12/2025</t>
  </si>
  <si>
    <t>Ống PVC-U (uPVC DN21-NTC)</t>
  </si>
  <si>
    <t>197</t>
  </si>
  <si>
    <t>52</t>
  </si>
  <si>
    <t>EDL0035 Dao rọc giấy 25mm</t>
  </si>
  <si>
    <t>EDH-CQP110-E2 Lưỡi cắt đa năng 110mm răng đuôi cá</t>
  </si>
  <si>
    <t>Sơn xịt màu nhũ đồng AE400 400ml</t>
  </si>
  <si>
    <t>39292_Bút xóa nước_10ml_Màu lẫn E</t>
  </si>
  <si>
    <t>DL271025L Thước lỗ ban 2 mặt 10m*25mm E</t>
  </si>
  <si>
    <t>JDMS2D02 - Bộ 10 đầu tuýp 1/2"</t>
  </si>
  <si>
    <t>DH-YCZ11006-E1 Mũi khoan bê tông 4 cạnh 6*110mm E</t>
  </si>
  <si>
    <t>27</t>
  </si>
  <si>
    <t>JDSG3811 - Kính bảo hộ DIN11</t>
  </si>
  <si>
    <t>19/12/2025</t>
  </si>
  <si>
    <t>JDSG2801 - Kính bảo hộ</t>
  </si>
  <si>
    <t>EDH-Y22310 Mũi khoan bê tông xuyên tường 22*310mm</t>
  </si>
  <si>
    <t>EDH-Y14310 Mũi khoan bê tông xuyên tường 14*310mm</t>
  </si>
  <si>
    <t>DH-YCZ35018-E1 Mũi khoan xuyên tường 4 cạnh 18*350mm E</t>
  </si>
  <si>
    <t>EDH-Y25310 Mũi khoan bê tông xuyên tường 25*310mm</t>
  </si>
  <si>
    <t>DH-Y22310 Mũi khoan bê tông xuyên tường 22*310mm E</t>
  </si>
  <si>
    <t>DL-Y12210 Mũi khoan bê tông 2 cạnh 12×200mm</t>
  </si>
  <si>
    <t>DL-DC26-E1 Máy khoan búa 800W</t>
  </si>
  <si>
    <t>EDL0341Kìm phe thẳng vô 7</t>
  </si>
  <si>
    <t>DL0342 Kìm phe thẳng ra 7'' E</t>
  </si>
  <si>
    <t>EDL0343Kìm phe cong vô 7</t>
  </si>
  <si>
    <t>DL0344 Kìm phe cong ra 7'' E</t>
  </si>
  <si>
    <t>DL2108 Kìm mũi nhọn 8'' E</t>
  </si>
  <si>
    <t>EDH-Y12310 Mũi khoan bê tông xuyên tường 12*310mm</t>
  </si>
  <si>
    <t>DL270725L Thước lỗ ban 2 mặt 7.5m*25mm E</t>
  </si>
  <si>
    <t>DL270525L Thước lỗ ban 2 mặt 5m*25mm E</t>
  </si>
  <si>
    <t>Găng sợi mút</t>
  </si>
  <si>
    <t>10/12/2025</t>
  </si>
  <si>
    <t>Ủng BHLĐ 819 (38-43)</t>
  </si>
  <si>
    <t>Ủng BHLĐ 287 (9-10,5)</t>
  </si>
  <si>
    <t>Nón BHLĐ N40</t>
  </si>
  <si>
    <t>Áo mưa phương tiện Chúc Sen</t>
  </si>
  <si>
    <t>Băng keo dính 3kg</t>
  </si>
  <si>
    <t>Cây</t>
  </si>
  <si>
    <t>Bạt TP50</t>
  </si>
  <si>
    <t>Mũ BHLĐ NC10</t>
  </si>
  <si>
    <t>Mặt nạ hàn đội đầu 633P</t>
  </si>
  <si>
    <t>Găng tay sợi 40g</t>
  </si>
  <si>
    <t>Majestic Đẹp hoàn hảo mờ A 4.5L</t>
  </si>
  <si>
    <t>Vữa rót Sikagrout 214 -11</t>
  </si>
  <si>
    <t>JOTASHIELD BỀN MÀU TOÀN DIỆN BASE A    13.5L</t>
  </si>
  <si>
    <t>25/12/2025</t>
  </si>
  <si>
    <t>Jotashield sạch vượt trội base A 13.5L</t>
  </si>
  <si>
    <t>Jotun waterguard  6KG</t>
  </si>
  <si>
    <t>Nhũ NT26 1kg</t>
  </si>
  <si>
    <t>Essence Dễ Lau Chùi A 0.9L</t>
  </si>
  <si>
    <t>28/12/2025</t>
  </si>
  <si>
    <t>Lưới B40 d2,7</t>
  </si>
  <si>
    <t>16/12/2025</t>
  </si>
  <si>
    <t>Dây thép MK d3,0</t>
  </si>
  <si>
    <t>Dây thép buộc D1</t>
  </si>
  <si>
    <t>Vữa rót Sikagrout 214-11</t>
  </si>
  <si>
    <t>01/12/2025</t>
  </si>
  <si>
    <t xml:space="preserve">Thép hộp mạ kẽm </t>
  </si>
  <si>
    <t xml:space="preserve">Thép ống mạ kẽm </t>
  </si>
  <si>
    <t>17/12/2025</t>
  </si>
  <si>
    <t>12/12/2025</t>
  </si>
  <si>
    <t>Thép góc L50x5x6000</t>
  </si>
  <si>
    <t>02/12/2025</t>
  </si>
  <si>
    <t>Thép góc L50x4x6000</t>
  </si>
  <si>
    <t>Thép hộp mạ kẽm 13x26x1.1</t>
  </si>
  <si>
    <t>29/12/2025</t>
  </si>
  <si>
    <t>Thép hộp mạ kẽm 40x80x1.1</t>
  </si>
  <si>
    <t>Thép ống mạ kẽm 26.65x1.4</t>
  </si>
  <si>
    <t>Thép ống mạ kẽm 21.2x1.4</t>
  </si>
  <si>
    <t>Thép ống mạ kẽm 75.6x1.5</t>
  </si>
  <si>
    <t>14/12/2025</t>
  </si>
  <si>
    <t>06/12/2025</t>
  </si>
  <si>
    <t>Ván phủ phim 15mm*1220mm*2440</t>
  </si>
  <si>
    <t>Gỗ ván ép phủ phim kích thước 18mm*1220mm*2440</t>
  </si>
  <si>
    <t>15/12/2025</t>
  </si>
  <si>
    <t>Gói</t>
  </si>
  <si>
    <t>Gỗ ván ép phủ phim kích thước : 15mm x 1220mm x 2440mm</t>
  </si>
  <si>
    <t>Gỗ ván ép phủ phim kích thước: 12mm x 1220mm x 2440mm</t>
  </si>
  <si>
    <t>2</t>
  </si>
  <si>
    <t>Hóa đơn thay thế</t>
  </si>
  <si>
    <t>Ký hiệu: 1C25TPD, số 822; Thời điểm lập: 2025-12-09T17:00:00Z</t>
  </si>
  <si>
    <t xml:space="preserve">Ghi chú: </t>
  </si>
  <si>
    <t>Gỗ ván ép phủ phim kích thước : 18mm x 1220mm x 2440mm</t>
  </si>
  <si>
    <t>27/12/2025</t>
  </si>
  <si>
    <t>Đèn Led chiếu pha 200w, model CP01-200W/G03, ánh sáng trắng (KT 350x280x89) (2 chiếc/ thùng)</t>
  </si>
  <si>
    <t>21/12/2025</t>
  </si>
  <si>
    <t>11/12/2025</t>
  </si>
  <si>
    <t>Chiết khấu thương mại điều chỉnh cho hóa đơn tháng 12 năm 2025 theo bảng kê đính kèm</t>
  </si>
  <si>
    <t>Bồn nhựa TA Smart 3.000D EX</t>
  </si>
  <si>
    <t>Lịch Block (Hàng khuyến mại)</t>
  </si>
  <si>
    <t>Côn sắt D16</t>
  </si>
  <si>
    <t>Bao Jumbo</t>
  </si>
  <si>
    <t>Máy khoan búa GBH 2-24 DRE</t>
  </si>
  <si>
    <t>Mạ kẽm nhúng nóng thép V50</t>
  </si>
  <si>
    <t>05/12/2025</t>
  </si>
  <si>
    <t>11</t>
  </si>
  <si>
    <t>JDDB1D45 - Máy phá dỡ</t>
  </si>
  <si>
    <t>17/11/2025</t>
  </si>
  <si>
    <t>DL2008 Kìm điện 8inch E</t>
  </si>
  <si>
    <t>DL2207 Kìm cắt 7'' E</t>
  </si>
  <si>
    <t>EDL2206Kìm cắt 6</t>
  </si>
  <si>
    <t>JDSS45M5 - Tua vít 2 trong 1</t>
  </si>
  <si>
    <t>JDRH1D26 - Máy khoan đục bê tông 800W</t>
  </si>
  <si>
    <t>DH-YBZ20250-E1 Mũi đục dẹp chuôi gài 14x250x20mm E</t>
  </si>
  <si>
    <t>EDL2507Kéo cắt ống nước 42mm</t>
  </si>
  <si>
    <t>DL25912 Kéo cắt tole 12inch 300mm E</t>
  </si>
  <si>
    <t>EDL350042Kéo cắt ống nhựa 42mm</t>
  </si>
  <si>
    <t>EDL270525L Thước lỗ ban 2 mặt 5m*25mm</t>
  </si>
  <si>
    <t>EU211-BL_Bút dạ kính_2 đầu_Màu xanh</t>
  </si>
  <si>
    <t>CH408_Bút xóa_Màu lẫn</t>
  </si>
  <si>
    <t>JDHR2610 - Kìm rút rivet 10.5"</t>
  </si>
  <si>
    <t>EDL252202Đầu bắn vít 65mm</t>
  </si>
  <si>
    <t>DL251100 Mũi vít động lực đen PH2×100mm E</t>
  </si>
  <si>
    <t>Majestic Đẹp hoàn hảo bóng base B 4.5L</t>
  </si>
  <si>
    <t>20/11/2025</t>
  </si>
  <si>
    <t>SƠN FUTURA CLASSIC BASE 2 A  4.05L</t>
  </si>
  <si>
    <t>143</t>
  </si>
  <si>
    <t>Chất làm cứng PU 405</t>
  </si>
  <si>
    <t>19/11/2025</t>
  </si>
  <si>
    <t>Sơn bóng PU G8.103</t>
  </si>
  <si>
    <t>Sơn mờ PU G8.215</t>
  </si>
  <si>
    <t>Sơn lót PU G8.301</t>
  </si>
  <si>
    <t>Que hàn sắt KT421 D2.5 20kg/thùng</t>
  </si>
  <si>
    <t>Que hàn sắt KT421 D4.0 20kg/thùng</t>
  </si>
  <si>
    <t>Đá cắt kim loại COROLLA 107*1.2*16mm ( Xanh) Loại 1</t>
  </si>
  <si>
    <t>Đá cắt kim loại COROLLA 125*1.2*22.23mm ( Xanh)</t>
  </si>
  <si>
    <t>Đá cắt kim loại COROLLA 355*2.5* 25.4mm ( Xanh)</t>
  </si>
  <si>
    <t>Lưỡi dao dọc giấy COROLLA 100*18mm</t>
  </si>
  <si>
    <t>Đĩa chà nhám bằng vật liệu mài trên nền vải dệt, kích thước 4 inch, không hiệu</t>
  </si>
  <si>
    <t>PCE</t>
  </si>
  <si>
    <t>Nỉ đánh bóng sắt, inox,làm từ vật liệu mài có nền bằng vật liệu vải không dệt, đường kính 100mm, màu trắng, đỏ, xám, hiệu HD</t>
  </si>
  <si>
    <t>Chổi(bát) đánh gỉ sắt (bộ phận máy đánh gỉ), phi 125 mm ,hiệu Gofurther</t>
  </si>
  <si>
    <t>Bánh xe đẩy, đường kính cả lốp : 3 inch, chất liệu thép bọc nhựa</t>
  </si>
  <si>
    <t>Bánh xe đẩy, đường kính cả lốp : 1.5 inch, chất liệu thép bọc nhựa</t>
  </si>
  <si>
    <t>Bánh xe đẩy, đường kính cả lốp : 2 inch, chất liệu thép bọc nhựa</t>
  </si>
  <si>
    <t>Lưỡi xẻng không cán ( 0.4-0.5) Kg, chất liệu thép, hiệu chữ Trung Quốc</t>
  </si>
  <si>
    <t>Lưỡi xẻng không cán (0.6-0.7) Kg, chất liệu thép, hiệu chữ Trung Quốc</t>
  </si>
  <si>
    <t>Tăng đơ M24, chất liệu thép, đường kính tăng 24*420mm, không hiệu</t>
  </si>
  <si>
    <t>Tăng đơ M20, chất liệu thép, đường kính tăng 20mm*330mm, không hiệ</t>
  </si>
  <si>
    <t>Tăng đơ M22, chất liệu thép, đường kính tăng 22mm*380mm, không hiệu</t>
  </si>
  <si>
    <t>ăng đơ M16 , chất liệu thép,đường kính tăng16*250mm, không hiệu</t>
  </si>
  <si>
    <t>Tăng đơ M6 , chất liệu thép, đường kính tăng 6*100mm, không hiệu</t>
  </si>
  <si>
    <t>Súng keo, chất liệu thép, không kèm bình keo, dài 30cm, hiệu Gofurther</t>
  </si>
  <si>
    <t>Súng keo, chất liệu thép, không kèm bình keo, dài 30cm, không hiệu</t>
  </si>
  <si>
    <t>Dung dịch chống rỉ sét và bôi trơn đa năng GF7, 180g, TP dầu có nguồn gốc dầu mỏ &lt;70% ,hiệu Gofurther</t>
  </si>
  <si>
    <t>Ráp xếp đánh gỉ làm từ vật liệu mài có nền bằng vải dệt, đường kính 100mm, hiệu HD</t>
  </si>
  <si>
    <t>Tô vít ,chất liệu thép, cán bọc nhựa, cán bọc caosu, hiệu Gofurther, kích thước 6*100mm</t>
  </si>
  <si>
    <t>Tô vít ,chất liệu thép, cán bọc nhựa, cán bọc caosu, hiệu Gofurther, kích thước 6*200mm</t>
  </si>
  <si>
    <t>Kìm cắt dây điện, nhọn, chất liệu thép ,cán bọc caosu, kích thước 6 inches, hiệu Gofurther</t>
  </si>
  <si>
    <t>Kìm cắt dây điện, nhọn, chất liệu thép ,cán bọc caosu, kích thước 7 inches, hiệu Gofurther</t>
  </si>
  <si>
    <t>Kìm cắt dây điện, nhọn, chất liệu thép ,cán bọc caosu, kích thước 8 inches, hiệu Gofurther</t>
  </si>
  <si>
    <t>Dây xích, chất liệu thép, kích thước mắt 3mm,dài : 145 cm , không hiệu</t>
  </si>
  <si>
    <t>Dây xích, chất liệu thép, kích thước mắt 4mm, dài : 145cm, không hiệu</t>
  </si>
  <si>
    <t>Dây xích, chất liệu thép, kích thước mắt 5mm, dài : 145cm, không hiệu</t>
  </si>
  <si>
    <t>Kéo cắt chất liệu sắt P1, tay bọc nhựa, kích thước 23cm, hiệu chữ Trung Quốc</t>
  </si>
  <si>
    <t>Thước rút 5m, có thể điều chỉnh được, chất liệu thép, bọc nhựa, bọc caosu, hiệu GOFURTHER, kích thước 5m*25mm</t>
  </si>
  <si>
    <t>Thước rút 7.5m có thể điều chỉnh được ,chất liệu thép, bọc nhựa, bọc caosu, hiệu GOFURTHER, kích thước 7.5m*25mm</t>
  </si>
  <si>
    <t>Mũi đục bê tông phi 17*250mm, chất liệu thép, hiệu Gofurther</t>
  </si>
  <si>
    <t>Mũi đục bê tông phi 14*210 mm, chất liệu thép, hiệu Gofurther</t>
  </si>
  <si>
    <t>Mũi đục bê tông phi 17 *280 mm, chất liệu thép, hiệu HD</t>
  </si>
  <si>
    <t>Đầu khò ga mini không kèm bình, kích thước 17.5cm , không hiệu</t>
  </si>
  <si>
    <t>Dây hơi khí nén, phi 8mm, dài 100m, chất liệu nhựa, hiệu Gofurther</t>
  </si>
  <si>
    <t>ROLl</t>
  </si>
  <si>
    <t>Vít đầu bằng chất liệu thép mạ inox ,đường kính ngoài của thân:4.2mm , dài 19mm, không hiệu</t>
  </si>
  <si>
    <t>KGM</t>
  </si>
  <si>
    <t>Khóa dây, chất liệu lõi sắt bọc nhựa, mở bằng chìa, kích thước 20*80, không hiệu</t>
  </si>
  <si>
    <t>Dây hơi khí nén, phi 10mm, dài 100m, chất liệu nhựa, hiệu Gofurther</t>
  </si>
  <si>
    <t>ROLL</t>
  </si>
  <si>
    <t>Sơn xịt Kobe mã 300</t>
  </si>
  <si>
    <t>139</t>
  </si>
  <si>
    <t>Đá cắt kim loại COROLLA 107*1.2*16mm (xanh) loại 1</t>
  </si>
  <si>
    <t>12/11/2025</t>
  </si>
  <si>
    <t>Đá cắt kim loại COROLLA 125*1.2*22.23mm (xanh)</t>
  </si>
  <si>
    <t>Đá cắt kim loại COROLLA 355*2.5*25.4mm (xanh)</t>
  </si>
  <si>
    <t>Thước mét (Thước cuốn) chống vỡ COROLLA 5m*25mm</t>
  </si>
  <si>
    <t>Thước mét (Thước cuốn) chống vỡ COROLLA 7.5m*25mm, lỗ ban-hai mặt</t>
  </si>
  <si>
    <t>Thước mét (Thước cuốn) chống vỡ COROLLA 10m*25mm hai mặt</t>
  </si>
  <si>
    <t>Bát mài bê tông, đá hoa cương COROLLA.KT 4 inch (100mm-vàng)</t>
  </si>
  <si>
    <t>Đá mài kim loại, mài inox COROLLA 100*6mm (đỏ)</t>
  </si>
  <si>
    <t>Kìm hàn điện, tay cầm nhựa (dùng cho máy hàn hồ quang) model 800A, hiệu Gofurther</t>
  </si>
  <si>
    <t>Thước thủy 600, dài 60cm, chất liệu thép, dùng đo độ cân bằng các bề mặt và cạnh đứng, hiệu Gofurther</t>
  </si>
  <si>
    <t>Thước rút 20m, dây nhựa, vỏ nhựa, hiệu Gofurther</t>
  </si>
  <si>
    <t>Lưỡi dao rọc giấy chất liệu thép, KT : 17*94 mm, hiệu Gofurther</t>
  </si>
  <si>
    <t>SET</t>
  </si>
  <si>
    <t>28/11/2025</t>
  </si>
  <si>
    <t>Phụ gia cho vữa Crocodile Latex VN-5 lít</t>
  </si>
  <si>
    <t>08/11/2025</t>
  </si>
  <si>
    <t>Phụ gia bê tông chống thấm Sika Latex TH 5L</t>
  </si>
  <si>
    <t>21/11/2025</t>
  </si>
  <si>
    <t xml:space="preserve">Thép ống hộp mạ kẽm </t>
  </si>
  <si>
    <t>05/11/2025</t>
  </si>
  <si>
    <t>Ray cài át RAY/980</t>
  </si>
  <si>
    <t>18/11/2025</t>
  </si>
  <si>
    <t>Đèn báo đỏ, Wide</t>
  </si>
  <si>
    <t>Dây điện Cu/PVC 1x2.5</t>
  </si>
  <si>
    <t>Ống đàn hồi-SP20-SP9020CM</t>
  </si>
  <si>
    <t>Tủ điện mặt nhựa bóng, đế sắt chứa 14-18 module - E4FC14/18S</t>
  </si>
  <si>
    <t>Dây điện Cu/PVC/PVC 2x1.5</t>
  </si>
  <si>
    <t>Dây điện Cu/pvc/pvc 3x2.5</t>
  </si>
  <si>
    <t>Dây điện Cu/PVC/PVC 2x2.5</t>
  </si>
  <si>
    <t>RCCB SL68N/2P50A - 0.03A - SL68N/2050/030</t>
  </si>
  <si>
    <t>Ổ cắm chịu tải 4</t>
  </si>
  <si>
    <t>Ổ cắm chịu tải 3</t>
  </si>
  <si>
    <t>Tôn xốp 0.4</t>
  </si>
  <si>
    <t>30/11/2025</t>
  </si>
  <si>
    <t>Ống Inox 304</t>
  </si>
  <si>
    <t>27/11/2025</t>
  </si>
  <si>
    <t>Thép ống kẽm nhúng 88.3x2.1</t>
  </si>
  <si>
    <t>24/11/2025</t>
  </si>
  <si>
    <t>Thép ống mạ kẽm 59.9x1.5</t>
  </si>
  <si>
    <t>Thép hình U100</t>
  </si>
  <si>
    <t>Thép góc L60</t>
  </si>
  <si>
    <t>15/11/2025</t>
  </si>
  <si>
    <t>Thép hộp mạ kẽm 30x60x1.1</t>
  </si>
  <si>
    <t>Thép hộp mạ kẽm 40x80x1.8</t>
  </si>
  <si>
    <t>07/11/2025</t>
  </si>
  <si>
    <t>Thép hộp mã kẽm 50x100x1.8</t>
  </si>
  <si>
    <t>06/11/2025</t>
  </si>
  <si>
    <t>Thép hộp mạ kẽm 100x100x2.0</t>
  </si>
  <si>
    <t>Tôn mạ màu 0.3</t>
  </si>
  <si>
    <t>Tôn xốp 0.3</t>
  </si>
  <si>
    <t>01/11/2025</t>
  </si>
  <si>
    <t>Gỗ ván ép phủ phim kích thước 15mm</t>
  </si>
  <si>
    <t>Máy trộn bê tông + mô tơ điện6 (023.019.04)</t>
  </si>
  <si>
    <t>23/11/2025</t>
  </si>
  <si>
    <t>Máy phát điện (9700T)</t>
  </si>
  <si>
    <t>Động cơ nổ 4.0Hp cc Robin EH12 (DCNEH12)</t>
  </si>
  <si>
    <t>197129-2 - Chổi than CB-218/GA7060 (197129-2)</t>
  </si>
  <si>
    <t>Máy khoan  6413 (6413)</t>
  </si>
  <si>
    <t>Quần áo bảo hộ Excia T5-200 SW-LAO chống hóa chất, size L</t>
  </si>
  <si>
    <t>13/11/2025</t>
  </si>
  <si>
    <t>Súng bắn keo Ramset G5 Pro GC</t>
  </si>
  <si>
    <t>55</t>
  </si>
  <si>
    <t>04/11/2025</t>
  </si>
  <si>
    <t>Cáp chằng hàng 3T10M</t>
  </si>
  <si>
    <t>Cáp vải 5T8M</t>
  </si>
  <si>
    <t>Cáp vải 5T6M</t>
  </si>
  <si>
    <t>Dây an toàn toàn thân 1 móc</t>
  </si>
  <si>
    <t>Dây an toàn toàn thân 2 móc</t>
  </si>
  <si>
    <t>Máy khoan pin Hiệu BENTEC, model BT21-13B</t>
  </si>
  <si>
    <t>Máy khoan vít Hiệu BENTEC, model BT21-10A</t>
  </si>
  <si>
    <t>Máy khoan cầm tay Kynko Z1C  - KD28 - 26</t>
  </si>
  <si>
    <t>Máy đục phá bê tông Kynko Z1G- KD23-60</t>
  </si>
  <si>
    <t>Máy khoan cầm tay KYNTEC KT07-26</t>
  </si>
  <si>
    <t>Máy đục phá bê tông Kynko mã Z1G-KD24-80, 1500W</t>
  </si>
  <si>
    <t>Máy khoan cầm tay KYNTEC KT14-10</t>
  </si>
  <si>
    <t>Mũi đục dẹt đường kính 17x280x75</t>
  </si>
  <si>
    <t>33</t>
  </si>
  <si>
    <t>Van tay nhựa đỏ 27 AG1106-N</t>
  </si>
  <si>
    <t>18/10/2025</t>
  </si>
  <si>
    <t>Van tay đỏ 60 AG1120-S</t>
  </si>
  <si>
    <t>Raco 60 F1120-S</t>
  </si>
  <si>
    <t>Ba chạc 90 độ phun u.PVC DN 60 PN8</t>
  </si>
  <si>
    <t>Nối góc 90 độ phun u.PVC DN 27 PN10</t>
  </si>
  <si>
    <t>Nối thẳng phun u.PVC DN 27 PN10</t>
  </si>
  <si>
    <t>Nối thẳng phun u.PVC DN 60 PN8</t>
  </si>
  <si>
    <t>FB040HN Van 110 trắng</t>
  </si>
  <si>
    <t>32</t>
  </si>
  <si>
    <t>Keo dán uPVC Kg (có chổi)</t>
  </si>
  <si>
    <t>Măng sông ĐK110</t>
  </si>
  <si>
    <t>Nối góc 45 độ ĐK 110 PN6</t>
  </si>
  <si>
    <t>Nối góc 90 độ phun u.PVC DN 110 PN6</t>
  </si>
  <si>
    <t>Ống uPVC C3 ĐK 27 PN25</t>
  </si>
  <si>
    <t>Ống uPVC DN110 PN8 Class 3</t>
  </si>
  <si>
    <t>Bích nối ống fun PVC đk 60 PN10</t>
  </si>
  <si>
    <t>Zoăng bích ĐK 60</t>
  </si>
  <si>
    <t>Ống uPVC C3 ĐK 60 PN10</t>
  </si>
  <si>
    <t>Đầu nối ren trong ĐK 60</t>
  </si>
  <si>
    <t>Măng sông ĐK 60</t>
  </si>
  <si>
    <t>Ba chạc 90 độ cb fun 60-27</t>
  </si>
  <si>
    <t>Nối thẳng CB phun uPVC đk 60-27 PN8</t>
  </si>
  <si>
    <t>Đầu nối ren trong fun ĐK 27</t>
  </si>
  <si>
    <t>TB006HN (Val 27 trắng)</t>
  </si>
  <si>
    <t>Ba chạc 90 độ phun u.PVC DN 27 (T-10)</t>
  </si>
  <si>
    <t>Nối thẳng fun ĐK 27 PN10</t>
  </si>
  <si>
    <t>Băng tan (9018)</t>
  </si>
  <si>
    <t>Nối thẳng ren trong phun uPVC đk 110-4'' PN6</t>
  </si>
  <si>
    <t>10/10/2025</t>
  </si>
  <si>
    <t>JDCW1512001 - Máy cưa tròn</t>
  </si>
  <si>
    <t>DL-DC28-E1 Máy khoan bê tông φ28 1050W E</t>
  </si>
  <si>
    <t>JDCDP552 - Máy khoan dùng pin (không chổi than)</t>
  </si>
  <si>
    <t>JDMS1D01 - Bộ 10 đầu tuýp 1/2"</t>
  </si>
  <si>
    <t>DL003A Dao rọc giấy 18mm E</t>
  </si>
  <si>
    <t>EDL-JM100-E4Máy mài 220V-240V</t>
  </si>
  <si>
    <t>Máy khoan động lực 820W EDL-CZ13-E6</t>
  </si>
  <si>
    <t>EDL-JM100-E2 Máy mài 100mmCông tắc đuôi</t>
  </si>
  <si>
    <t>EDL-JM100-E1 Máy mài góc 100mm 750W</t>
  </si>
  <si>
    <t>EDH-HJZ017-E1Mũi đục</t>
  </si>
  <si>
    <t>DL251050 Mũi vít động lực đen PH2×50mm E</t>
  </si>
  <si>
    <t>Jotun int &amp; ext putty 40kg</t>
  </si>
  <si>
    <t>08/10/2025</t>
  </si>
  <si>
    <t>Jotun interior putty 40kg</t>
  </si>
  <si>
    <t>GARDEX BÓNG MỜ BASE B 2.25L</t>
  </si>
  <si>
    <t>JOTASHIELD BỀN MÀU TOÀN DIỆN BASE A     0.9L</t>
  </si>
  <si>
    <t>Jotashield Primer 5L</t>
  </si>
  <si>
    <t>Majestic sang trọng base A 13.5L</t>
  </si>
  <si>
    <t>Majestic Bóng sang trọng A 0,9L</t>
  </si>
  <si>
    <t>17/10/2025</t>
  </si>
  <si>
    <t>FLINTKOTE NO3 - 3,5 L</t>
  </si>
  <si>
    <t>16/10/2025</t>
  </si>
  <si>
    <t>Chất trám khe Sikaflex-134 Bond &amp; Seal Concrete Grey (600ml)</t>
  </si>
  <si>
    <t>cây</t>
  </si>
  <si>
    <t>Vữa rót không co ngót Cá Sấu CG Grout - 25kg</t>
  </si>
  <si>
    <t>bao</t>
  </si>
  <si>
    <t>Vỏ cầu chì</t>
  </si>
  <si>
    <t>13/10/2025</t>
  </si>
  <si>
    <t>Cầu chì sứ 2A (hộp 20 cái)</t>
  </si>
  <si>
    <t>MDP1132 - Ổ công nghiệp CĐ 3x16A IP67</t>
  </si>
  <si>
    <t>MDP0132 - Phích cắm CN 3x16A IP67</t>
  </si>
  <si>
    <t>Cos kim đặc bọc 1-12 (túi 1000c)</t>
  </si>
  <si>
    <t>Đồng hồ vạn năng 1021R</t>
  </si>
  <si>
    <t>Chia 3 công nghiệp 3x16A IP44</t>
  </si>
  <si>
    <t>23/10/2025</t>
  </si>
  <si>
    <t>14/10/2025</t>
  </si>
  <si>
    <t>Thép ống kẽm nhúng 113.5x3.6</t>
  </si>
  <si>
    <t>Thép hộp mạ kẽm 30x60x1.8</t>
  </si>
  <si>
    <t>12/10/2025</t>
  </si>
  <si>
    <t>04/10/2025</t>
  </si>
  <si>
    <t>Gỗ ván ép phủ phim kích thước 12mm</t>
  </si>
  <si>
    <t>31/10/2025</t>
  </si>
  <si>
    <t>Máy khoan 13mmdp4020 (DP4020)</t>
  </si>
  <si>
    <t>01/10/2025</t>
  </si>
  <si>
    <t>05/10/2025</t>
  </si>
  <si>
    <t>30/10/2025</t>
  </si>
  <si>
    <t>Ký hiệu: 1C25TLP, số 354; Thời điểm lập: 2025-09-30T17:00:00Z</t>
  </si>
  <si>
    <t>Cước vận chuyển từ Bắc Ninh đến Lạng Sơn (BKS: 98C-169.20)</t>
  </si>
  <si>
    <t>Cước vận chuyển từ Bắc Giang đến Lạng Sơn (BKS: 98C-169.20)</t>
  </si>
  <si>
    <t>Đèn Led chiếu pha 200w, model CP01-200W/G03, ánh sáng trắng (KT 350x280x89)</t>
  </si>
  <si>
    <t>Đèn pin G8-332, ánh sáng trắng</t>
  </si>
  <si>
    <t>Bạt nhựa PP</t>
  </si>
  <si>
    <t>20/10/2025</t>
  </si>
  <si>
    <t>Bát ren D12 đen</t>
  </si>
  <si>
    <t>02/10/2025</t>
  </si>
  <si>
    <t>Phí Nộp VND khác tỉnh, thành phố</t>
  </si>
  <si>
    <t>16/11/2025</t>
  </si>
  <si>
    <t>Ống uPVC DN90 PN6 (Class2)</t>
  </si>
  <si>
    <t>28/09/2025</t>
  </si>
  <si>
    <t>Ống uPVC DN110 PN6 (Class2)</t>
  </si>
  <si>
    <t>Dây điện SJK 1C x 4.0  HKIV</t>
  </si>
  <si>
    <t>Km</t>
  </si>
  <si>
    <t>25/09/2025</t>
  </si>
  <si>
    <t>Dây điện SJK 1C x 2.5  HKIV</t>
  </si>
  <si>
    <t>Dây điện SJK 1C x 1.5  HKIV</t>
  </si>
  <si>
    <t>Dây điện SJK 2C x 0.75 HVCTFK</t>
  </si>
  <si>
    <t>Dây điện SJK 2C x 1.5  HVCTFK</t>
  </si>
  <si>
    <t>Dây điện SJK 2C x 2.5  HVCTFK</t>
  </si>
  <si>
    <t>Sơn nước ngoại thất 18L</t>
  </si>
  <si>
    <t>11/09/2025</t>
  </si>
  <si>
    <t>26/09/2025</t>
  </si>
  <si>
    <t>Găng tay sợi phủ lòng cao su R</t>
  </si>
  <si>
    <t>Nón bảo hộ</t>
  </si>
  <si>
    <t>Nón BHLĐ N70</t>
  </si>
  <si>
    <t>Áo mưa phương tiện</t>
  </si>
  <si>
    <t>Giày bảo hộ lao động BH 08-2</t>
  </si>
  <si>
    <t>Bình chữa cháy sách tay bột ABC 4kg (Mã hiệu: DTT-ABC/4kg)</t>
  </si>
  <si>
    <t>Bình</t>
  </si>
  <si>
    <t>Ủng BHLĐ 287</t>
  </si>
  <si>
    <t>05/09/2025</t>
  </si>
  <si>
    <t>Ủng BHLĐ 819</t>
  </si>
  <si>
    <t>Nón BHLĐ N30</t>
  </si>
  <si>
    <t>Nón BHLĐ N20</t>
  </si>
  <si>
    <t>Găng tay cao su 9</t>
  </si>
  <si>
    <t>GARDEX BÓNG MỜ BASE C  2.25L</t>
  </si>
  <si>
    <t>22/09/2025</t>
  </si>
  <si>
    <t>13/09/2025</t>
  </si>
  <si>
    <t>Ma tít dùng để khoan cấy PE-600EC</t>
  </si>
  <si>
    <t>tuýp</t>
  </si>
  <si>
    <t>12/09/2025</t>
  </si>
  <si>
    <t>23/09/2025</t>
  </si>
  <si>
    <t>30/09/2025</t>
  </si>
  <si>
    <t>Thép hộp mạ kẽm 50x50x1.8</t>
  </si>
  <si>
    <t>24/09/2025</t>
  </si>
  <si>
    <t>Thép vuông 12</t>
  </si>
  <si>
    <t>16/09/2025</t>
  </si>
  <si>
    <t>Thép ống kẽm nhúng 88.3x3.2</t>
  </si>
  <si>
    <t>Thép hộp mạ kẽm 13x26x1.4</t>
  </si>
  <si>
    <t>04/09/2025</t>
  </si>
  <si>
    <t>Tôn mạ màu 0.4</t>
  </si>
  <si>
    <t>27/09/2025</t>
  </si>
  <si>
    <t>Động cơ xăng GX390T2 QC2 (GX390T2)</t>
  </si>
  <si>
    <t>Máy đục bê tông cầm tay (KZG6S)</t>
  </si>
  <si>
    <t>Máy cưa đĩa 185MM-HS7010 (HS7010)</t>
  </si>
  <si>
    <t>Khung cắt KC20 (KC20)</t>
  </si>
  <si>
    <t>Động cơ diesel Lifan (C186FD)</t>
  </si>
  <si>
    <t>Lưỡi cưa hợp kim (A87242)</t>
  </si>
  <si>
    <t>Máy cưa đĩa (M5801B)</t>
  </si>
  <si>
    <t>Lưỡi cưa  (P67991)</t>
  </si>
  <si>
    <t>02/09/2025</t>
  </si>
  <si>
    <t>17/09/2025</t>
  </si>
  <si>
    <t>Bệt V1021</t>
  </si>
  <si>
    <t>PMH Đồng hồ Định vị trẻ em trị giá 100.000đ</t>
  </si>
  <si>
    <t>Phiếu</t>
  </si>
  <si>
    <t>KCT</t>
  </si>
  <si>
    <t>Nồi chiên không dầu Rapido RAF-7.5M3 7L5 (imei)</t>
  </si>
  <si>
    <t>Quạt lửng Asia VY538990 Đen (IMEI)</t>
  </si>
  <si>
    <t>PMH Quạt bàn/hộp/sạc/đứng/lửng/treo trị giá 100.000đ</t>
  </si>
  <si>
    <t>19/09/2025</t>
  </si>
  <si>
    <t>Nồi cơm nắp gài Sunhouse Mama SHD8665B 1.8L (imei)</t>
  </si>
  <si>
    <t>Phiếu mua hàng nồi cơm trị giá 100.000đ</t>
  </si>
  <si>
    <t>Nồi áp suất điện đa năng Tefal Home Chef CY601868 (IMEI)</t>
  </si>
  <si>
    <t>Thớt tre thái chữ nhật 33cm Delites 19102401-3</t>
  </si>
  <si>
    <t>Bình giữ nhiệt inox 520ml Delites G2SS-052Y trắng</t>
  </si>
  <si>
    <t>Chảo sâu inox nguyên khối 28cm Elmich Trimax EL-2836IN28</t>
  </si>
  <si>
    <t>Bếp gas du lịch Namilux NH-P3031PS (imei)</t>
  </si>
  <si>
    <t>Quạt hộp Senko BD1012 (IMEI)</t>
  </si>
  <si>
    <t>Nút tai chống ồn ARUSHA ( có dây)</t>
  </si>
  <si>
    <t>cặp</t>
  </si>
  <si>
    <t>18/09/2025</t>
  </si>
  <si>
    <t>Bồn nhựa Đại Thành Plasman 1.000LĐ-xanh (Hàng khuyến mại)</t>
  </si>
  <si>
    <t>07/09/2025</t>
  </si>
  <si>
    <t>29/09/2025</t>
  </si>
  <si>
    <t>Tyren D12</t>
  </si>
  <si>
    <t>Dây dù D12</t>
  </si>
  <si>
    <t>Bao jumbo 90*90*120cm</t>
  </si>
  <si>
    <t>15/09/2025</t>
  </si>
  <si>
    <t>Que hàn 2.5</t>
  </si>
  <si>
    <t>Cáp mạ D14</t>
  </si>
  <si>
    <t>Bát ren D12 mạ</t>
  </si>
  <si>
    <t>Khóa cáp D12</t>
  </si>
  <si>
    <t>Thép bản mã 1.8mm</t>
  </si>
  <si>
    <t>Dây an toàn</t>
  </si>
  <si>
    <t>Máy đục bê tông HM1306</t>
  </si>
  <si>
    <t>Máy cưa lọng 4350CT</t>
  </si>
  <si>
    <t>03/09/2025</t>
  </si>
  <si>
    <t>Áp tô mát chống rò điện và quá tải LB63N1PN20A 6kA</t>
  </si>
  <si>
    <t>21/08/2025</t>
  </si>
  <si>
    <t>30/08/2025</t>
  </si>
  <si>
    <t>Lưới thép hàn</t>
  </si>
  <si>
    <t>cuộn</t>
  </si>
  <si>
    <t>Dây thép mạ kẽm</t>
  </si>
  <si>
    <t>Đinh vít bắn ngói 8#X30mm</t>
  </si>
  <si>
    <t>Đinh vít dù 8#X13mm</t>
  </si>
  <si>
    <t>107</t>
  </si>
  <si>
    <t>Que hàn J421-2.5</t>
  </si>
  <si>
    <t>TCA52 - Cọ lăn Đông Nam Á Epoxy 2T5</t>
  </si>
  <si>
    <t>Đá cắt 125 mm</t>
  </si>
  <si>
    <t>Bàn chải đánh rỉ kim loại 80*20mm</t>
  </si>
  <si>
    <t>Đá cắt 355 mm</t>
  </si>
  <si>
    <t>Thước cuốn kích thước bản ngang 25mm-dài 7.5m</t>
  </si>
  <si>
    <t>Sơn sắt mạ kẽm màu cafe Z43</t>
  </si>
  <si>
    <t>Sơn xịt Kobe mã 242</t>
  </si>
  <si>
    <t>Dây Ovan Cu/PVC/PVC 2x1.5</t>
  </si>
  <si>
    <t>29/08/2025</t>
  </si>
  <si>
    <t>Dây điện Cu/pvc/pvc 3x1.5</t>
  </si>
  <si>
    <t>Cáp nhôm Vặn xoắn ABC 4x25</t>
  </si>
  <si>
    <t>Cáp Cu/Pvc 1x16</t>
  </si>
  <si>
    <t>Dây điện Cu/pvc/pvc 3x4</t>
  </si>
  <si>
    <t>Quạt HS 28"ĐN 3Đ</t>
  </si>
  <si>
    <t>Dây điện Cu/PVC/PVC 4x6</t>
  </si>
  <si>
    <t>Cáp nhôm vặn xoắn ABC 4x35</t>
  </si>
  <si>
    <t>Bệt V45M (PK V42, nắp 687, Van VG853, xịt VG 826)</t>
  </si>
  <si>
    <t>18/08/2025</t>
  </si>
  <si>
    <t>Sen tắm VG 502.2</t>
  </si>
  <si>
    <t>Vòi chậu VG168 (CĐ)</t>
  </si>
  <si>
    <t>Chậu V62SC - VI14 - 9GP01</t>
  </si>
  <si>
    <t>Gương vuông 50*70 VG833</t>
  </si>
  <si>
    <t>Thép hộp mạ kẽm 30x30x1.4</t>
  </si>
  <si>
    <t>Thép hộp mạ kẽm 25x25x1.4</t>
  </si>
  <si>
    <t>Thép ống mạ kẽm 21.2x1.1</t>
  </si>
  <si>
    <t>06/08/2025</t>
  </si>
  <si>
    <t>26/08/2025</t>
  </si>
  <si>
    <t>15/08/2025</t>
  </si>
  <si>
    <t>09/08/2025</t>
  </si>
  <si>
    <t>Tấm ốp PVC màu trắng</t>
  </si>
  <si>
    <t>20/08/2025</t>
  </si>
  <si>
    <t>Phào kết thúc</t>
  </si>
  <si>
    <t>Thanh nẹp nhựa PVC 30+16</t>
  </si>
  <si>
    <t>Tấm ốp PVC</t>
  </si>
  <si>
    <t>14/08/2025</t>
  </si>
  <si>
    <t>Phào V ngoài</t>
  </si>
  <si>
    <t>Phào góc trong</t>
  </si>
  <si>
    <t>Phào cổ trần</t>
  </si>
  <si>
    <t>Keo silicone A500</t>
  </si>
  <si>
    <t>chai</t>
  </si>
  <si>
    <t>Sơn phun I300</t>
  </si>
  <si>
    <t>Lót chống rỉ ghi</t>
  </si>
  <si>
    <t>23/08/2025</t>
  </si>
  <si>
    <t>Phiếu mua hàng máy lạnh trị giá 300.000đ</t>
  </si>
  <si>
    <t>Samsung Galaxy A56 (5G) A566B (8G+256G) Đen</t>
  </si>
  <si>
    <t>PMH Smartwatch và Phụ kiện (có loại trừ) trị giá 100.000đ</t>
  </si>
  <si>
    <t>Phiếu mua hàng Tablet (áp dụng cho sản phẩm trên 10.000.000đ)  trị giá 1.000.000đ</t>
  </si>
  <si>
    <t>PMH Sim Mobi, Vina, Itel, Local, Vietnamobile, gói cước siêu việt, 5G180 trị giá 50.000đ</t>
  </si>
  <si>
    <t>Điện thoại iPhone 13 128GB Midnight</t>
  </si>
  <si>
    <t>Phiếu mua hàng AirPods, Apple Watch, Macbook mệnh giá 500.000 VND</t>
  </si>
  <si>
    <t>Phiếu mua hàng máy lọc nước trị giá 300.000đ</t>
  </si>
  <si>
    <t>Phiếu mua hàng đồng hồ, phụ kiện Samsung trị giá 400,000đ</t>
  </si>
  <si>
    <t>Chiết khấu thương mại điều chỉnh cho hóa đơn tháng 08 năm 2025 theo bảng kê đính kèm</t>
  </si>
  <si>
    <t>31/08/2025</t>
  </si>
  <si>
    <t>Thân Bồn Inox Tân Thành+ 1.200N ĐK980</t>
  </si>
  <si>
    <t>24/08/2025</t>
  </si>
  <si>
    <t>Chân Bồn Inox 1.200N ĐK980</t>
  </si>
  <si>
    <t>Bồn nhựa TA Smart 500D EX</t>
  </si>
  <si>
    <t>Bồn nhựa TA Smart 500N EX</t>
  </si>
  <si>
    <t>Bồn nhựa TA Smart 1.500N EX</t>
  </si>
  <si>
    <t>11/08/2025</t>
  </si>
  <si>
    <t>Chân Bồn Inox 1.000D ĐK920-chân U</t>
  </si>
  <si>
    <t>08/08/2025</t>
  </si>
  <si>
    <t>Thân Bồn Inox Tân Á Đại Thành_25 1.000D ĐK920</t>
  </si>
  <si>
    <t>Thân Bồn Inox Tân Á Đại Thành_25 1.000N ĐK920</t>
  </si>
  <si>
    <t>07/08/2025</t>
  </si>
  <si>
    <t>Chân Bồn Inox 1.000N ĐK920-chân U</t>
  </si>
  <si>
    <t>Thân Bồn Inox Tân Thành+ 1.000D ĐK920</t>
  </si>
  <si>
    <t>Chân Bồn Inox 1.000-1500D ĐK920</t>
  </si>
  <si>
    <t>Thân Bồn Inox Tân Á Đại Thành_25 1.500N ĐK1140 cổ to</t>
  </si>
  <si>
    <t>Chân Bồn Inox 1.500N ĐK1140-chân U</t>
  </si>
  <si>
    <t>Chân Bồn Inox 1.500N ĐK1140</t>
  </si>
  <si>
    <t>Thân Bồn Inox Tân Thành+ 1.500N ĐK1140 cổ to</t>
  </si>
  <si>
    <t>43</t>
  </si>
  <si>
    <t>Máy cưa đĩa M5801B</t>
  </si>
  <si>
    <t>Máy khoan động lực HR2470X5</t>
  </si>
  <si>
    <t>Máy thổi GBL 650</t>
  </si>
  <si>
    <t>04/08/2025</t>
  </si>
  <si>
    <t>Phí Khách hàng vãng lai chuyển tiền khác hệ thống dưới 500 triệu</t>
  </si>
  <si>
    <t>Phí Nộp VND cùng huyện, thị xã (tại chi nhánh mở tài khoản)</t>
  </si>
  <si>
    <t>Ống U.PVC VL110C2/8 - VP/110C2/8</t>
  </si>
  <si>
    <t>31/07/2025</t>
  </si>
  <si>
    <t>Ống U.PVC VL90C2/6 - VP/90C2/6</t>
  </si>
  <si>
    <t>Ống U.PVC VL48C2/10 - VP/48C2/10</t>
  </si>
  <si>
    <t>29/07/2025</t>
  </si>
  <si>
    <t>Nối góc 90 độ phun uPVC DN90 PN6</t>
  </si>
  <si>
    <t>27/07/2025</t>
  </si>
  <si>
    <t>Măng sông  ĐK90</t>
  </si>
  <si>
    <t>Keo dán uPVC 200g (có chổi)</t>
  </si>
  <si>
    <t>ống PVCĐK 21C2</t>
  </si>
  <si>
    <t>Nối góc 90 độ fun ĐK 21</t>
  </si>
  <si>
    <t>Máy bơm chìm Sentory 3SDM5.6/16 - 1HP</t>
  </si>
  <si>
    <t>Sơn lót chống kiềm nội thất 18L</t>
  </si>
  <si>
    <t>25/07/2025</t>
  </si>
  <si>
    <t>Sơn nước nội thất 3 IN 1</t>
  </si>
  <si>
    <t>Sơn nội thất cao cấp dễ lau chùi</t>
  </si>
  <si>
    <t>Majestic Đẹp Hoàn hảo bóng base A 13,5L</t>
  </si>
  <si>
    <t>Majestic Đẹp Hoàn hảo bóng base  A  4,5L</t>
  </si>
  <si>
    <t>Sơn Majestic Đẹp hoàn hảo base A 13,5L</t>
  </si>
  <si>
    <t>09/07/2025</t>
  </si>
  <si>
    <t>08/07/2025</t>
  </si>
  <si>
    <t>03/07/2025</t>
  </si>
  <si>
    <t>Sơn Gardex Bóng Mờ Base B 2.25L</t>
  </si>
  <si>
    <t>Sơn Gardex Bóng Mờ Base C 2.25L</t>
  </si>
  <si>
    <t>91</t>
  </si>
  <si>
    <t>Dung môi cao cấp indu</t>
  </si>
  <si>
    <t>Sơn sắt mạ kẽm màu nâu đỏ Z41</t>
  </si>
  <si>
    <t>Sơn sắt mạ kẽm màu đỏ Z10</t>
  </si>
  <si>
    <t>Sơn sắt mạ kẽm màu ghi sáng Z31</t>
  </si>
  <si>
    <t>Sơn sắt mạ kẽm màu trắng Z60</t>
  </si>
  <si>
    <t>Sơn sắt mạ kẽm màu đen Z70</t>
  </si>
  <si>
    <t>Sơn sắt mạ kẽm màu nhũ đồng Z91</t>
  </si>
  <si>
    <t>Sơn sắt mạ kẽm màu ghi sáng E361</t>
  </si>
  <si>
    <t>Sơn sắt mạ kẽm màu nhũ bạc E960</t>
  </si>
  <si>
    <t>Lót chống rỉ ghi eco</t>
  </si>
  <si>
    <t>Sơn phun I212</t>
  </si>
  <si>
    <t>Sơn phun I220</t>
  </si>
  <si>
    <t>Lót chống rỉ nâu eco</t>
  </si>
  <si>
    <t>Sơn sắt mạ kẽm màu XingFa đỏ Z34</t>
  </si>
  <si>
    <t>Sơn dầu 221E</t>
  </si>
  <si>
    <t>Sơn sắt mạ kẽm màu XingFa đỏ E362</t>
  </si>
  <si>
    <t>90</t>
  </si>
  <si>
    <t>Lưỡi xẻng không cán (0.8-0.9) kg, chất liệu thép, hiệu chữ Trung Quốc</t>
  </si>
  <si>
    <t>Kìm cắt dây điện, nhọn, chất liệu thép, cán bọc cao su, kích thước 6inches, hiệu Gofurther</t>
  </si>
  <si>
    <t>Mũi đục bê tông phi 17*250 mm, chất liệu thép, hiệu Gofurther</t>
  </si>
  <si>
    <t>Lưỡi xẻng không cán (0.4-0.5) kg, chất liệu thép, hiệu chữ Trung Quốc</t>
  </si>
  <si>
    <t>Lưỡi xẻng không cán (0.6-0.7) kg, chất liệu thép, hiệu chữ Trung Quốc</t>
  </si>
  <si>
    <t>Thước rút 5m, có thể điều chỉnh được, chất liệu thép, bọc nhựa, bọc cao su,hiệu Gofurther, kích thước 5*25mm</t>
  </si>
  <si>
    <t>Thước rút 7.5m, có thể điều chỉnh được, chất liệu thép, bọc nhựa, bọc cao su,hiệu Gofurther, kích thước 7.5*25mm</t>
  </si>
  <si>
    <t>Dây thít nhựa, dùng để buộc, không hiệu</t>
  </si>
  <si>
    <t>Tăng đơ M10, chất liệu thép, đường kính tăng 10*135mm, không hiệu</t>
  </si>
  <si>
    <t>Tăng đơ M12, chất liệu thép, đường kính tăng 12*170mm, không hiệu</t>
  </si>
  <si>
    <t>Que hàn sắt Kim Tín KT421 D2.5 20kg/thùng</t>
  </si>
  <si>
    <t>Cọ lăn Việt Mỹ Nano 9in (lông sợi)</t>
  </si>
  <si>
    <t>18/07/2025</t>
  </si>
  <si>
    <t>Cọ lăn chỉ mini 10cm</t>
  </si>
  <si>
    <t>Cân 30</t>
  </si>
  <si>
    <t>Băng cản nước Ecomix PVC V200</t>
  </si>
  <si>
    <t>23/07/2025</t>
  </si>
  <si>
    <t>Phụ gia bê tông chống thấm Sika Latex TH 2L</t>
  </si>
  <si>
    <t>01/07/2025</t>
  </si>
  <si>
    <t>Lưới thủy tinh Kt(30*1.15m) Định lượng 80g/M2</t>
  </si>
  <si>
    <t>Hóa chất PU trương nở MAXSEAL - UF3000, 9kg/Thùng</t>
  </si>
  <si>
    <t>Vải thủy tinh chống cháy, model 1 HT800, KT 1m x 50m x 1mm</t>
  </si>
  <si>
    <t>04/07/2025</t>
  </si>
  <si>
    <t>02/07/2025</t>
  </si>
  <si>
    <t>Lưới</t>
  </si>
  <si>
    <t>Vải bạt PP</t>
  </si>
  <si>
    <t>Nilon</t>
  </si>
  <si>
    <t>12/07/2025</t>
  </si>
  <si>
    <t>140</t>
  </si>
  <si>
    <t>24/07/2025</t>
  </si>
  <si>
    <t>Thép hình I120</t>
  </si>
  <si>
    <t>Ống thép mạ kẽm nhúng nóng</t>
  </si>
  <si>
    <t>200</t>
  </si>
  <si>
    <t>Máy mài góc (GA4034)</t>
  </si>
  <si>
    <t>30/07/2025</t>
  </si>
  <si>
    <t>192</t>
  </si>
  <si>
    <t>Máy cắt (LW1401)</t>
  </si>
  <si>
    <t>Máy khoan động lực HR2470X5 (HR2470X5)</t>
  </si>
  <si>
    <t>Xăng E5 RON 92 Mức 2</t>
  </si>
  <si>
    <t>Xăng RON95-III</t>
  </si>
  <si>
    <t>07/07/2025</t>
  </si>
  <si>
    <t>PLC CATER CI-4 - Hộp 5 lít</t>
  </si>
  <si>
    <t>05/07/2025</t>
  </si>
  <si>
    <t>DO 0.05S-II</t>
  </si>
  <si>
    <t>10/07/2025</t>
  </si>
  <si>
    <t>19/07/2025</t>
  </si>
  <si>
    <t>Đèn Led chiếu pha 50w, model CP01-50W/G03, ánh sáng trắng (KT 230x178x43)</t>
  </si>
  <si>
    <t>16/07/2025</t>
  </si>
  <si>
    <t>Đèn pin G8-568</t>
  </si>
  <si>
    <t>Bóng Led trụ nhôm T20,model T20-80/G01</t>
  </si>
  <si>
    <t>Bóng Led trụ nhôm T30,model T30-100/G01</t>
  </si>
  <si>
    <t>Bóng Led trụ nhôm T40,model T40-115/G01</t>
  </si>
  <si>
    <t>Bóng Led trụ nhôm T60,model T60-140/G01</t>
  </si>
  <si>
    <t>38</t>
  </si>
  <si>
    <t>Tyren D16</t>
  </si>
  <si>
    <t>Bao tải Jumbo 1 tấn</t>
  </si>
  <si>
    <t>Bao PP</t>
  </si>
  <si>
    <t>Máy khoan động lực HR2470</t>
  </si>
  <si>
    <t>11/07/2025</t>
  </si>
  <si>
    <t>Phí nộp VND khác tỉnh, thành phố</t>
  </si>
  <si>
    <t>16/08/2025</t>
  </si>
  <si>
    <t>ống luồn dây điện ĐK 20</t>
  </si>
  <si>
    <t>30/06/2025</t>
  </si>
  <si>
    <t>Máng điện 14x8</t>
  </si>
  <si>
    <t>Ống ruột gà D16 màu trắng</t>
  </si>
  <si>
    <t>Dây điện SJK 2C x 4.0  HVCTFK</t>
  </si>
  <si>
    <t>Que hàn sắt Kim Tín KT421 D3.2 20kg/thùng</t>
  </si>
  <si>
    <t>KG</t>
  </si>
  <si>
    <t>26/06/2025</t>
  </si>
  <si>
    <t>Sơn xịt 400 ml TV 300</t>
  </si>
  <si>
    <t>Sơn xịt 400 ml TV 200</t>
  </si>
  <si>
    <t>Sơn xịt 400 ml TV 210</t>
  </si>
  <si>
    <t>Sơn xịt 400 ml TV A10</t>
  </si>
  <si>
    <t>Chất tẩy sơn ATM 875ml</t>
  </si>
  <si>
    <t>Đá cắt 355.3.25,4 xanh</t>
  </si>
  <si>
    <t>Đá mài Cn 60 TB1 v3 125.8.16</t>
  </si>
  <si>
    <t>Đá mài ba via Cn 125.6.22</t>
  </si>
  <si>
    <t>Đá mài Cn 60 TB1 v3 150.8.32</t>
  </si>
  <si>
    <t>Đá mài Cn 100 MV1/M3 M1 200.100.50</t>
  </si>
  <si>
    <t>28/06/2025</t>
  </si>
  <si>
    <t>56</t>
  </si>
  <si>
    <t>Đá cắt dạng hình tròn, kích thước 107*1.2mm</t>
  </si>
  <si>
    <t>14/06/2025</t>
  </si>
  <si>
    <t>Đá cắt dạng hình tròn, kích thước 355*2.5mm</t>
  </si>
  <si>
    <t>Đá mài dạng hình tròn,kích thước 100*6mm</t>
  </si>
  <si>
    <t>Đinh 5cm</t>
  </si>
  <si>
    <t>Đinh vít sàn gỗ răng thưa 7#X15mm</t>
  </si>
  <si>
    <t>Sơn phun I200</t>
  </si>
  <si>
    <t>Sơn dầu 9200</t>
  </si>
  <si>
    <t>Sơn dầu 9050</t>
  </si>
  <si>
    <t>V­ữa chống thấm Sikatop 107 seal VN ( AB) 25kg/set)</t>
  </si>
  <si>
    <t>25/06/2025</t>
  </si>
  <si>
    <t>16/06/2025</t>
  </si>
  <si>
    <t>Vít Tole các loại</t>
  </si>
  <si>
    <t>11/06/2025</t>
  </si>
  <si>
    <t>190</t>
  </si>
  <si>
    <t>Bình VH120N (20L ngang)</t>
  </si>
  <si>
    <t>18/06/2025</t>
  </si>
  <si>
    <t>Phụ kiện vệ sinh VG98</t>
  </si>
  <si>
    <t>Sen tắm VG 515 (CĐ)</t>
  </si>
  <si>
    <t>15/06/2025</t>
  </si>
  <si>
    <t>Sen tắm VG 568 (CĐ)</t>
  </si>
  <si>
    <t>Bệt V819 trắng (NN, PK đồng bộ, V687) + xịt VG826</t>
  </si>
  <si>
    <t>08/06/2025</t>
  </si>
  <si>
    <t>164</t>
  </si>
  <si>
    <t>149</t>
  </si>
  <si>
    <t>Tổ máy phát điện dùng động cơ Diesel Model: KDE10STA, đủ phụ kiện (KDE10STA)</t>
  </si>
  <si>
    <t>Máy mài (GA9060)</t>
  </si>
  <si>
    <t>24/06/2025</t>
  </si>
  <si>
    <t>17/06/2025</t>
  </si>
  <si>
    <t>07/06/2025</t>
  </si>
  <si>
    <t>05/06/2025</t>
  </si>
  <si>
    <t>196</t>
  </si>
  <si>
    <t>193</t>
  </si>
  <si>
    <t>Cước vận chuyển từ Bắc Giang đến Thanh Hóa (BKS: 98C-111.76)</t>
  </si>
  <si>
    <t>Cước vận chuyển từ Bắc Giang đến Lạng Sơn (BKS: 98C-11050)</t>
  </si>
  <si>
    <t>170</t>
  </si>
  <si>
    <t>Sơn Công Nghiệp Đa Năng -SK 1kg</t>
  </si>
  <si>
    <t>10/06/2025</t>
  </si>
  <si>
    <t>Dây cảo chằng hàng 3Tx6M</t>
  </si>
  <si>
    <t>Bát ren D17 đen</t>
  </si>
  <si>
    <t>21/06/2025</t>
  </si>
  <si>
    <t>Máy đục phá GSH 500</t>
  </si>
  <si>
    <t>Dây Cu/PVC/PVC VCTF 2x2.5</t>
  </si>
  <si>
    <t>19/06/2025</t>
  </si>
  <si>
    <t>Dây Cu/PVC/PVC VCTF 3x2.5</t>
  </si>
  <si>
    <t>Áp tô mát chống rò điện và quá tải LB63N1PN32A 6kA</t>
  </si>
  <si>
    <t>Phí Rút tiền mặt VND (tại chi nhánh mở tài khoản)</t>
  </si>
  <si>
    <t>21/07/2025</t>
  </si>
  <si>
    <t>Dây hàn lõi thuốc KF-71T D1.2 15kg/cuộn</t>
  </si>
  <si>
    <t>19/05/2025</t>
  </si>
  <si>
    <t>Dây hàn mag Gemini 70S6 D1.2 15kg/cuộn RL250</t>
  </si>
  <si>
    <t>Dây hàn mag Gemini 70S6 D1.0 15kg/cuộn RL250</t>
  </si>
  <si>
    <t>Dây hàn mag Gemini 70S6 D0.8 15kg/cuộn RL250</t>
  </si>
  <si>
    <t>162</t>
  </si>
  <si>
    <t>05/05/2025</t>
  </si>
  <si>
    <t>Que hàn sắt Kim Tín KT421 D4.0 20kg/thùng</t>
  </si>
  <si>
    <t>Ve màu ATM 280 Gram 742</t>
  </si>
  <si>
    <t>Ve màu ATM 280 Gram 718</t>
  </si>
  <si>
    <t>Ve màu ATM 280 Gram 738</t>
  </si>
  <si>
    <t>Chất kết dính đi từ Silicon - Apollo Silicone Sealant A500</t>
  </si>
  <si>
    <t>Chất kết dính đi từ Silicon - Apollo Silicone Sealant A300</t>
  </si>
  <si>
    <t>161</t>
  </si>
  <si>
    <t>Đá cắt Cn 355.3.25,4</t>
  </si>
  <si>
    <t>Đá mài Cn60/100 MV2 M1 200.25.50</t>
  </si>
  <si>
    <t>Đá mài Sx 80 TB2 V1 200.20.32</t>
  </si>
  <si>
    <t>Đá mài Cn 36 tb1 V1 250.25.32</t>
  </si>
  <si>
    <t>Đá mài Cn 46 CV1 V1 400.40.127</t>
  </si>
  <si>
    <t>Bình chữa cháy MFZL4</t>
  </si>
  <si>
    <t>28/05/2025</t>
  </si>
  <si>
    <t>Băng cản nước Sika Waterbar V-20 ECO VN (20m/roll)</t>
  </si>
  <si>
    <t>Sơn Reflective Road Line Black 5L</t>
  </si>
  <si>
    <t>Sơn Reflective Road Line Yellow 5L</t>
  </si>
  <si>
    <t>Sơn MK14 15L</t>
  </si>
  <si>
    <t>Sơn MK14 15L PA</t>
  </si>
  <si>
    <t>Thép gai 10</t>
  </si>
  <si>
    <t>07/05/2025</t>
  </si>
  <si>
    <t>26/05/2025</t>
  </si>
  <si>
    <t>23/05/2025</t>
  </si>
  <si>
    <t>30/05/2025</t>
  </si>
  <si>
    <t>24/05/2025</t>
  </si>
  <si>
    <t>10/05/2025</t>
  </si>
  <si>
    <t>115</t>
  </si>
  <si>
    <t>Máy mài góc (GA4031)</t>
  </si>
  <si>
    <t>Máy khoan động lực (M8701B)</t>
  </si>
  <si>
    <t>Tổ máy phát điện chạy xăng AG-7000XDS (AG7000DXS)</t>
  </si>
  <si>
    <t>159</t>
  </si>
  <si>
    <t>09/05/2025</t>
  </si>
  <si>
    <t xml:space="preserve">Dây cảo chằng hàng 3Tx6M </t>
  </si>
  <si>
    <t>20/05/2025</t>
  </si>
  <si>
    <t>Quạt trần model TLC-QTS- CC công suất 82W</t>
  </si>
  <si>
    <t>29/04/2025</t>
  </si>
  <si>
    <t>Đèn LED Downlight đổi màu AT10 90/8W (G)</t>
  </si>
  <si>
    <t>25/04/2025</t>
  </si>
  <si>
    <t>Đế âm TCC dùng cho mặt chữ nhật - S2157</t>
  </si>
  <si>
    <t>Đế âm TCC loại đôi dùng cho mặt chữ nhật - S2157/D</t>
  </si>
  <si>
    <t>ống luồn dây điện ĐK 16</t>
  </si>
  <si>
    <t>Ống PPR DN 32 PN10</t>
  </si>
  <si>
    <t>23/04/2025</t>
  </si>
  <si>
    <t>Ống PPR DN 20 PN10</t>
  </si>
  <si>
    <t>Ống PPR DN 20 PN20</t>
  </si>
  <si>
    <t>Ba chạc 90 độ phun PPR DN 32 PN20</t>
  </si>
  <si>
    <t>Ba chạc 90 độ phun PPR DN 25 PN20</t>
  </si>
  <si>
    <t>Ba chạc 90 độ CB phun PPR DN 32-25 PN20</t>
  </si>
  <si>
    <t>Ba chạc ren trong PPR DN 32-1</t>
  </si>
  <si>
    <t>Nối góc 90 độ phun PPR DN 32 PN20</t>
  </si>
  <si>
    <t>Nối góc 90 độ phun PPR DN 25 PN20</t>
  </si>
  <si>
    <t>Nối góc ren trong phun PPR DN 20*1/2 PN20</t>
  </si>
  <si>
    <t>Nối Thẳng CB phun PPR DN 32-25 PN20</t>
  </si>
  <si>
    <t>Nối Thẳng phun PPR DN 32 PN20</t>
  </si>
  <si>
    <t>Nối thẳng phun PPR DN25 PN20</t>
  </si>
  <si>
    <t>Đầu bịt phun PPR DN 25 PN20</t>
  </si>
  <si>
    <t>Van chặn PPR DN 32-1</t>
  </si>
  <si>
    <t>Van chặn PPR DN 25</t>
  </si>
  <si>
    <t>Zăc co PPR đk 32 PN10</t>
  </si>
  <si>
    <t>Zắc co PPR DN 25</t>
  </si>
  <si>
    <t>ống PVCĐK 110 C1</t>
  </si>
  <si>
    <t>ống PVCĐK 90 C1</t>
  </si>
  <si>
    <t>ống uPVC C1 đk 75 PN6</t>
  </si>
  <si>
    <t>ống PVCĐK 48 C1</t>
  </si>
  <si>
    <t>Ống PVC ĐK 42 C1</t>
  </si>
  <si>
    <t>Ba chạc 90 độ phun uPVC đk 110 PN6</t>
  </si>
  <si>
    <t>Ba chạc 90 độ uPVC đk 90 phun PN6</t>
  </si>
  <si>
    <t>Ba chạc 90 độ phun uPVC đk 75 PN8</t>
  </si>
  <si>
    <t>Nối góc 90 độ phun uPVC đk 110 PN6</t>
  </si>
  <si>
    <t>Nối góc 90 độ fun ĐK 75</t>
  </si>
  <si>
    <t>Nối góc 90 độ phun uPVC đk 48 PN10</t>
  </si>
  <si>
    <t>Nối góc 90 độ phun uPVC DN42 PN10</t>
  </si>
  <si>
    <t>Đầu nối cb fun ĐK 110-90 PN 6</t>
  </si>
  <si>
    <t>Đầu nối cb fun ĐK 110-76 PN 6</t>
  </si>
  <si>
    <t>Đầu nối cb ĐK 75-42</t>
  </si>
  <si>
    <t>Nối góc 45 độ đk 110 PN6</t>
  </si>
  <si>
    <t>Nối góc 45 độ  phun uPVC DN90 PN6</t>
  </si>
  <si>
    <t>Nối góc45 độ ĐK 75 PN8</t>
  </si>
  <si>
    <t>Ba chạc 45 độ phun uPVC DN110 ( T-10 )</t>
  </si>
  <si>
    <t>Ba chạc 45 độ phun uPVC DN90 ( T-10 )</t>
  </si>
  <si>
    <t>Ba chạc 45 độ ĐK 75</t>
  </si>
  <si>
    <t>Đầu bịt ngoài  phun ĐK 110 PN6</t>
  </si>
  <si>
    <t>Đầu bịt ngoài phun uPVC đk 90 PN6</t>
  </si>
  <si>
    <t>Đầu bịt ngoài phun uPVC đk 75 PN8</t>
  </si>
  <si>
    <t>Đầu bịt ngoài phun uPVC đk 48 PN6</t>
  </si>
  <si>
    <t>Đầu bịt ngoài phun uPVC DN42 PN10</t>
  </si>
  <si>
    <t>Vỏ tủ điện 6 đường</t>
  </si>
  <si>
    <t>Cầu dao 1 Pha 16A 6kA</t>
  </si>
  <si>
    <t>Cầu dao MCB 1P 25A 6kA</t>
  </si>
  <si>
    <t>Cầu dao 3P 16A</t>
  </si>
  <si>
    <t>MCCB BS121/2P25A - BS121/25A</t>
  </si>
  <si>
    <t>A30/1 (Công tắc 1 chiều 10A)</t>
  </si>
  <si>
    <t>Ổ cắm đôi 3 chấu</t>
  </si>
  <si>
    <t>Đèn led thanh nhà xưởng 200W AST</t>
  </si>
  <si>
    <t>Ống uPVC DN60 PN8 (Class2)</t>
  </si>
  <si>
    <t>Nối góc 90 độ phun uPVC DN27 PN10</t>
  </si>
  <si>
    <t>Bộ đèn LED M36 1200/50W 6500K</t>
  </si>
  <si>
    <t>Áo mưa bộ Lion A6 (2 lớp)</t>
  </si>
  <si>
    <t>15/04/2025</t>
  </si>
  <si>
    <t>Áo mưa tiện lợi</t>
  </si>
  <si>
    <t>28/04/2025</t>
  </si>
  <si>
    <t>Vữa rót Sikagrout 214 - 11</t>
  </si>
  <si>
    <t>Phụ gia bê tông chống thấm Sika Latex TH 5L (Hàng KM không thu tiền)</t>
  </si>
  <si>
    <t>35</t>
  </si>
  <si>
    <t>Sơn sắt mạ kẽm màu Xingfa đen Z33</t>
  </si>
  <si>
    <t>Sơn sắt mạ kẽm màu Xingfa đỏ Z34</t>
  </si>
  <si>
    <t>Sơn sắt mạ kẽm màu đen E860</t>
  </si>
  <si>
    <t>Sơn dầu 9000</t>
  </si>
  <si>
    <t>Sơn dầu nhanh khô nhũ bạc A380</t>
  </si>
  <si>
    <t>Sơn sắt mạ kẽm màu Xingfa xám E364</t>
  </si>
  <si>
    <t>Sơn sắt mạ kẽm màu Xingfa xám Z35</t>
  </si>
  <si>
    <t>Lót chống rỉ nâu</t>
  </si>
  <si>
    <t>Sơn sắt mạ kẽm màu trắng E160</t>
  </si>
  <si>
    <t>Sơn sắt mạ kẽm màu Xingfa đỏ E362</t>
  </si>
  <si>
    <t>Sơn dầu nhanh khô xanh lá đậm A80</t>
  </si>
  <si>
    <t>26/04/2025</t>
  </si>
  <si>
    <t>135</t>
  </si>
  <si>
    <t>Áp tô mát ABN103c 100A 22kA</t>
  </si>
  <si>
    <t>Máng cáp có nắp 200x100mm</t>
  </si>
  <si>
    <t>Thép hộp mạ kẽm</t>
  </si>
  <si>
    <t>Thép ống mạ kẽm</t>
  </si>
  <si>
    <t>08/04/2025</t>
  </si>
  <si>
    <t>Tủ điện mặt nhựa, đế sắt chứa 14-18 Module-E4FC14/18L</t>
  </si>
  <si>
    <t>MCCB SBE 103b/3P100A - SBE103B/100</t>
  </si>
  <si>
    <t>Ống nhựa xoắn HDPE-SP 50/40</t>
  </si>
  <si>
    <t>MCB PS45N/3P40A-PS45N/C3040</t>
  </si>
  <si>
    <t>RCCB SL68N/2P32A - 0.03A - SL68N/2032/030</t>
  </si>
  <si>
    <t>Thép hộp mạ kẽm 50x100x1.8</t>
  </si>
  <si>
    <t>18/04/2025</t>
  </si>
  <si>
    <t>13/04/2025</t>
  </si>
  <si>
    <t>04/04/2025</t>
  </si>
  <si>
    <t>01/04/2025</t>
  </si>
  <si>
    <t>109</t>
  </si>
  <si>
    <t>09/04/2025</t>
  </si>
  <si>
    <t>Đèn Led chiếu pha 20w, model CP01-20W/G03, ánh sáng trắng (KT 145x100x30)</t>
  </si>
  <si>
    <t>Vợt muỗi G8-626</t>
  </si>
  <si>
    <t>Đèn pin G8-ML3, ánh sáng trắng</t>
  </si>
  <si>
    <t>Bóng LED tích điện TD125, mode TD125-0.45AH/G01</t>
  </si>
  <si>
    <t>GP-200JXK-SV5-Máy bơm không tự động 200W</t>
  </si>
  <si>
    <t>CÁI</t>
  </si>
  <si>
    <t>A-130JAK- Máy bơm tự động 125w</t>
  </si>
  <si>
    <t>BS1113TV-Bộ ngắt mạch an toàn HB 30A</t>
  </si>
  <si>
    <t>QD1800-quạt đứng D1800</t>
  </si>
  <si>
    <t>QT109-Quạt treo T109</t>
  </si>
  <si>
    <t>OC4TN325-Ổ CẮM 4TN DÂY 3m x 2.5A</t>
  </si>
  <si>
    <t>Quạt treo Toshiba F-WSA20(H)VN (imei)</t>
  </si>
  <si>
    <t>24/04/2025</t>
  </si>
  <si>
    <t>Phiếu mua hàng Quạt điều hòa trị giá 300.000đ</t>
  </si>
  <si>
    <t>PMH đồng hồ định vị trẻ em hãng Kidcare, imoo, Huawei trị giá 200,000đ</t>
  </si>
  <si>
    <t>22/04/2025</t>
  </si>
  <si>
    <t>Áp tô mát ABN203c 150A 30kA</t>
  </si>
  <si>
    <t>12/04/2025</t>
  </si>
  <si>
    <t>Phí chuyển tiền nộp Ngân sách Nhà nước bằng chuyển khoản khác chi nhánh</t>
  </si>
  <si>
    <t>18/05/2025</t>
  </si>
  <si>
    <t>16/05/2025</t>
  </si>
  <si>
    <t>28/03/2025</t>
  </si>
  <si>
    <t>Ống uPVC DN42 PN10 (Class2)</t>
  </si>
  <si>
    <t>ống PVCĐK 48 C2</t>
  </si>
  <si>
    <t>ống PVC ĐK75C2</t>
  </si>
  <si>
    <t>Ống uPVC đk 21 NTC</t>
  </si>
  <si>
    <t>Ống uPVC đk 27 NTC</t>
  </si>
  <si>
    <t>Ống uPVC đk 34 NTC</t>
  </si>
  <si>
    <t>Ống uPVC đk 42 NTC</t>
  </si>
  <si>
    <t>Ống uPVC đk 48 NTC</t>
  </si>
  <si>
    <t>Ống uPVC đk 60 NTC</t>
  </si>
  <si>
    <t>Ống uPVC đk 75 NTC</t>
  </si>
  <si>
    <t>Ống uPVC đk 90 NTC</t>
  </si>
  <si>
    <t>Đầu nối cb ĐK 90-75</t>
  </si>
  <si>
    <t>Đầu nối cb ĐK 75-60PN8</t>
  </si>
  <si>
    <t>Đầu nối cb ĐK 60-48PN8</t>
  </si>
  <si>
    <t>Đầu nối cb 48-42</t>
  </si>
  <si>
    <t>Đầu nối cb 42-34</t>
  </si>
  <si>
    <t>Đầu nối cb 34-27</t>
  </si>
  <si>
    <t>Đầu nối cb 27-21</t>
  </si>
  <si>
    <t>Ba chạc 90 độ cb fun 110-90</t>
  </si>
  <si>
    <t>Ba chạc 90 độ cb fun 60-48</t>
  </si>
  <si>
    <t>Ba chạc 90 độ cb fun 42-34</t>
  </si>
  <si>
    <t>Ba chạc 90 độ phun uPVC DN34-27 ( T-10)</t>
  </si>
  <si>
    <t>Ba chạc 90 độ cb fun 27-21</t>
  </si>
  <si>
    <t>Măng sông  ĐK21</t>
  </si>
  <si>
    <t>Nối thẳng CB phun uPVC đk 75 - 34 PN8</t>
  </si>
  <si>
    <t>Nối thẳng phun uPVC đk 42 PN10</t>
  </si>
  <si>
    <t>Nối thẳng fun ĐK 48 PN10</t>
  </si>
  <si>
    <t>Măng sông  ĐK60</t>
  </si>
  <si>
    <t>Nối thẳng phun uPVC đk 75 PN8</t>
  </si>
  <si>
    <t>Măng sông  ĐK110</t>
  </si>
  <si>
    <t>Nối góc 45 độ phun uPVC đk 21 PN10</t>
  </si>
  <si>
    <t>Nối góc 45 độ phun uPVC DN27 PN10</t>
  </si>
  <si>
    <t>Nối góc 45 độ  phun uPVC DN34 PN10</t>
  </si>
  <si>
    <t>Nối góc45 độ phun uPVC DN42 PN10</t>
  </si>
  <si>
    <t>Nối góc 45 độ phun uPVC đk 48 PN10</t>
  </si>
  <si>
    <t>Nối góc 45 độ phun uPVC đk 60 PN8</t>
  </si>
  <si>
    <t>Ba chạc 90 độ fun ĐK 21</t>
  </si>
  <si>
    <t>Ba chạc 90 độ phun uPVC DN27 ( T-10)</t>
  </si>
  <si>
    <t>Ba chạc 90 độ phun uPVC DN34 ( T-10)</t>
  </si>
  <si>
    <t>Ba chạc 90 độ phun uPVC DN42 PN10</t>
  </si>
  <si>
    <t>Ba chạc 90 độ fun ĐK 60</t>
  </si>
  <si>
    <t>TB004HN( val 21Trắng)</t>
  </si>
  <si>
    <t>TB006HN( val 27Trắng)</t>
  </si>
  <si>
    <t>TB010HN(val 34 trắng)</t>
  </si>
  <si>
    <t>TB012HN( val 42Trắng)</t>
  </si>
  <si>
    <t>TB015HN( val48Trắng)</t>
  </si>
  <si>
    <t>TB020HN( val 60 trắng)</t>
  </si>
  <si>
    <t>Đầu nối ren ngoài phun uPVC đk 21 - 1/2" PN10</t>
  </si>
  <si>
    <t>Đầu nối ren ngoài phun uPVC đk 27 - 3/4" PN10</t>
  </si>
  <si>
    <t>Đầu nối ren ngoài phun uPVC đk 34 - 1" PN10</t>
  </si>
  <si>
    <t>Đầu nối ren ngoài phun uPVC đk 42 - 1.1/4" PN10</t>
  </si>
  <si>
    <t>Đầu nối ren ngoài phun uPVC đk 48 - 1.1/2" PN10</t>
  </si>
  <si>
    <t>Đầu nối ren ngoài phun uPVC đk 60 - 2" PN10</t>
  </si>
  <si>
    <t>Bóng LED Bulb A45N1/3W E27 3000K</t>
  </si>
  <si>
    <t>Bóng LED Bulb A55N4/5W E27 3000K</t>
  </si>
  <si>
    <t>Bóng LED Bulb A60N1/9W.H E27 6500K</t>
  </si>
  <si>
    <t>Bóng LED Bulb A70N1/12W E27 6500K SS</t>
  </si>
  <si>
    <t>Bóng LED Bulb A80N1/15W E27 6500K SS</t>
  </si>
  <si>
    <t>LED Bulb(LED A95N1/20W)E27 6500K SS</t>
  </si>
  <si>
    <t>LED Bulb A120N1/30W E27 6500K SS</t>
  </si>
  <si>
    <t>LED Bulb(LED TR120N1/40W E27 6500K SS</t>
  </si>
  <si>
    <t>Bộ đèn LED M26 1200/50W 6500K</t>
  </si>
  <si>
    <t>SB-30 (Cầu dao an toàn 30A)</t>
  </si>
  <si>
    <t>Máng điện 18*10</t>
  </si>
  <si>
    <t>2 ổ cắm 2 chấu 16A với 1 lỗ S186 - S186U2X</t>
  </si>
  <si>
    <t>Đế Âm S2157</t>
  </si>
  <si>
    <t>Đế Âm Đôi S2157/D</t>
  </si>
  <si>
    <t xml:space="preserve">BKD-20 Băng keo điện màu đen </t>
  </si>
  <si>
    <t>61</t>
  </si>
  <si>
    <t>Gạch lát KT 500x500</t>
  </si>
  <si>
    <t>29/03/2025</t>
  </si>
  <si>
    <t>24</t>
  </si>
  <si>
    <t>Dây thép MK d1.0</t>
  </si>
  <si>
    <t>Dây thép MK d3.0-4.7</t>
  </si>
  <si>
    <t>124</t>
  </si>
  <si>
    <t>106</t>
  </si>
  <si>
    <t>Máng cáp thép 200x100x1.0</t>
  </si>
  <si>
    <t>Cáp Cu/XLPE/PVC 3x10+1x6</t>
  </si>
  <si>
    <t>Cáp Cu/XLPE/PVC 3x25+1x16</t>
  </si>
  <si>
    <t>Kìm cắt cáp Asaki 24in</t>
  </si>
  <si>
    <t>Kìm bấm cos</t>
  </si>
  <si>
    <t>Dây Cu/PVC/PVC VCTF 4x4.0</t>
  </si>
  <si>
    <t>Dây điện 2x0.75 TP</t>
  </si>
  <si>
    <t>Đầu cos 16-8</t>
  </si>
  <si>
    <t>Đầu cos nối 16</t>
  </si>
  <si>
    <t>105</t>
  </si>
  <si>
    <t>Hạt công tắc 1 chiều (N)</t>
  </si>
  <si>
    <t>Băng keo đen</t>
  </si>
  <si>
    <t>Đui đèn xoáy E27</t>
  </si>
  <si>
    <t>Bóng led trụ nhôm 50w</t>
  </si>
  <si>
    <t>BKJ 4P 40A LS (MCB 4P 40A)</t>
  </si>
  <si>
    <t>MCCB 3P 100A LS</t>
  </si>
  <si>
    <t>Ống gân xoắn OSPEN 40/50</t>
  </si>
  <si>
    <t>Đèn báo pha ( vàng)</t>
  </si>
  <si>
    <t>2 ổ 2 chấu S18U2</t>
  </si>
  <si>
    <t>Mặt 2lỗ S182/x</t>
  </si>
  <si>
    <t>Thép ống hộp mạ kẽm</t>
  </si>
  <si>
    <t>27/03/2025</t>
  </si>
  <si>
    <t>30/03/2025</t>
  </si>
  <si>
    <t>87</t>
  </si>
  <si>
    <t>85</t>
  </si>
  <si>
    <t>Bì gai</t>
  </si>
  <si>
    <t>Bì xanh</t>
  </si>
  <si>
    <t>15/03/2025</t>
  </si>
  <si>
    <t>49</t>
  </si>
  <si>
    <t>Máy khoan động lực 2470x5 (HR2470)</t>
  </si>
  <si>
    <t>Máy đầm đất  (ZPC25)</t>
  </si>
  <si>
    <t>19/03/2025</t>
  </si>
  <si>
    <t>Đầu nổ robin (EH0930)</t>
  </si>
  <si>
    <t>Máy cưa đĩa (N5900B)</t>
  </si>
  <si>
    <t>Máy mài cầm tay dùng điện, công suất: 950W, điện áp: 220V/50-60Hz. Nhãn hiệu: NANXIN, model: NX-M822, tốc độ: 11000v/phút, có động cơ gắn liền (mài trên mọi chất liệu). Mới 100%</t>
  </si>
  <si>
    <t>Máy đục bê tông cầm tay dùng điện, công suất: 1000W - 220-240V, nhãn hiệu: KPTS, kí hiệu: KPTS-8832, có động cơ gắn liền. Mới 100%</t>
  </si>
  <si>
    <t>Máy khuấy sơn cầm tay dùng điện, nhãn hiệu: NANXIN. Model: NX08-16C, công suất: 1300W, điện áp: 220V/50Hz. Mới 100%</t>
  </si>
  <si>
    <t>Máy đục bê tông cầm tay dùng điện, công suất: 1000W, điện áp: 220V/50Hz, hiệu: NANXIN, model: 3226, có động cơ gắn liền. Mới 100%</t>
  </si>
  <si>
    <t>Máy mài cầm tay dùng điện, công suất: 860W, điện áp: 220V/50Hz, nhãn hiệu: NANXIN, model: NANXIN-180-5, có động cơ gắn liền (mài trên mọi chất liệu). Mới 100%</t>
  </si>
  <si>
    <t>Máy phun sơn cầm tay dùng điện, công suất: 850W - Điện áp: 220V/50Hz, hiệu: NANXIN, kí hiệu: NX-09 (dạng phun bắn tia). Mới 100%</t>
  </si>
  <si>
    <t>Thiết bị quang học xác định và kiểm tra mặt phẳng ngang và mặt phẳng đứng dùng laser dùng trong lĩnh vực xây dựng, dùng pin sạc 3.7V~5V, hiệu: KPTS, kí hiệu: KPT-12. Mới 100%</t>
  </si>
  <si>
    <t>Máy tính bảng iPad Air 11 inch M2 2024 Wifi 256GB Trắng MUWJ3ZA/A; Số serial: SLJN254QH3W; Hạn bảo hành: 17/03/2026</t>
  </si>
  <si>
    <t>18/03/2025</t>
  </si>
  <si>
    <t>Dịch Vụ - Phần mềm - Phiếu mua hàng 200,000đ mua Microsoft® 365 Personal/Family</t>
  </si>
  <si>
    <t>0%</t>
  </si>
  <si>
    <t>Đơn hàng từ 500.000đ bất kì được mua Chảo SM5745 chỉ với giá 169.000đ</t>
  </si>
  <si>
    <t>Bồn nhựa Tân Á-8 500N</t>
  </si>
  <si>
    <t>20/03/2025</t>
  </si>
  <si>
    <t>17/04/2025</t>
  </si>
  <si>
    <t>16/04/2025</t>
  </si>
  <si>
    <t>24/02/2025</t>
  </si>
  <si>
    <t>07/02/2025</t>
  </si>
  <si>
    <t>25/02/2025</t>
  </si>
  <si>
    <t>06/02/2025</t>
  </si>
  <si>
    <t>Máy hàn hồ quang dùng điện, loại di động, nhãn hiệu: KPTS, Model: KPT-MOS-355A, điện áp: 220V/50Hz, dòng hàn: 355A. Mới 100%</t>
  </si>
  <si>
    <t>08/02/2025</t>
  </si>
  <si>
    <t>Máy hàn hồ quang dùng điện, loại di động, nhãn hiệu: KPTS, Model: KPT-MMA-250A, điện áp: 220V/50Hz, dòng hàn: 250A. Mới 100%</t>
  </si>
  <si>
    <t>Máy hàn hồ quang dùng điện, loại di động, nhãn hiệu: KPTS, Model: KPT-MMA-350A, điện áp: 220V/50Hz, dòng hàn: 350A. Mới 100%</t>
  </si>
  <si>
    <t>Máy hàn hồ quang dùng điện, loại di động, nhãn hiệu: KPTS, Model: KPT-MMA-315A, điện áp: 220V/50Hz, dòng hàn: 315A. Mới 100%</t>
  </si>
  <si>
    <t>169</t>
  </si>
  <si>
    <t>Bát ren D16</t>
  </si>
  <si>
    <t>20/02/2025</t>
  </si>
  <si>
    <t>Cước dịch vụ Viễn thông-Công nghệ thông tin tháng 01 năm 2025</t>
  </si>
  <si>
    <t>Tháng</t>
  </si>
  <si>
    <t>Trả trước tg1157fttx 13 tháng, từ 01/02/2025 đến 28/02/2026</t>
  </si>
  <si>
    <t>Quản lý tài khoản VND (Tổ chức)</t>
  </si>
  <si>
    <t>16/03/2025</t>
  </si>
  <si>
    <t>Dịch vụ sửa chữa xe  MAZDABT-50DAT32 Biển số: 36C17844, RO: M25010728</t>
  </si>
  <si>
    <t>13/01/2025</t>
  </si>
  <si>
    <t>BẢO DƯỠNG 150.000KM</t>
  </si>
  <si>
    <t>Công</t>
  </si>
  <si>
    <t>THAY LỌC NHIÊN LIỆU</t>
  </si>
  <si>
    <t>VÁ LỐP TRƯỚC PHẢI</t>
  </si>
  <si>
    <t>LÔNG ĐỀN ỐC XẢ NHỚT</t>
  </si>
  <si>
    <t>LỌC NHỚT</t>
  </si>
  <si>
    <t>LỌC DẦU</t>
  </si>
  <si>
    <t>Miếng vá lốp</t>
  </si>
  <si>
    <t>NƯỚC RỬA KÍNH Ô TÔ WF2301</t>
  </si>
  <si>
    <t>CHAI</t>
  </si>
  <si>
    <t>NHỚT ĐỘNG CƠ CAO CẤP CASTROL MAGNATEC PROFESSIONAL A5 5W30 API SN/CF</t>
  </si>
  <si>
    <t>LÍT</t>
  </si>
  <si>
    <t>DUNG DỊCH XÚC RỬA ĐỘNG CƠ (CASTROL SHAMPOO)</t>
  </si>
  <si>
    <t>CHẤT TẨY BỐ THẮNG, LINH KIỆN - BRAKE &amp; PARTS CLEANER 500ML</t>
  </si>
  <si>
    <t>GÓI MỠ TRA ẮC VÀ PISTON PHANH, BG,(5G)</t>
  </si>
  <si>
    <t>GÓI</t>
  </si>
  <si>
    <t>Băng cản nước HK Waterbar V25</t>
  </si>
  <si>
    <t>22/01/2025</t>
  </si>
  <si>
    <t>14/01/2025</t>
  </si>
  <si>
    <t>11/01/2025</t>
  </si>
  <si>
    <t>07/01/2025</t>
  </si>
  <si>
    <t>20/01/2025</t>
  </si>
  <si>
    <t>Thép hộp mạ kẽm 20x40x1.8</t>
  </si>
  <si>
    <t>9</t>
  </si>
  <si>
    <t>15/01/2025</t>
  </si>
  <si>
    <t>18/01/2025</t>
  </si>
  <si>
    <t>Cước dịch vụ Viễn thông-Công nghệ thông tin tháng 12 năm 2024</t>
  </si>
  <si>
    <t>026-10/25/2G/HD/0000324 - BH TNDS bắt buộc xe ô tô biển số 36C-17844</t>
  </si>
  <si>
    <t>-</t>
  </si>
  <si>
    <t>16/01/2025</t>
  </si>
  <si>
    <t>Bộ giải pháp phần mềm Quản lý tài chính kế toán dành cho DN nhỏ và siêu nhỏ - Gói cơ bản năm đầu tiên</t>
  </si>
  <si>
    <t>Năm</t>
  </si>
  <si>
    <t>19/02/2025</t>
  </si>
  <si>
    <t>Nộp VND khác tỉnh, thành phố</t>
  </si>
  <si>
    <t>18/02/2025</t>
  </si>
  <si>
    <t>16/02/2025</t>
  </si>
  <si>
    <t>Phí chuyển tiền khác hệ thống từ 500 triệu VND trở lên</t>
  </si>
  <si>
    <t>Nộp VND cùng huyện, thị xã (tại chi nhánh mở tài khoản)</t>
  </si>
  <si>
    <t>CM BLK</t>
  </si>
  <si>
    <t>187</t>
  </si>
  <si>
    <t>Màng ngăn nước Sikaproof membarane</t>
  </si>
  <si>
    <t>40</t>
  </si>
  <si>
    <t>39</t>
  </si>
  <si>
    <t>89</t>
  </si>
  <si>
    <t>153</t>
  </si>
  <si>
    <t>Tôn xốp 0.35 VN</t>
  </si>
  <si>
    <t>Đầu bơm</t>
  </si>
  <si>
    <t>46</t>
  </si>
  <si>
    <t>23</t>
  </si>
  <si>
    <t>29</t>
  </si>
  <si>
    <t>5</t>
  </si>
  <si>
    <t>Led Bulb 15W</t>
  </si>
  <si>
    <t>Ống uPVC 27 C2</t>
  </si>
  <si>
    <t>TB015HN (val 48 trắng)</t>
  </si>
  <si>
    <t>71</t>
  </si>
  <si>
    <t>hộp</t>
  </si>
  <si>
    <t>đôi</t>
  </si>
  <si>
    <t>Vữa rót sikagrout 214-11</t>
  </si>
  <si>
    <t>Lưỡi xẻng không cán (0.8-0.9) kg</t>
  </si>
  <si>
    <t>70</t>
  </si>
  <si>
    <t>viên</t>
  </si>
  <si>
    <t>Đá mài dạng hình tròn, kích thước 100*6mm</t>
  </si>
  <si>
    <t>68</t>
  </si>
  <si>
    <t>Mũ BHLĐ C10</t>
  </si>
  <si>
    <t>67</t>
  </si>
  <si>
    <t>tấm</t>
  </si>
  <si>
    <t>66</t>
  </si>
  <si>
    <t>Ống uPVC DN90 PN6 C2</t>
  </si>
  <si>
    <t>Nối góc 90 độ</t>
  </si>
  <si>
    <t>65</t>
  </si>
  <si>
    <t>Ngói</t>
  </si>
  <si>
    <t>63</t>
  </si>
  <si>
    <t>TB006HN (val 27 trắng)</t>
  </si>
  <si>
    <t>62</t>
  </si>
  <si>
    <t>Led Buld 20W</t>
  </si>
  <si>
    <t>Ống luồn dây điện</t>
  </si>
  <si>
    <t>bộ</t>
  </si>
  <si>
    <t>Ống uPVC DN60 PN8 C2</t>
  </si>
  <si>
    <t>60</t>
  </si>
  <si>
    <t>Ống PVC 90 C2</t>
  </si>
  <si>
    <t>Nối góc 45 độ DK 110 PN6</t>
  </si>
  <si>
    <t>59</t>
  </si>
  <si>
    <t>Đá cắt 125</t>
  </si>
  <si>
    <t>58</t>
  </si>
  <si>
    <t>54</t>
  </si>
  <si>
    <t>53</t>
  </si>
  <si>
    <t>Dây điện SIK 1Cx1.5 HKIV</t>
  </si>
  <si>
    <t>Led bulb 12W</t>
  </si>
  <si>
    <t>51</t>
  </si>
  <si>
    <t>50</t>
  </si>
  <si>
    <t>Thước rút 5m, chất liệu thép, hiệu Gofurther</t>
  </si>
  <si>
    <t>47</t>
  </si>
  <si>
    <t>42</t>
  </si>
  <si>
    <t>Ống uPVC DN27 PN16  C2</t>
  </si>
  <si>
    <t>Mũi khoan nhọn</t>
  </si>
  <si>
    <t>Hộp inox 304</t>
  </si>
  <si>
    <t>Majestic đẹp hoàn hảo bóng base A 4.5L</t>
  </si>
  <si>
    <t>Nối góc 90 độ phun uPVC DN27 PN10</t>
  </si>
  <si>
    <t>Nối thẳng CB phun uPVC đk 75-34 PN8</t>
  </si>
  <si>
    <t>34</t>
  </si>
  <si>
    <t>31</t>
  </si>
  <si>
    <t>30</t>
  </si>
  <si>
    <t>Đầu nối ren ngoài phun uPVC đk 34-1" PN10</t>
  </si>
  <si>
    <t>28</t>
  </si>
  <si>
    <t>22</t>
  </si>
  <si>
    <t>21</t>
  </si>
  <si>
    <t>Lưỡi cắt gạch</t>
  </si>
  <si>
    <t>Keo dán gạch</t>
  </si>
  <si>
    <t>Jotashield chống phai màu A4.5L</t>
  </si>
  <si>
    <t>Ống PVCĐK 48 C2</t>
  </si>
  <si>
    <t>7</t>
  </si>
  <si>
    <t>Dây điện SIK 1Cx2.5 HKIV</t>
  </si>
  <si>
    <t>16</t>
  </si>
  <si>
    <t>Dây điện SIK 2Cx1.5 HVCTFK</t>
  </si>
  <si>
    <t>Đế âm S2157</t>
  </si>
  <si>
    <t>Đá mài Sx 80 TBN2 V1 200.20.32</t>
  </si>
  <si>
    <t>Thước mét (thước cuốn) COROLLA 5m*25mm</t>
  </si>
  <si>
    <t>Máy rửa cao áp TSR</t>
  </si>
  <si>
    <t>Keo crylic S1</t>
  </si>
  <si>
    <t>lọ</t>
  </si>
  <si>
    <t>Lưỡi xẻng không cán (0.4-0.5) kg</t>
  </si>
  <si>
    <t>14</t>
  </si>
  <si>
    <t>Thước rút 7.5m chất liệu thép hiệu Gofurther</t>
  </si>
  <si>
    <t>EDH-Y25310 Mũi khoan bê tông xuyên tường</t>
  </si>
  <si>
    <t>Dây điện SIK 2Cx2.5 HVCTFK</t>
  </si>
  <si>
    <t>Bánh đẩy xe đường kính cả lốp 1.5 inch</t>
  </si>
  <si>
    <t>Bát mài bê tông, đá hoa cương COROLLA.KT 4</t>
  </si>
  <si>
    <t>Dung môi cao cấp</t>
  </si>
  <si>
    <t>Thước mét (thước cuốn) COROLLA 10m*25mm</t>
  </si>
  <si>
    <t>Đá cắt kim loại COROLLA 107*1.2*16mm (xanh)</t>
  </si>
  <si>
    <t>Chất kết dính đi từ Silicon A500</t>
  </si>
  <si>
    <t>Ma tít gắn thép dùng để khoan cấy PE-600EC</t>
  </si>
  <si>
    <t>Cọ lăn chỉ minni 10cm</t>
  </si>
  <si>
    <t>Bộ đèn led M26 1200/50W 6500K</t>
  </si>
  <si>
    <t>Đế âm đôi S2157/D</t>
  </si>
  <si>
    <t>Vít đầu bằng chất liệu thép mạ Inox 4.2mm</t>
  </si>
  <si>
    <t>Dây thép MK D1.0</t>
  </si>
  <si>
    <t>Lưới thủy tinh kt(30*1.15m) định lượng 80g/M2</t>
  </si>
  <si>
    <t>12</t>
  </si>
  <si>
    <t>md</t>
  </si>
  <si>
    <t>Đầu nối ren ngoài phun uPVC đk 60-2" PN10</t>
  </si>
  <si>
    <t>Ba chạc 90 độ uPVC DN27 (T-10)</t>
  </si>
  <si>
    <t>Ống PVC 110 C2</t>
  </si>
  <si>
    <t>Tôn xốp</t>
  </si>
  <si>
    <t>Khóa dây chất liệu lõi sắt bọc nhựa 20*80</t>
  </si>
  <si>
    <t>Kìm hàn điện, tay cầm nhựa Model 800A</t>
  </si>
  <si>
    <t>Thước mét (thước cuốn) COROLLA 7.5m*25mm</t>
  </si>
  <si>
    <t>Đá cắt 355.32.5, 4 xanh</t>
  </si>
  <si>
    <t>DH-HJZ017-E1 Mũi đục nhọn chuôi lục giác</t>
  </si>
  <si>
    <t>Bánh đẩy xe đường kính cả lốp 3 inch</t>
  </si>
  <si>
    <t>Nỉ đánh bóng sắt inox, làm từ vật liệu mài</t>
  </si>
  <si>
    <t>Chổi (bát) đánh gỉ sắt bộ phận máy đánh gỉ</t>
  </si>
  <si>
    <t>DL2207 Kìm cắt 7" E</t>
  </si>
  <si>
    <t>Súng keo, chất liệu thép, không kèm bình keo</t>
  </si>
  <si>
    <t>Dây xích chất liệu thép KT 3mm, dài 145 cm</t>
  </si>
  <si>
    <t>Mũi đục bê tông phi 17*250mm, hiệu Gofurther</t>
  </si>
  <si>
    <t>Máy khoan điện cầm tay Kynko KD64</t>
  </si>
  <si>
    <t>chuyến</t>
  </si>
  <si>
    <t>Đá cắt Cn 355.32.5, 4</t>
  </si>
  <si>
    <t>Tôn màu 0.35</t>
  </si>
  <si>
    <t>Tôn màu</t>
  </si>
  <si>
    <t>Măng sông ĐK60</t>
  </si>
  <si>
    <t>Máy khuấy sơn cầm tay công suất 1300W</t>
  </si>
  <si>
    <t>Tăng đơ M6 chất liệu thép 6*100mm</t>
  </si>
  <si>
    <t>Đá mài Cn60/100 MV2 M1 20025.50</t>
  </si>
  <si>
    <t>Đèn led Downlight đổi màu AT10 90/8W (G)</t>
  </si>
  <si>
    <t>túi</t>
  </si>
  <si>
    <t>EDH-Y14310 mũi khoan bê tông xuyên tường</t>
  </si>
  <si>
    <t>OCTN325-Ổ cắm 4TN dây 3mx2.5A</t>
  </si>
  <si>
    <t>Mũi đục nhọn</t>
  </si>
  <si>
    <t>Mũi đục bê tông phi 14*210mm, hiệu Gofurther</t>
  </si>
  <si>
    <t>Kìm cắt dây điện, nhọn, chất liệu thép</t>
  </si>
  <si>
    <t>Sơn công nghiệp đa năng - SK 1kg</t>
  </si>
  <si>
    <t>Dây điện SIK 1Cx4.0 HKIV</t>
  </si>
  <si>
    <t>Sơn nước ngoại thất 18l</t>
  </si>
  <si>
    <t>Led bulb A120N1/30W E27 6500K SS</t>
  </si>
  <si>
    <t>Bồn nhựa 1000N</t>
  </si>
  <si>
    <t>Thép hộp mạ kẽm 100x100x1.8</t>
  </si>
  <si>
    <t>Tôn sóng 0.35</t>
  </si>
  <si>
    <t>Vít tole các loại</t>
  </si>
  <si>
    <t>202</t>
  </si>
  <si>
    <t>Ống PVCĐK 110 C1</t>
  </si>
  <si>
    <t>201</t>
  </si>
  <si>
    <t>198</t>
  </si>
  <si>
    <t>194</t>
  </si>
  <si>
    <t>191</t>
  </si>
  <si>
    <t>189</t>
  </si>
  <si>
    <t>Đầu khò ga mini không kèm bình KT 17.5cm</t>
  </si>
  <si>
    <t>188</t>
  </si>
  <si>
    <t>186</t>
  </si>
  <si>
    <t>185</t>
  </si>
  <si>
    <t>182</t>
  </si>
  <si>
    <t>181</t>
  </si>
  <si>
    <t>180</t>
  </si>
  <si>
    <t>179</t>
  </si>
  <si>
    <t>178</t>
  </si>
  <si>
    <t>177</t>
  </si>
  <si>
    <t>175</t>
  </si>
  <si>
    <t>174</t>
  </si>
  <si>
    <t>173</t>
  </si>
  <si>
    <t>172</t>
  </si>
  <si>
    <t>171</t>
  </si>
  <si>
    <t>168</t>
  </si>
  <si>
    <t>167</t>
  </si>
  <si>
    <t>166</t>
  </si>
  <si>
    <t>165</t>
  </si>
  <si>
    <t>163</t>
  </si>
  <si>
    <t>158</t>
  </si>
  <si>
    <t>157</t>
  </si>
  <si>
    <t>98</t>
  </si>
  <si>
    <t>93</t>
  </si>
  <si>
    <t>92</t>
  </si>
  <si>
    <t>Tôn màu 0.4</t>
  </si>
  <si>
    <t>88</t>
  </si>
  <si>
    <t>86</t>
  </si>
  <si>
    <t>83</t>
  </si>
  <si>
    <t>82</t>
  </si>
  <si>
    <t>81</t>
  </si>
  <si>
    <t>80</t>
  </si>
  <si>
    <t>79</t>
  </si>
  <si>
    <t>Tăng đơ M102, chất liệu thép 10*135mm</t>
  </si>
  <si>
    <t>Bóng led trụ nhôm T60, model T60-140/G01</t>
  </si>
  <si>
    <t>Chân + chậu V50</t>
  </si>
  <si>
    <t>Vòi chậu VG302</t>
  </si>
  <si>
    <t>155</t>
  </si>
  <si>
    <t>154</t>
  </si>
  <si>
    <t>151</t>
  </si>
  <si>
    <t>150</t>
  </si>
  <si>
    <t>148</t>
  </si>
  <si>
    <t>147</t>
  </si>
  <si>
    <t>146</t>
  </si>
  <si>
    <t>145</t>
  </si>
  <si>
    <t>Dây điện 2x1.5</t>
  </si>
  <si>
    <t>Đầu nối ren ngoài phun uPVC đk 48-1.1/2"" PN10</t>
  </si>
  <si>
    <t>Kim bơm keo A10</t>
  </si>
  <si>
    <t>Ma tít gắn thép Ramest Epcon G5 PRO</t>
  </si>
  <si>
    <t>Dung dịch chống rỉ sét và bôi trơn đa năng GF7</t>
  </si>
  <si>
    <t>Máy mài cầm tay dùng điện công suất 860W</t>
  </si>
  <si>
    <t>Đầu nối ren ngoài phun uPVC đk 42-1.1/4"" PN10</t>
  </si>
  <si>
    <t>144</t>
  </si>
  <si>
    <t>Ván ép phủ phim 2 mặt Kt 2240x1200*18 mm</t>
  </si>
  <si>
    <t>Máy hàn hồ quang dùng điện KPTS 315A</t>
  </si>
  <si>
    <t>138</t>
  </si>
  <si>
    <t>136</t>
  </si>
  <si>
    <t>Máy hàn Hồng Ký</t>
  </si>
  <si>
    <t>132</t>
  </si>
  <si>
    <t>131</t>
  </si>
  <si>
    <t>130</t>
  </si>
  <si>
    <t>129</t>
  </si>
  <si>
    <t>128</t>
  </si>
  <si>
    <t>127</t>
  </si>
  <si>
    <t>125</t>
  </si>
  <si>
    <t>123</t>
  </si>
  <si>
    <t>121</t>
  </si>
  <si>
    <t>119</t>
  </si>
  <si>
    <t>118</t>
  </si>
  <si>
    <t>117</t>
  </si>
  <si>
    <t>116</t>
  </si>
  <si>
    <t>114</t>
  </si>
  <si>
    <t>112</t>
  </si>
  <si>
    <t>111</t>
  </si>
  <si>
    <t>Cáp nhôm vặn xoắn ABC 4x25</t>
  </si>
  <si>
    <t>Máy đục bê tông cầm tay 1000W</t>
  </si>
  <si>
    <t>Bệt V819 trắng (NN, PK đồng bộ, V687) + xịt VG</t>
  </si>
  <si>
    <t>110</t>
  </si>
  <si>
    <t>Que hàn sắt KimTín KT421 D2.5 20kg/thùng</t>
  </si>
  <si>
    <t>104</t>
  </si>
  <si>
    <t>Lưỡi xẻng không cán (0.6-0.7) kg</t>
  </si>
  <si>
    <t>101</t>
  </si>
  <si>
    <t>100</t>
  </si>
  <si>
    <t>20/12/2025</t>
  </si>
  <si>
    <t>30/12/2025</t>
  </si>
  <si>
    <t>DL-Y12210 Mũi khoan bê tông 2 cánh 12x200mm</t>
  </si>
  <si>
    <t>19729-2 - Chổi than CB-218/GA7060 (197129-2</t>
  </si>
  <si>
    <t>Polyurethane nguyên sinh TCK - 669 (9kg/thùng)</t>
  </si>
  <si>
    <t>can</t>
  </si>
  <si>
    <t>Hóa chất PU trương nở MAXSEAL-UF, 9kg/thùng</t>
  </si>
  <si>
    <t>Ván ép phủ phim 2 mặt KT 1220x2440x15mm</t>
  </si>
  <si>
    <t>Máy khoan 6413 (6413)</t>
  </si>
  <si>
    <t>RCCB SL68N/2P32A-0.03A-SL680N/2032/030</t>
  </si>
  <si>
    <t>Nối góc 90 độ phun upvc DN 60 PN8</t>
  </si>
  <si>
    <t>EDH-Y22310 Mũi khoan bê tông xuyên tường</t>
  </si>
  <si>
    <t>Đèn led chiếu pha 200W, model CP01-200W/G03, ánh sáng trắng</t>
  </si>
  <si>
    <t>Dây xích chất liệu thép KT 5mm, dài 145 cm</t>
  </si>
  <si>
    <t>DDASS nắp bít ĐK 21</t>
  </si>
  <si>
    <t>Chất kết dính sikadur - 31CF Normal AB 1.2kg/set</t>
  </si>
  <si>
    <t>QT109-quạt treo T109</t>
  </si>
  <si>
    <t>Măng sông ĐK90</t>
  </si>
  <si>
    <t>JDMS1D01 - Bộ 10 đầu tuýp 1/2</t>
  </si>
  <si>
    <t>TB012HN (val 42 trắng)</t>
  </si>
  <si>
    <t>Đá mài Cn 100 MV1/M3 200.100.50</t>
  </si>
  <si>
    <t>Thép V50</t>
  </si>
  <si>
    <t>Gạch lát</t>
  </si>
  <si>
    <t>TB020HN (val 60 trắng)</t>
  </si>
  <si>
    <t>Đĩa chà nhám bằng vật liệu mài trên nền</t>
  </si>
  <si>
    <t>Tăng đơ M12, chất liệu thép 12*170mm</t>
  </si>
  <si>
    <t>DL251100 Mũi vít động lực đen PH2X100mm E</t>
  </si>
  <si>
    <t>Máy phun sơn cầm tay dùng điện công suất 850</t>
  </si>
  <si>
    <t>Nón BHLD N30</t>
  </si>
  <si>
    <t>Ván ép phủ phim 2 mặt KT 1220x2240x18mm</t>
  </si>
  <si>
    <t>Thép hộp mạ kẽm50x50x1.4</t>
  </si>
  <si>
    <t>Thép hộp mạ kẽm40x40x1.1</t>
  </si>
  <si>
    <t>Thép hộp mạ kẽm25x50x1.1</t>
  </si>
  <si>
    <t>Tough Shield Prime 5L</t>
  </si>
  <si>
    <t>24/12/2025</t>
  </si>
  <si>
    <t>22/12/2025</t>
  </si>
  <si>
    <t>Ống phi 75.6*2.5 ly</t>
  </si>
  <si>
    <t>Hộp 25x50x2.1</t>
  </si>
  <si>
    <t>Lưới xanh che mát</t>
  </si>
  <si>
    <t>Dây kéo lưới phi 12</t>
  </si>
  <si>
    <t>Thép hộp 40x80x1.8 ly</t>
  </si>
  <si>
    <t>Vật tư phụ + công khoán trọn gói</t>
  </si>
  <si>
    <t>Đục gạch, dọn VS, đầm nền</t>
  </si>
  <si>
    <t>công</t>
  </si>
  <si>
    <t>Gạch nền</t>
  </si>
  <si>
    <t>Vật tư phụ + nhân công lát gạch</t>
  </si>
  <si>
    <t>Máy đầm</t>
  </si>
  <si>
    <t>ca</t>
  </si>
  <si>
    <t>Xi măng</t>
  </si>
  <si>
    <t>tấn</t>
  </si>
  <si>
    <t>Gạch ốp nhà vệ sinh</t>
  </si>
  <si>
    <t>Nhân công ốp gạch nhà bảo vệ</t>
  </si>
  <si>
    <t>Ván ép phủ phim 2 mặt kích thước 1220x2440x18mm</t>
  </si>
  <si>
    <t>Sơn Essence trần 5L</t>
  </si>
  <si>
    <t>Essence dễ lau chùi A 16.2</t>
  </si>
  <si>
    <t>08/12/2025</t>
  </si>
  <si>
    <t>Chất trám khe Sikaflex-134 bond &amp; Seal</t>
  </si>
  <si>
    <t>Băng tan 9018</t>
  </si>
  <si>
    <t>29/11/2025</t>
  </si>
  <si>
    <t>Dây hơi khí nén phi 10mm dài 100m hiệu Gofurther</t>
  </si>
  <si>
    <t>cái1</t>
  </si>
  <si>
    <t>Máy đục phá bê tông Kynko mã Z1G-KD24-80</t>
  </si>
  <si>
    <t>Dây Cu/PVC/PVC/VCTF 2x2.5</t>
  </si>
  <si>
    <t>Đá cắt kim lọai COROLLA 355*2.5*25.4mm (xanh)</t>
  </si>
  <si>
    <t>Phụ gia bê ông chống thấm Sika Latex TH 5L</t>
  </si>
  <si>
    <t>Thước rút 20m, dây nhựïa, vỏ nhựa, Gofurther</t>
  </si>
  <si>
    <t>Máy rửa cao áp Toshiro</t>
  </si>
  <si>
    <t>Mũi đục bê tông phi 14*210mm, hiệu HD</t>
  </si>
  <si>
    <t>Ván ép phủ phim 2 mặt kích thước 1220*2440*15mm</t>
  </si>
  <si>
    <t>19729-2 - Chổi than CB-218/GA7060 (197129-2)</t>
  </si>
  <si>
    <t>BA1113TV-Bộ ngắt mạch an toàn HB 30A</t>
  </si>
  <si>
    <t>Dây an tòan toàn thân 2 móc</t>
  </si>
  <si>
    <t>Tăng đơ M6 chất lệu thép 6*100mm</t>
  </si>
  <si>
    <t>Máy mài góc cầm tay dùng điện 850W</t>
  </si>
  <si>
    <t>EDL-JM100-E4 Máy mài 220V-240V</t>
  </si>
  <si>
    <t>Dây điện Cu/pvc/pvc3x2.5</t>
  </si>
  <si>
    <t>DH-HBZ25280-E1 Mũi đục dẹp chuôi lục giác</t>
  </si>
  <si>
    <t>Đĩa chà nhám bằng vật liệu mài trên nền vải dệt, kích thước 4 inch , không hiệu</t>
  </si>
  <si>
    <t>Máy trộn bê tông + mô tơ điện 6 (023.019.04)</t>
  </si>
  <si>
    <t>Máy phát điện 9700T</t>
  </si>
  <si>
    <t>Động cơ nổ 4.0Hp cc Robin EH12 (DCNEH12</t>
  </si>
  <si>
    <t>Máy khoan động lực 2470x5 HR2470</t>
  </si>
  <si>
    <t>Chất kết dính đi từ Silicon A300</t>
  </si>
  <si>
    <t>Tôn xốp 0.45</t>
  </si>
  <si>
    <t>Thép hộp mạ kẽm 30*60*1.4</t>
  </si>
  <si>
    <t>Ráp xếp đánh gỉ làm từ vật liệu mài 100mm</t>
  </si>
  <si>
    <t>Ván ép phủ phim 2 mặt kích thước 1220*2440*12mm</t>
  </si>
  <si>
    <t>Thép hộp  mạ kẽm 50x50x1.4</t>
  </si>
  <si>
    <t>Thép hộp  mạ kẽm 50x100x1.4</t>
  </si>
  <si>
    <t>25/11/2025</t>
  </si>
  <si>
    <t>22/11/2025</t>
  </si>
  <si>
    <t>Chất kết dính đi từ Silicol A500</t>
  </si>
  <si>
    <t>03/11/2025</t>
  </si>
  <si>
    <t>Thép V75*5ly mạ kẽm nhúng nóng</t>
  </si>
  <si>
    <t>Máy mài cầm tay dùng điện công suất 950W</t>
  </si>
  <si>
    <t>DL-DC28-E1 Máy khoan bê tông phi 28 1050W E</t>
  </si>
  <si>
    <t>Mũi đục bê tông phi 17*250mm, hiệu Gofurth</t>
  </si>
  <si>
    <t>Ba chạc 90 độ fun uPVC đk 75 PN8</t>
  </si>
  <si>
    <t>Bóng led Downlight đổi màu AT10 90/8W (G)</t>
  </si>
  <si>
    <t>Bóng led chiếu pha 50W, model CP01-50W/G03, ánh sáng trắng</t>
  </si>
  <si>
    <t>MDP1132-ốc công nghiệp CĐ 3x16A IP</t>
  </si>
  <si>
    <t>EDL-JM100-E2 Máy mài 100mm công tắc đuôi</t>
  </si>
  <si>
    <t>Nút tai chống ồn ARUSHA (có dây)</t>
  </si>
  <si>
    <t>Ống phi 42*1.4</t>
  </si>
  <si>
    <t>Ván ép phủ phim2 mặt KT 1220*2440*12mm</t>
  </si>
  <si>
    <t>29/10/2025</t>
  </si>
  <si>
    <t>Máy khoan 13 mmdp4020 (DP4020)</t>
  </si>
  <si>
    <t>lạng</t>
  </si>
  <si>
    <t>28/10/2025</t>
  </si>
  <si>
    <t>Thép hộp mạ kẽm 40*80*1.4</t>
  </si>
  <si>
    <t>27/10/2025</t>
  </si>
  <si>
    <t>Mũi khoan bê tông phi 14*210mm, hiệu Gofurther</t>
  </si>
  <si>
    <t>22/10/2025</t>
  </si>
  <si>
    <t>21/10/2025</t>
  </si>
  <si>
    <t>07/10/2025</t>
  </si>
  <si>
    <t>Thép hộp mạ kẽm 16x16x1.4</t>
  </si>
  <si>
    <t>Thép hộp mạ kẽm 14x14x1.4</t>
  </si>
  <si>
    <t>Tôn sóng Eco xanh</t>
  </si>
  <si>
    <t>03/10/2025</t>
  </si>
  <si>
    <t>Đá cắt dạng hình tròn kích thước, 107*1.2mm</t>
  </si>
  <si>
    <t>Mũi đục bê tông phi 14*210mm, hiệu Gofurtyher</t>
  </si>
  <si>
    <t>Tôn phẳng 0.4</t>
  </si>
  <si>
    <t>Dây điện SIK 2Cx4.0 HVCTFK</t>
  </si>
  <si>
    <t>Tyren D16 thô</t>
  </si>
  <si>
    <t>Súng bắn silicon có trợ lực 225mm AK 6784</t>
  </si>
  <si>
    <t>Dây hàn mag Gemini 70S6 D1.0 15kg/cuộn RL25</t>
  </si>
  <si>
    <t>A-130JAK-Máy bơm tự động 125w</t>
  </si>
  <si>
    <t>Bao bì xanh</t>
  </si>
  <si>
    <t>Lưỡi cắt Ø180</t>
  </si>
  <si>
    <t>Ba chạc 90 độ fun uPVC đk 90 PN6</t>
  </si>
  <si>
    <t>Lưỡi cắt gỗ Ø180</t>
  </si>
  <si>
    <t>Máy mài cầm tay dùng điện công suấtt 950W</t>
  </si>
  <si>
    <t>Bao tải Jumbo 90x90x120</t>
  </si>
  <si>
    <t>Nối thẳng phun PPR DN 25 PN20</t>
  </si>
  <si>
    <t>Máy mài góc cầm tay dùng điện 800W</t>
  </si>
  <si>
    <t>Áo mưa công nhân</t>
  </si>
  <si>
    <t>Áo mưa kỹ sư</t>
  </si>
  <si>
    <t>Kìm hàn</t>
  </si>
  <si>
    <t>Đá cắt dạng hình tròn, kích thước 107*1.2m</t>
  </si>
  <si>
    <t>Ủng BHLD 819</t>
  </si>
  <si>
    <t>Đèn led chiếu pha 200W, model CP01-200W/G03</t>
  </si>
  <si>
    <t>Bao tải Jumbo 1tấn</t>
  </si>
  <si>
    <t>Khung cắt KC 20 (KC20)</t>
  </si>
  <si>
    <t>Động cơ diese 1 Lifan (C186 FD)</t>
  </si>
  <si>
    <t>Gang tay cao su L</t>
  </si>
  <si>
    <t>GARDEX BÓNG MỜ BASE B 2.25L</t>
  </si>
  <si>
    <t>GARDEX BÓNG MỜ BASE C 2.25L</t>
  </si>
  <si>
    <t>Lưỡi cưa (P67991)</t>
  </si>
  <si>
    <t>Máy thổi bụi GBL 650</t>
  </si>
  <si>
    <t>Máy mài góc cầm tay Kynko KD69</t>
  </si>
  <si>
    <t>Măng sông ĐK21</t>
  </si>
  <si>
    <t>Nối góc 45 độ phun uPVC DN 27 PN10</t>
  </si>
  <si>
    <t>Ba chạc 45 độ phun uPVC DN110 (T-10)</t>
  </si>
  <si>
    <t>Nối thẳng phun uPVC đk 42PN10</t>
  </si>
  <si>
    <t>Thiết bị quang học dùng laser trong xây dựng</t>
  </si>
  <si>
    <t>Tủ điện ngoài trời</t>
  </si>
  <si>
    <t>Phào cố trần</t>
  </si>
  <si>
    <t>Công tắc 1 chiều 10A</t>
  </si>
  <si>
    <t>Át tô mát chống rò điện và quá tải LB63N1PN20A 6KVA</t>
  </si>
  <si>
    <t>Máy bơm chất chống thấm TCK -510</t>
  </si>
  <si>
    <t>Cọ lăn chỉ Việt Mỹ Nano 9in (lông sợi)</t>
  </si>
  <si>
    <t>Ống uPVC DN60PN8 C2</t>
  </si>
  <si>
    <t>Keo dán</t>
  </si>
  <si>
    <t>Keo dán ống PVC</t>
  </si>
  <si>
    <t>Mũi khoan Inox Ø6</t>
  </si>
  <si>
    <t>Mũi khoan Inox Ø8</t>
  </si>
  <si>
    <t>Thép hộp mạ kẽm 40x80x1.4 Nhật Quang</t>
  </si>
  <si>
    <t>Tôn sóng 0.35 xanh dương</t>
  </si>
  <si>
    <t>Tôn màu 0.4 xanh dương</t>
  </si>
  <si>
    <t>Vít tole</t>
  </si>
  <si>
    <t>Găng tay len đỏ</t>
  </si>
  <si>
    <t>Bao tải jumbo 1 tấn</t>
  </si>
  <si>
    <t>Phụ  gia bê tông chống thấm Sika Latex TH 5L</t>
  </si>
  <si>
    <t>Can</t>
  </si>
  <si>
    <t>Ván phủ phim 2 mặt kích thước 1220*2440*18mm</t>
  </si>
  <si>
    <t>Ván phủ phim 2 mặt kích thước 1220*2440*15mm</t>
  </si>
  <si>
    <t>Mũ bảo hộ lao động vàng</t>
  </si>
  <si>
    <t>Ván ép phủ phim 2 mặt kích thước (2440x1220x15)mm</t>
  </si>
  <si>
    <t>Cước vận chuyển từ Bắc Giang đến  Nhà Máy Na Dương Lạng Sơn (BKS: 98C-169.20)</t>
  </si>
  <si>
    <t>10/09/2025</t>
  </si>
  <si>
    <t>Tôn sóng xanh 0.35x1.08</t>
  </si>
  <si>
    <t>Gang tay cao su</t>
  </si>
  <si>
    <t>TB020HN (val 42 trắng</t>
  </si>
  <si>
    <t>TB004HN (val 21 trắng</t>
  </si>
  <si>
    <t>Găng tay cao su</t>
  </si>
  <si>
    <t>Thước rút 7.5m</t>
  </si>
  <si>
    <t>Gang tay len đỏ</t>
  </si>
  <si>
    <t>Ổ cắm đôi 2 chấu</t>
  </si>
  <si>
    <t>Nối góc 90 độ phun uPVC DN27 10</t>
  </si>
  <si>
    <t>Đầu nối cb 21</t>
  </si>
  <si>
    <t>Ống PVC 110 C1</t>
  </si>
  <si>
    <t>Ba chạc  45 độ phun uPVC DN 10 TT-10</t>
  </si>
  <si>
    <t>Đầu bịt phun PPR  DN 25 PN20</t>
  </si>
  <si>
    <t>Chậu rửa mặt</t>
  </si>
  <si>
    <t>Ống PVCĐK 60</t>
  </si>
  <si>
    <t>Ống PVC ĐK 27</t>
  </si>
  <si>
    <t>Ống PVC ĐK 42</t>
  </si>
  <si>
    <t>Nối thẳng phun PPR DN20</t>
  </si>
  <si>
    <t>Ống uPVC ĐK60</t>
  </si>
  <si>
    <t>Đầu nối cb fun ĐK 110-90</t>
  </si>
  <si>
    <t>Nối góc 45 độ</t>
  </si>
  <si>
    <t>Ba chạc 45 độ</t>
  </si>
  <si>
    <t>Đầu nối ren trong DN27</t>
  </si>
  <si>
    <t>Đầu bịt ngoài phun DN 27</t>
  </si>
  <si>
    <t>Đầu nối ren trong DN42</t>
  </si>
  <si>
    <t>Đầu bịt ngoài phun DN42</t>
  </si>
  <si>
    <t>Bộ đèn led M36 1200/6500K</t>
  </si>
  <si>
    <t>Bóng led tích điện  TD125</t>
  </si>
  <si>
    <t>Đầu nối ren trong</t>
  </si>
  <si>
    <t>Đầu nối ren ngoài</t>
  </si>
  <si>
    <t>Át to mát 32A</t>
  </si>
  <si>
    <t>Máy bơm nước 750W</t>
  </si>
  <si>
    <t>Ống uPVC DN27</t>
  </si>
  <si>
    <t>Lưỡi xẻng chất liệu thép</t>
  </si>
  <si>
    <t>Ống PVC ĐK27 C2</t>
  </si>
  <si>
    <t>Đầu nối cb 27</t>
  </si>
  <si>
    <t>Nối thẳng phun PPR DN25</t>
  </si>
  <si>
    <t>Đầu nối ren ngoài DN48</t>
  </si>
  <si>
    <t>Lưới đen khổ 4m 50md</t>
  </si>
  <si>
    <t>Dây thít nhựa dùng để buộc</t>
  </si>
  <si>
    <t>Đồng hồ điện 3p</t>
  </si>
  <si>
    <t>Thước rút 5m</t>
  </si>
  <si>
    <t>Đèn led ánh sáng vàng 200W</t>
  </si>
  <si>
    <t>Đá cắt xanh 355.3.25,4 xanh</t>
  </si>
  <si>
    <t>Tủ điện 60x40x18</t>
  </si>
  <si>
    <t>Ván ép phủ phim KT 1220*2440*12mm</t>
  </si>
  <si>
    <t>Máy bắn tia lare</t>
  </si>
  <si>
    <t>Máy đầm rùi</t>
  </si>
  <si>
    <t>Máy xịt rửa</t>
  </si>
  <si>
    <t>Máy cắt</t>
  </si>
  <si>
    <t>Đế âm đôi</t>
  </si>
  <si>
    <t>Ống nhựa PVC ĐK48</t>
  </si>
  <si>
    <t>Ống nhựa PVC ĐK60</t>
  </si>
  <si>
    <t>Đèn pin G8</t>
  </si>
  <si>
    <t>Măng sông</t>
  </si>
  <si>
    <t>Ni lon</t>
  </si>
  <si>
    <t>Keo dán uPVC</t>
  </si>
  <si>
    <t>Đinh đen 5p</t>
  </si>
  <si>
    <t>Thép hộp mạ kẽm 50*50*1,4 (6m)</t>
  </si>
  <si>
    <t>Máy đục bê tông</t>
  </si>
  <si>
    <t>Máy bắn vít</t>
  </si>
  <si>
    <t>Ty ren thô D16</t>
  </si>
  <si>
    <t>Mũi khoan bê tông D12</t>
  </si>
  <si>
    <t>Thép hộp mạ kẽm 50*100*1,8</t>
  </si>
  <si>
    <t>Dây điện SIK 2C x 1.5 HVCTFK</t>
  </si>
  <si>
    <t>Thép hộp mạ kẽm 50x50x1.4 (4m)</t>
  </si>
  <si>
    <t>Cáp nhôm vặn soắn</t>
  </si>
  <si>
    <t>Dây điện SIK 2C x 0.75 HVCTFK</t>
  </si>
  <si>
    <t>Máy hàn 355A</t>
  </si>
  <si>
    <t>Mũi đục 40cm</t>
  </si>
  <si>
    <t>Dây hàn  mag Gemini 70S6 D0.8 15kg/cuộn</t>
  </si>
  <si>
    <t>Dây điện SIK 1C x 1.5 HKIV</t>
  </si>
  <si>
    <t>Đinh vít sàn gỗ</t>
  </si>
  <si>
    <t>Mũi khoan bê tông</t>
  </si>
  <si>
    <t>Chất kết dính sikadur -31CF Normal AB (1.2kg/set</t>
  </si>
  <si>
    <t>Gạch 30x60</t>
  </si>
  <si>
    <t>Sika 214.11</t>
  </si>
  <si>
    <t>Đá cắt  355.3.25,4 xanh</t>
  </si>
  <si>
    <t>Thép hộp mạ kẽm 20x20x1.4</t>
  </si>
  <si>
    <t>Ống phi 21</t>
  </si>
  <si>
    <t>Que hàn sắt Kim Tín KT421 D3.2</t>
  </si>
  <si>
    <t>U đúc 10</t>
  </si>
  <si>
    <t>Tôn xốp 0.35 Thăng Long xanh dương</t>
  </si>
  <si>
    <t>Tôn xốp 0.4 Thăng Long xanh dương</t>
  </si>
  <si>
    <t>Que hàn chịu lực 3.2</t>
  </si>
  <si>
    <t>U đúc 100</t>
  </si>
  <si>
    <t>Que hàn chịu lực</t>
  </si>
  <si>
    <t>Đá mài  Cn 36 tb1 V1 250.25.32</t>
  </si>
  <si>
    <t>Đá cắt dạng hình tròn, kích thước 07*1.2mm</t>
  </si>
  <si>
    <t>Đá cắt dạng hình tròn, kích thước 100*6mm</t>
  </si>
  <si>
    <t>12/08/2025</t>
  </si>
  <si>
    <t>Xe ô tô tải (đã qua sử dụng): Biển số: 36C-205.59; Nhãn hiệu: FOTON; Loại xe: Tải có mui; Số loại: THACOOLLIN500BCSMB11; Số máy: YZ4102ZLQ*BB10014456*; Số khung: RNHA850BCH040373; Năm sản xuất: 2017; Nước sản xuất: Việt Nam; Màu sơn: trắng.</t>
  </si>
  <si>
    <t>10/08/2025</t>
  </si>
  <si>
    <t>Tôn sóng 0.3</t>
  </si>
  <si>
    <t>Thép I120AK</t>
  </si>
  <si>
    <t>Mũi đục</t>
  </si>
  <si>
    <t>Máy hàn hồ quang dùng điện KPTS 350A</t>
  </si>
  <si>
    <t>Led bulb 15W</t>
  </si>
  <si>
    <t>Keo dán AB</t>
  </si>
  <si>
    <t>Keo dán ống nhựa</t>
  </si>
  <si>
    <t>Đầu nối ren ngoài phun uPVCđk 48-1.1/2"" PN10</t>
  </si>
  <si>
    <t>Keo AB</t>
  </si>
  <si>
    <t>Găng tay</t>
  </si>
  <si>
    <t>Bạt chống cháy</t>
  </si>
  <si>
    <t>Ống phi 76*1.4</t>
  </si>
  <si>
    <t>Tôn sóng 0.35  xanh</t>
  </si>
  <si>
    <t>Ty ren D12 thô</t>
  </si>
  <si>
    <t>Bát ren D12</t>
  </si>
  <si>
    <t>Băng cản nước Sika Waterbar V-20 ECO VN 20ml</t>
  </si>
  <si>
    <t>Phụ gia bê  tông chống thấm Sika Latex TH 5L</t>
  </si>
  <si>
    <t>28/07/2025</t>
  </si>
  <si>
    <t>Mũi khoan bê tông Ø8</t>
  </si>
  <si>
    <t>Mũi khoan bê tông Ø10</t>
  </si>
  <si>
    <t>Máy bơm keo TCK510</t>
  </si>
  <si>
    <t>Keo ram sét g5</t>
  </si>
  <si>
    <t>Máy bơm tõm 2.5HP</t>
  </si>
  <si>
    <t>Máy cắt 125 MAKITA</t>
  </si>
  <si>
    <t>Máy cắt gỗ</t>
  </si>
  <si>
    <t>Lưỡi cắt bê tông 125</t>
  </si>
  <si>
    <t>Lưỡi cắt gạch 100</t>
  </si>
  <si>
    <t>Lưỡi cắt gỗ</t>
  </si>
  <si>
    <t>Thép hộp mạ kẽm 25x50x1.1 Nhật Quang</t>
  </si>
  <si>
    <t>Ván ép phủ phim KT 12mm x 1220 x 2440</t>
  </si>
  <si>
    <t>Bao tay len đỏ</t>
  </si>
  <si>
    <t>Bao tải 25kg</t>
  </si>
  <si>
    <t>Ổ cắm 16A</t>
  </si>
  <si>
    <t>Ván ép phủ phim 2 mặt Kt 2240x1220*15 mm</t>
  </si>
  <si>
    <t>Bao bì 50kg</t>
  </si>
  <si>
    <t>Bạt đổ bê tông</t>
  </si>
  <si>
    <t>ống uPVC DN90 PN6 C2</t>
  </si>
  <si>
    <t>Ống uPVCđk 21 NTC</t>
  </si>
  <si>
    <t>Zắc co PPR DN25</t>
  </si>
  <si>
    <t>26/07/2025</t>
  </si>
  <si>
    <t>Mũi khoan bê tông phi 12</t>
  </si>
  <si>
    <t>Thép hộp mạ kẽm 50x100x1.4 Nhật Quang</t>
  </si>
  <si>
    <t>Ống mạ kẽm nhúng nóng</t>
  </si>
  <si>
    <t>Ống hộp mạ kẽm Nhật Quang</t>
  </si>
  <si>
    <t>Gạch ốp 30x60 A1</t>
  </si>
  <si>
    <t>Vữa chống thấm Sikatop 107 seal VN (AB) 25kg/set</t>
  </si>
  <si>
    <t>Bao tải 50kg</t>
  </si>
  <si>
    <t>Sika latex TH</t>
  </si>
  <si>
    <t>Thanh toán giá trị khối lượng đợt 3 theo Hợp đồng số: 29.03/HĐTNC/VT-AHH ký ngày 29/03/2025 về việc cung cấp nhân công thi công công trình: Nhà máy sản xuất vải Billion Union Việt Nam</t>
  </si>
  <si>
    <t>Máy mài Makita GA4034</t>
  </si>
  <si>
    <t>Máy mài Kintex</t>
  </si>
  <si>
    <t>Thanh toán giá trị khối lượng đợt 2 theo Hợp đồng số: 02.05/HĐTNC/VT-AHH ký ngày 02/05/2025 về việc cung cấp nhân công thi công công trình: Bảo trì nhà máy Lọc Hóa Dầu Nghi Sơn</t>
  </si>
  <si>
    <t>15/07/2025</t>
  </si>
  <si>
    <t>14/07/2025</t>
  </si>
  <si>
    <t>Cước vận chuyển ván từ Bắc Giang đến Lạng Sơn (BKS: 98C-16920)</t>
  </si>
  <si>
    <t>Cước vận chuyển thép hộp từ Hà Nội đi Lạng Sơn</t>
  </si>
  <si>
    <t>Dây điện 3*2.5 Cadisun, cáp mềm</t>
  </si>
  <si>
    <t>Dây hàn mag Gemini 70S6D0.8 15kg/cuộn</t>
  </si>
  <si>
    <t>Mũi đục bê tông D17 dài 20cm</t>
  </si>
  <si>
    <t>Mũi đục bê tông D17 dài 60cm</t>
  </si>
  <si>
    <t>Mũi khoan bê tông D12 dài 20cm</t>
  </si>
  <si>
    <t>Máy cắt LW 1401</t>
  </si>
  <si>
    <t>Hộp 14x14</t>
  </si>
  <si>
    <t>Đinh vít sàn gỗ thưa 7#X15mm</t>
  </si>
  <si>
    <t>Dây điện 2x2.5 vàng</t>
  </si>
  <si>
    <t>Dây điện 2x1.5 vàng</t>
  </si>
  <si>
    <t>Sơn xịt A300</t>
  </si>
  <si>
    <t>Lưới B40</t>
  </si>
  <si>
    <t>Dây điện 1x16 CU/PVC cadisun</t>
  </si>
  <si>
    <t>Dây điện 1x25 CU/PVC cadisun</t>
  </si>
  <si>
    <t>Dây điện 3x4 Cadisun</t>
  </si>
  <si>
    <t>Máy khoan  cầm tay Kynko KD28</t>
  </si>
  <si>
    <t>bình</t>
  </si>
  <si>
    <t>Tủ điện 30*20</t>
  </si>
  <si>
    <t>Bạt xanh cam 4*50</t>
  </si>
  <si>
    <t>Bao tay len</t>
  </si>
  <si>
    <t>Ống PVC ĐK 48 C2</t>
  </si>
  <si>
    <t>Đá cắt dạng hình tròn kích thước 107*1.2mm</t>
  </si>
  <si>
    <t>Ba chạc 90 độ fun uPVCđk 90 PN6</t>
  </si>
  <si>
    <t>GP-200JXK-SV5- máy bơm không tự động</t>
  </si>
  <si>
    <t>Máy hàn hồ quang dùng điện KPTS 355A</t>
  </si>
  <si>
    <t>Áp to mát chống rò điện và quá tải LB63N1PN32A</t>
  </si>
  <si>
    <t>2 ổ cắm 2 chấu 16A với 1 lỗ S186 -S186U2X</t>
  </si>
  <si>
    <t>Ống luồn dây điện 15m</t>
  </si>
  <si>
    <t>Led bulb TR120N1/40W E27 6500K SS</t>
  </si>
  <si>
    <t>Đầu  nối cb ĐK 90-75</t>
  </si>
  <si>
    <t>Ruột gà</t>
  </si>
  <si>
    <t>Gạch 50x50 A1</t>
  </si>
  <si>
    <t>Led bulb 20W</t>
  </si>
  <si>
    <t>QD1800 quạt đứng D1800</t>
  </si>
  <si>
    <t>Át LS LB63N1 PN20A 6KVA</t>
  </si>
  <si>
    <t>Tổ máy phát điện dùng động cơ Diesel KDE10ST</t>
  </si>
  <si>
    <t>Máy phát điện dầu 6 KYMASU YM9700YT</t>
  </si>
  <si>
    <t>Máy khoan điện cầm tay Kynko KD09</t>
  </si>
  <si>
    <t>Mũi khoan bê tông Ø14</t>
  </si>
  <si>
    <t>Mũi khoan bê tông  Ø14 dài</t>
  </si>
  <si>
    <t>Đinh bê tông 4 phân xanh AAA</t>
  </si>
  <si>
    <t>Dây điện 3.25  cadisun</t>
  </si>
  <si>
    <t>Thép hộp mạ kẽm 50x50x.1.4 (6m)</t>
  </si>
  <si>
    <t>Mũi khoan xuyên tường D16</t>
  </si>
  <si>
    <t>Mũi khoan  Ø16</t>
  </si>
  <si>
    <t>Thép kẽm 3ly</t>
  </si>
  <si>
    <t>Dây điện 2.25  cadisun</t>
  </si>
  <si>
    <t>Bạt  PP</t>
  </si>
  <si>
    <t>Bao bì 25kg</t>
  </si>
  <si>
    <t>Bạt xanh cam 4*50m</t>
  </si>
  <si>
    <t>Áo mưa</t>
  </si>
  <si>
    <t>Ni lông đổ bê tông</t>
  </si>
  <si>
    <t>Sơn xịt 400 mlTVA10</t>
  </si>
  <si>
    <t>Sơn xịt 400 mlTVA210</t>
  </si>
  <si>
    <t>23/06/2025</t>
  </si>
  <si>
    <t>Sika Latex 25 lít</t>
  </si>
  <si>
    <t>Thanh toán giá trị khối lượng đợt 1 theo Hợp đồng số: 02.05/HĐTNC/VT-AHH ký ngày 02/05/2025 về việc cung cấp nhân công thi công công trình: Bảo trì nhà máy Lọc Hóa Dầu Nghi Sơn</t>
  </si>
  <si>
    <t>Thanh toán giá trị khối lượng đợt 2 theo Hợp đồng số: 29.03/HĐTNC/VT-AHH ký ngày 29/03/2025 về việc cung cấp nhân công thi công công trình: Nhà máy sản xuất vải Billion Union Việt Nam</t>
  </si>
  <si>
    <t>09/06/2025</t>
  </si>
  <si>
    <t>Thép V50*5 mạ nhúng nóng 84 cây *6m</t>
  </si>
  <si>
    <t>Thép V50*4 mạ nhúng nóng 39 cây *6m</t>
  </si>
  <si>
    <t>Bát ren D16 mạ vàng</t>
  </si>
  <si>
    <t>Cước vận chuyển đi Na Dương, Lạng Sơn</t>
  </si>
  <si>
    <t>04/06/2025</t>
  </si>
  <si>
    <t>03/06/2025</t>
  </si>
  <si>
    <t>02/06/2025</t>
  </si>
  <si>
    <t>U tôn trắng</t>
  </si>
  <si>
    <t>Tôn xốp 0.35 xanh dương</t>
  </si>
  <si>
    <t>Biên tôn 400 0.35 xanh dương</t>
  </si>
  <si>
    <t>Nóc 600 0.35 xanh dương</t>
  </si>
  <si>
    <t>Tôn xốp (Panel)</t>
  </si>
  <si>
    <t>Nóc tôn 600 0.4 xanh dương</t>
  </si>
  <si>
    <t>Bao bì</t>
  </si>
  <si>
    <t>Dây điện CU 2*2.5</t>
  </si>
  <si>
    <t>Dây điện 3x1.5 cadisun</t>
  </si>
  <si>
    <t>Tyren thô D16</t>
  </si>
  <si>
    <t>Thép hộp mạ kẽm 50x50x1.4x4m</t>
  </si>
  <si>
    <t>Thép hộp mạ kẽm 50x50x1.4x6m</t>
  </si>
  <si>
    <t>Que hàn sắt Kim Tín KT421 D4.0</t>
  </si>
  <si>
    <t>Tủ điện 40x60x18</t>
  </si>
  <si>
    <t>Essence dễ lau chùi A 4.5L</t>
  </si>
  <si>
    <t>Ổ cắm 2 chấu 16A với 1 lỗ S186 -S186U2X</t>
  </si>
  <si>
    <t>Nối góc 45 độ đk 75 PN8</t>
  </si>
  <si>
    <t>Ruột gà Ø 21</t>
  </si>
  <si>
    <t>Ba chạc 45 độ phun uPVC DN90 (T-10)</t>
  </si>
  <si>
    <t>Đèn led chiếu pha 200W model CP01-200W/G03</t>
  </si>
  <si>
    <t>Đầu nối ren ngoài phun uPVC đk 48-1.1/2" PN10</t>
  </si>
  <si>
    <t>Át 2/32A si no đỏ chống giật</t>
  </si>
  <si>
    <t>Thanh toán giá trị khối lượng đợt 1 theo Hợp đồng số: 29.03/HĐTNC/VT-AHH ký ngày 29/03/2025 về việc cung cấp nhân công thi công công trình: Nhà máy sản xuất vải Billion Union Việt Nam</t>
  </si>
  <si>
    <t>17/05/2025</t>
  </si>
  <si>
    <t>Tôn sóng</t>
  </si>
  <si>
    <t>Thép hộp mạ kẽm 36x60x1.1</t>
  </si>
  <si>
    <t>15/05/2025</t>
  </si>
  <si>
    <t>12/05/2025</t>
  </si>
  <si>
    <t>Ván ép phủ phim 2 mặt Kt 2240x1220*15 mm (loại A1)</t>
  </si>
  <si>
    <t>Cước vận chuyển</t>
  </si>
  <si>
    <t>Tôn xốp (Palel)</t>
  </si>
  <si>
    <t>08/05/2025</t>
  </si>
  <si>
    <t>Thép hộp mạ kẽm Hòa Phát</t>
  </si>
  <si>
    <t>Dây điện 3x1.5</t>
  </si>
  <si>
    <t>Dây điện 3x2.5</t>
  </si>
  <si>
    <t>Dây điện 2x1.0</t>
  </si>
  <si>
    <t>Dây 2x6 Cadisun</t>
  </si>
  <si>
    <t>Que hàn 3.2</t>
  </si>
  <si>
    <t>Thép 3 ly</t>
  </si>
  <si>
    <t>Thép 1 ly</t>
  </si>
  <si>
    <t>Mũi khoan đa năng lục giác</t>
  </si>
  <si>
    <t>Máy cắt cầm tay 230</t>
  </si>
  <si>
    <t>Mũi đục bê tông phi 17</t>
  </si>
  <si>
    <t>Mũi đục bê tông phi 30</t>
  </si>
  <si>
    <t>Dao rọc giấy</t>
  </si>
  <si>
    <t>Lưỡi dao</t>
  </si>
  <si>
    <t>Sơn xịt xanh</t>
  </si>
  <si>
    <t>Mũi đục nhọn phi 17</t>
  </si>
  <si>
    <t>Nắp giật  máy đầm là</t>
  </si>
  <si>
    <t>Đầu xịt</t>
  </si>
  <si>
    <t>Cáp 3x1.5 CU/PVC Cadisun</t>
  </si>
  <si>
    <t>Cáp điện CU 3x1.5 Cadisun</t>
  </si>
  <si>
    <t>Cáp điện 3x2.5 Cadisun</t>
  </si>
  <si>
    <t>Băng keo điện</t>
  </si>
  <si>
    <t>Đầu cốt đồng 8 lỗ</t>
  </si>
  <si>
    <t>ELCCB-1P-30A</t>
  </si>
  <si>
    <t>SB-30 (cầu dao an toàn 30A)</t>
  </si>
  <si>
    <t>A30/1 (công tắc 1 chiều 10A)</t>
  </si>
  <si>
    <t>Đèn led chiếu pha 200Wn, model CP01-200W/G03, ánh sáng trắng  (KT 350x280x89)</t>
  </si>
  <si>
    <t>Bóng đèn 50W</t>
  </si>
  <si>
    <t>Chui đèn</t>
  </si>
  <si>
    <t>Tủ điện treo tường</t>
  </si>
  <si>
    <t>CB-1P-40A</t>
  </si>
  <si>
    <t>Van chặn PPR</t>
  </si>
  <si>
    <t>Nối góc 45 độ ĐK 75 PN8</t>
  </si>
  <si>
    <t>Ống uPVC DN90</t>
  </si>
  <si>
    <t>Ống nhựa D27</t>
  </si>
  <si>
    <t>Đèn led 50W</t>
  </si>
  <si>
    <t>Quạt trần điện cơ 91</t>
  </si>
  <si>
    <t>Ba chạc 90 độ DN32</t>
  </si>
  <si>
    <t>Ba chạc 90 độ ĐK75</t>
  </si>
  <si>
    <t>Ống PPR DN 20</t>
  </si>
  <si>
    <t>Đầu bịt ngoài phun ĐK 110 PN6</t>
  </si>
  <si>
    <t>Bạt</t>
  </si>
  <si>
    <t>Ống PPR PN10</t>
  </si>
  <si>
    <t>Van chặn PPR DN25</t>
  </si>
  <si>
    <t>Ống uPVC DN 27</t>
  </si>
  <si>
    <t>Nối ren</t>
  </si>
  <si>
    <t>Ống ĐK21</t>
  </si>
  <si>
    <t>Ống PVC48 C1</t>
  </si>
  <si>
    <t>Ống uPVC DN60</t>
  </si>
  <si>
    <t>Ba chạc 90 độ  PN 20</t>
  </si>
  <si>
    <t>Át 2/32 Sino chống giật</t>
  </si>
  <si>
    <t>Đế 3 pha</t>
  </si>
  <si>
    <t>Át khối 3P 100A LS</t>
  </si>
  <si>
    <t>Át khối 3P 40A</t>
  </si>
  <si>
    <t>Ống PVC ĐK90 C1</t>
  </si>
  <si>
    <t>Ống uPVC DN110 PN6</t>
  </si>
  <si>
    <t>Ba chạc ren trong</t>
  </si>
  <si>
    <t>Ống PPR DN 25</t>
  </si>
  <si>
    <t>Ống PVC DN110</t>
  </si>
  <si>
    <t>MCCB - 3P-4C-150A</t>
  </si>
  <si>
    <t>Ống uPVC đk 42</t>
  </si>
  <si>
    <t>Chui cắm đực 16A</t>
  </si>
  <si>
    <t>Chui cắm cái 16A</t>
  </si>
  <si>
    <t>Ba chạc 90 độ đk 110</t>
  </si>
  <si>
    <t>Đầu nối đk 90-75</t>
  </si>
  <si>
    <t>Đèn led 200W</t>
  </si>
  <si>
    <t>Bạt xanh</t>
  </si>
  <si>
    <t>Ống uPVC đk 48</t>
  </si>
  <si>
    <t>Ống uPVC đk 21</t>
  </si>
  <si>
    <t>Ống uPVC đk 90</t>
  </si>
  <si>
    <t>Đầu nối đk 110-90</t>
  </si>
  <si>
    <t>Ba chạc 90 độ fun đk 60</t>
  </si>
  <si>
    <t>Ống uPVC đk 34</t>
  </si>
  <si>
    <t>Bơm tay</t>
  </si>
  <si>
    <t>ELCB 2P/32A</t>
  </si>
  <si>
    <t>Bóng đèn 200W</t>
  </si>
  <si>
    <t>Đế âm 16A</t>
  </si>
  <si>
    <t>Ống PVC DK110 C1</t>
  </si>
  <si>
    <t>14/04/2025</t>
  </si>
  <si>
    <t>11/04/2025</t>
  </si>
  <si>
    <t>Thép hộp mại kẽm 30x60x1.4</t>
  </si>
  <si>
    <t>Thép hộp mại kẽm 40x80x1.4</t>
  </si>
  <si>
    <t>Thép hộp mại kẽm 50x100x1.4</t>
  </si>
  <si>
    <t>Thép hộp mại kẽm 30x30x1.4</t>
  </si>
  <si>
    <t>Áo kỹ sư ghile</t>
  </si>
  <si>
    <t>Áo công nhân</t>
  </si>
  <si>
    <t>Công in lo gô áo</t>
  </si>
  <si>
    <t>May đường phản quang áo</t>
  </si>
  <si>
    <t>Gạch 50x50</t>
  </si>
  <si>
    <t>Nion</t>
  </si>
  <si>
    <t>Sơn xịt</t>
  </si>
  <si>
    <t>Que hàn sắt Kim tín KT421 D2.5</t>
  </si>
  <si>
    <t>Mũi khoan lục giác</t>
  </si>
  <si>
    <t>Máy mài 100 makita</t>
  </si>
  <si>
    <t>Máy cắt 350 makita</t>
  </si>
  <si>
    <t>Keo  Apolo A500</t>
  </si>
  <si>
    <t>Tôn sóng 0.5</t>
  </si>
  <si>
    <t>MCCB - 3P - 100A</t>
  </si>
  <si>
    <t>ELCCB - 1P - 30A</t>
  </si>
  <si>
    <t>Đầu cốt F25</t>
  </si>
  <si>
    <t>Đèn báo pha, đỏ xanh vàng</t>
  </si>
  <si>
    <t>Băng keo điện màu đen</t>
  </si>
  <si>
    <t>Đế giá tủ 1P - 16A</t>
  </si>
  <si>
    <t>Thanh nhôm gài át loại 3m</t>
  </si>
  <si>
    <t>Kiềm cắt cáp</t>
  </si>
  <si>
    <t>Cầu chì báo pha</t>
  </si>
  <si>
    <t>Đầu khoét tôn F21</t>
  </si>
  <si>
    <t>Máy khoan PIN</t>
  </si>
  <si>
    <t>Tu vít</t>
  </si>
  <si>
    <t>Ổ cắm dân dụng + đế nổi</t>
  </si>
  <si>
    <t>Công tắc dân dụng + đế</t>
  </si>
  <si>
    <t>Dây điện 4x25</t>
  </si>
  <si>
    <t>Tủ điện 40x60</t>
  </si>
  <si>
    <t>Đinh vít</t>
  </si>
  <si>
    <t>Đinh vít  Hạt công tắc 1 chiều SINO</t>
  </si>
  <si>
    <t>hạt</t>
  </si>
  <si>
    <t>Kìm cắt cáp</t>
  </si>
  <si>
    <t>Bóng led 50W G8</t>
  </si>
  <si>
    <t>Át cài 4P 40ALS</t>
  </si>
  <si>
    <t>Át công Nghiệp MCCB 3P 100A LS</t>
  </si>
  <si>
    <t>Dây cáp tròn mềm VCTF 4x4.0 CADISUN</t>
  </si>
  <si>
    <t>Dây điện 2x0.75</t>
  </si>
  <si>
    <t>Ống gâm xoắn OSPEN 40/50</t>
  </si>
  <si>
    <t>Đầu cos đồng</t>
  </si>
  <si>
    <t>Cốt nối đồng</t>
  </si>
  <si>
    <t>Đèn báo pha</t>
  </si>
  <si>
    <t>Mặt 2 lỗ S18 Sino</t>
  </si>
  <si>
    <t>Mặt 2 ổ cắm S18 SINO</t>
  </si>
  <si>
    <t>Máng cáp thép 200x100x1.0+ phụ kiện</t>
  </si>
  <si>
    <t>Dây cáp điện 3x10+1x6 CADISUN</t>
  </si>
  <si>
    <t>Dây cáp điện 3x25+1x6 CADISUN</t>
  </si>
  <si>
    <t>Đồng hồ đo điện 3P</t>
  </si>
  <si>
    <t>Đế 16A</t>
  </si>
  <si>
    <t>Phích 16A</t>
  </si>
  <si>
    <t>Đế 32A 3 pha</t>
  </si>
  <si>
    <t>Cốt đồng</t>
  </si>
  <si>
    <t>Cáp 3x2.5</t>
  </si>
  <si>
    <t>24/03/2025</t>
  </si>
  <si>
    <t>07/03/2025</t>
  </si>
  <si>
    <t>Thép V5</t>
  </si>
  <si>
    <t>21/02/2025</t>
  </si>
  <si>
    <t>Bạt phủ</t>
  </si>
  <si>
    <t>Ống PPR</t>
  </si>
  <si>
    <t>Dao dọc giấy AK 8720</t>
  </si>
  <si>
    <t>Essence che phủ tối đa bóng A 13.5L</t>
  </si>
  <si>
    <t>24/01/2025</t>
  </si>
  <si>
    <t>Ký hiệu mẫu số hóa đơn-ký hiệu hóa đơn</t>
  </si>
  <si>
    <t>Tên người mua</t>
  </si>
  <si>
    <t>MST người mua</t>
  </si>
  <si>
    <t>Mã hàng trên sổ kho</t>
  </si>
  <si>
    <t>Đơn vị cung cấp giải pháp</t>
  </si>
  <si>
    <t>MST người bán</t>
  </si>
  <si>
    <t>Tên người bán</t>
  </si>
  <si>
    <t>Địa chỉ người bán</t>
  </si>
  <si>
    <t>quý</t>
  </si>
  <si>
    <t>thuế</t>
  </si>
  <si>
    <t>CÔNG TY TNHH ANH HUY HOÀNG</t>
  </si>
  <si>
    <t>2802203625</t>
  </si>
  <si>
    <t>2802529666</t>
  </si>
  <si>
    <t>CÔNG TY CỔ PHẦN Y30</t>
  </si>
  <si>
    <t>1C25MTH</t>
  </si>
  <si>
    <t>525498</t>
  </si>
  <si>
    <t>Công Ty TNHH Anh Huy Hoàng</t>
  </si>
  <si>
    <t>2700275814-003</t>
  </si>
  <si>
    <t>CHI NHÁNH CÔNG TY CP XĂNG DẦU DẦU KHÍ NINH BÌNH TẠI THANH HÓA</t>
  </si>
  <si>
    <t>PVOIL Ninh Bình- Cửa hàng số 19, Tổ dân phố Hữu Lại, Phường Hải Bình, Tỉnh Thanh Hoá, Việt Nam</t>
  </si>
  <si>
    <t>1C25MQT</t>
  </si>
  <si>
    <t>47805</t>
  </si>
  <si>
    <t>2800846807</t>
  </si>
  <si>
    <t>TỔNG CÔNG TY ĐẦU TƯ XÂY DỰNG VÀ THƯƠNG MẠI ANH PHÁT - CÔNG TY CỔ PHẦN</t>
  </si>
  <si>
    <t>Số 306 đường Bà Triệu, Phường Đông Thọ, Thành phố Thanh Hoá, Tỉnh Thanh Hoá, Việt Nam</t>
  </si>
  <si>
    <t>45948</t>
  </si>
  <si>
    <t>1C25MAA</t>
  </si>
  <si>
    <t>2801437571</t>
  </si>
  <si>
    <t>CÔNG TY TNHH KHÁNH HỒNG</t>
  </si>
  <si>
    <t>Số nhà 124 đường Lê Hữu Lập, Phường Lam Sơn, Thành phố Thanh Hoá, Thanh Hoá</t>
  </si>
  <si>
    <t>204617</t>
  </si>
  <si>
    <t>PVOIL Ninh Bình - Cửa hàng số 19, Tổ dân phố Hữu Lại, Phường Mai Lâm, Thị xã Nghi Sơn, Tỉnh Thanh Hoá, Việt Nam</t>
  </si>
  <si>
    <t>174182</t>
  </si>
  <si>
    <t>152138</t>
  </si>
  <si>
    <t>99987</t>
  </si>
  <si>
    <t>95217</t>
  </si>
  <si>
    <t>123219</t>
  </si>
  <si>
    <t>27251</t>
  </si>
  <si>
    <t>0102516308-007</t>
  </si>
  <si>
    <t>CHI NHÁNH CÔNG TY CỔ PHẦN MEDIAMART VIỆT NAM TẠI THANH HÓA</t>
  </si>
  <si>
    <t>Số 301 Trần Phú, Phường Ba Đình, Thành phố Thanh Hóa, Tỉnh Thanh Hóa, Việt Nam</t>
  </si>
  <si>
    <t>32508</t>
  </si>
  <si>
    <t>ống uPVC DN110 PN6 C2</t>
  </si>
  <si>
    <t>EDL0035 dao rọc giấy 25mm</t>
  </si>
  <si>
    <t>EDH-CQP110-E2 Lưỡi cắt đa năng 110mm đuôi cá</t>
  </si>
  <si>
    <t>JDDC4K06-Đĩa cắt siêu mỏng</t>
  </si>
  <si>
    <t>39292_Bút xóa nước_10ml_màu lẫn</t>
  </si>
  <si>
    <t>DH-YCZ11006-E1 Mũi khoan bê tông 4 cạnh 6*110</t>
  </si>
  <si>
    <t>309</t>
  </si>
  <si>
    <t>0312303803</t>
  </si>
  <si>
    <t>2803185922</t>
  </si>
  <si>
    <t>CÔNG TY TNHH ĐẦU TƯ &amp; TMDV CƯỜNG HÀ</t>
  </si>
  <si>
    <t>Tổ dân phố Trung Sơn, Phường Ngọc Sơn, Tỉnh Thanh Hóa, Việt Nam</t>
  </si>
  <si>
    <t>DH-YCZ35018-E1 Mũi khoan xuyên tường 4 cạnh</t>
  </si>
  <si>
    <t>DH-Y20310 mũi khoan bê tông xuyên tường</t>
  </si>
  <si>
    <t>DH-Y22310 Mũi khoan bê tông xuyên tường E</t>
  </si>
  <si>
    <t>DL-Y12210 Mũi khoan bê tông 2 cạnh 12x200mm</t>
  </si>
  <si>
    <t>EDL0341 Kìm phe thẳng vô 7</t>
  </si>
  <si>
    <t>DL0342 Kìm phe thẳng ra 7" E</t>
  </si>
  <si>
    <t>EDL0343 kìm phe cong vô 7</t>
  </si>
  <si>
    <t>DL0344 Kìm phe cong ra 7" E</t>
  </si>
  <si>
    <t>DL2108 Kìm mũi nhọn 8" E</t>
  </si>
  <si>
    <t>DH-Y18310 mũi khoan bê tông xuyên tường E</t>
  </si>
  <si>
    <t>EDH-Y12310 Mũi khoan bê tông xuyên tường</t>
  </si>
  <si>
    <t>0100684378</t>
  </si>
  <si>
    <t>2803171020</t>
  </si>
  <si>
    <t>CÔNG TY TNHH THƯƠNG MẠI VẬN TẢI XÂY DỰNG THÀNH HƯNG</t>
  </si>
  <si>
    <t>Nhà ông Nguyễn Văn Nhung, Phố Cát Lợi, Phường Nguyệt Viên, tỉnh Thanh Hoá, Việt Nam.</t>
  </si>
  <si>
    <t>EDH-Y16310 Mũi khoan bê tông xuyên tường</t>
  </si>
  <si>
    <t>0101243150</t>
  </si>
  <si>
    <t>2803017981</t>
  </si>
  <si>
    <t>CÔNG TY TNHH XÂY DỰNG THƯƠNG MẠI HUY VIỆT</t>
  </si>
  <si>
    <t>0105232093</t>
  </si>
  <si>
    <t>551</t>
  </si>
  <si>
    <t>2802305306</t>
  </si>
  <si>
    <t>CÔNG TY TNHH THƯƠNG MẠI VÀ DỊCH VỤ XÂY DỰNG HOÀNG DŨNG</t>
  </si>
  <si>
    <t>Số 233, Tống Duy Tân, Phường Hạc Thành, Tỉnh Thanh Hoá, Việt Nam</t>
  </si>
  <si>
    <t>2802213214</t>
  </si>
  <si>
    <t>CÔNG TY CỔ PHẦN HỒNG THỊNH GROUP</t>
  </si>
  <si>
    <t>Thôn Vực Trung, Xã Thọ Xuân,Tỉnh Thanh Hoá, Việt Nam</t>
  </si>
  <si>
    <t>2801844337</t>
  </si>
  <si>
    <t>CÔNG TY TNHH SẢN XUẤT VÀ THƯƠNG MẠI HÀ HOA</t>
  </si>
  <si>
    <t>Lô 45-46, Khu CN Đình Hương – Tây Bắc Ga, Phường Hàm Rồng, Tỉnh Thanh Hóa, Việt Nam.</t>
  </si>
  <si>
    <t>Jotashield bền màu toàn diện Base a 13.5L</t>
  </si>
  <si>
    <t>Jotun Waterguard 6Kg</t>
  </si>
  <si>
    <t>2537</t>
  </si>
  <si>
    <t>Essence dễ lau chùi A0.9L</t>
  </si>
  <si>
    <t>Gạch lát KT600x600</t>
  </si>
  <si>
    <t>gạch ốp 30x60</t>
  </si>
  <si>
    <t>Dây thép MK D3.0-4.7</t>
  </si>
  <si>
    <t>chất kết dính sikadur - 31CF Normal AB 1.2kg/set</t>
  </si>
  <si>
    <t>2801033346</t>
  </si>
  <si>
    <t>CÔNG TY TNHH SẢN XUẤT THƯƠNG MẠI LONG PHÚ</t>
  </si>
  <si>
    <t>Số nhà 137 Quang Trung, Phường Hạc Thành, Tỉnh Thanh Hoá</t>
  </si>
  <si>
    <t>Thép ống hộp</t>
  </si>
  <si>
    <t>Thép góc L50</t>
  </si>
  <si>
    <t>2800767954</t>
  </si>
  <si>
    <t>CÔNG TY TNHH THỊNH AN</t>
  </si>
  <si>
    <t>Lô 308 đường Dương Đình Nghệ, Phường Hạc Thành, Tỉnh Thanh Hoá, Việt Nam</t>
  </si>
  <si>
    <t>0105987432</t>
  </si>
  <si>
    <t>2700572207</t>
  </si>
  <si>
    <t>CÔNG TY TNHH SẢN XUẤT - THƯƠNG MẠI PHÚC ĐẠT</t>
  </si>
  <si>
    <t>Đường Vành Đai, phố An Hòa, Phường Nam Hoa Lư, Tỉnh Ninh Bình, Việt Nam</t>
  </si>
  <si>
    <t>0302853149</t>
  </si>
  <si>
    <t>CÔNG TY TNHH GA RAN</t>
  </si>
  <si>
    <t>159/15 Đào Duy Anh, Phường Đức Nhuận, Thành phố Hồ Chí Minh, Việt Nam</t>
  </si>
  <si>
    <t>0110736226</t>
  </si>
  <si>
    <t>CÔNG TY TNHH AN TIẾN HƯNG VN</t>
  </si>
  <si>
    <t>Số 6, Ngách 52, Ngõ 169 Đường Đại Mỗ, Phường Tây Mỗ, Thành phố Hà Nội, Việt Nam.</t>
  </si>
  <si>
    <t>0101360697</t>
  </si>
  <si>
    <t>0100109106</t>
  </si>
  <si>
    <t>0108705693-053</t>
  </si>
  <si>
    <t>CHI NHÁNH CÔNG TY CỔ PHẦN KIM KHÍ VÀ GIA DỤNG TÂN Á ĐẠI THÀNH TẠI THANH HÓA</t>
  </si>
  <si>
    <t>Quốc lộ 1A, Tổ dân phố Dục Tú, Xã Lưu Vệ, Tỉnh Thanh Hoá, Việt Nam</t>
  </si>
  <si>
    <t>Ván ép phủ phim 2 mặt Kt 2440x1220*15 mm</t>
  </si>
  <si>
    <t>0105275308</t>
  </si>
  <si>
    <t>CÔNG TY TNHH XUẤT NHẬP KHẨU VÀ CÔNG NGHỆ HƯNG PHÁT</t>
  </si>
  <si>
    <t>Số 347 Louis I - LK2, Khu Đô thị Mới Hoàng Văn Thụ, Phường Hoàng Mai, Thành Phố Hà Nội, Việt Nam</t>
  </si>
  <si>
    <t>Đèn led chiếu pha 200W, model CP01-200W/G03, án</t>
  </si>
  <si>
    <t>Bồn nhựa 3000D</t>
  </si>
  <si>
    <t>Máy khoan búa GBG 2-24 DRE</t>
  </si>
  <si>
    <t>JDDB1D45 -  máy phá dỡ</t>
  </si>
  <si>
    <t>EDL2206 Kìm cắt 6</t>
  </si>
  <si>
    <t>JDDC1K01 - Đĩa cắt gạch khô 110x20 mm</t>
  </si>
  <si>
    <t>DH-YBZ20250-E1 Mũi đục dẹp chuôi gài</t>
  </si>
  <si>
    <t>2803133988</t>
  </si>
  <si>
    <t>CÔNG TY TNHH MTV PC</t>
  </si>
  <si>
    <t>Số nhà 16 Tân Thảo, Phường Hạc Thành, Thanh Hóa, Việt Nam.</t>
  </si>
  <si>
    <t>EDL2507 Kéo cắt ống nước 42mm</t>
  </si>
  <si>
    <t>dl4805T Mũi chụp tôn đen 8*48mm E</t>
  </si>
  <si>
    <t>DH-SZP107-E4 Đá cắt xanh107*1.2mm E</t>
  </si>
  <si>
    <t>EDL350042 Kéo cắt ống nhựa 42mm</t>
  </si>
  <si>
    <t>EU211-BL_Bút dạ kính_2 đầu_màu xanh</t>
  </si>
  <si>
    <t>JDHR2610- Kìm rút rivet 10.5"</t>
  </si>
  <si>
    <t>EDL252202 Đầu bắn vít 65mm</t>
  </si>
  <si>
    <t>DL251100 Mũi vít động lực đen PH 2x100mm E</t>
  </si>
  <si>
    <t>Majestic đẹp hoàn hảo bóng base B4.5</t>
  </si>
  <si>
    <t>Sơn Futura Ckassic Base 2 A 4.05L</t>
  </si>
  <si>
    <t>Bánh đẩy xe đường kính cả lốp 2 inch</t>
  </si>
  <si>
    <t>Tăng đơ M24 chất liệu thép 24*420mm</t>
  </si>
  <si>
    <t>Tăng đơ M20chất liệu thép 20*330mm</t>
  </si>
  <si>
    <t>Tăng đơ M22 chất liệu thép 22*380mm</t>
  </si>
  <si>
    <t>Tăng đơ M16 chất liệu thép 16*250mm</t>
  </si>
  <si>
    <t>Dung dịch chống rỉ sét và bôi trơn đa năngGF7</t>
  </si>
  <si>
    <t>Tô vít chất liệu thép cán bọc nhựa, cao su</t>
  </si>
  <si>
    <t>Dây xích chất liệu thép KT 4mm, dài 145 cm</t>
  </si>
  <si>
    <t>Kéo cắt chất liêu sắt P1, tay bọc nhựa 23cm</t>
  </si>
  <si>
    <t>390 Quang Trung, Phường Hạc Thành, Tỉnh Thanh Hoá, Việt Nam</t>
  </si>
  <si>
    <t>Dây hơi khí nén phi 10mm dài 100m hiệu Gofurth</t>
  </si>
  <si>
    <t>Khóa dây chất liệu lõi sắt bọc nhưạ 20*80</t>
  </si>
  <si>
    <t>dây hơi khí nén phi 8mm dài 100m hiệu Gofurthe</t>
  </si>
  <si>
    <t>Đá mài kim loại, mài inox COROLLA 100*6mm (đỏ</t>
  </si>
  <si>
    <t>2802305056</t>
  </si>
  <si>
    <t>CÔNG TY CỔ PHẦN XD VÀ TM PHÚ QUANG</t>
  </si>
  <si>
    <t>Thước thủy 600, dài 60cm, chất liệu thép</t>
  </si>
  <si>
    <t>Thước rút 20m, dây nhựa, vỏ nhựa, Gofurther</t>
  </si>
  <si>
    <t>Lưỡi dao rọc giấy chất liệu thép, KT 17*94mm</t>
  </si>
  <si>
    <t>phụ gia cho vữa Crocodie Latex VN-5 lít</t>
  </si>
  <si>
    <t>Tủ điện mặt nhựa, đế sắt chưa 14-18 Module</t>
  </si>
  <si>
    <t>2800746030</t>
  </si>
  <si>
    <t>CÔNG TY TNHH BẮC HẢI</t>
  </si>
  <si>
    <t>SN 02 Cửa Tả - Phường Hạc Thành - Tỉnh Thanh Hoá - Việt Nam</t>
  </si>
  <si>
    <t>CTy TNHH ANH HUY HOÀNG</t>
  </si>
  <si>
    <t>2800114779</t>
  </si>
  <si>
    <t>CÔNG TY TNHH MTV PETROLIMEX THANH HOÁ</t>
  </si>
  <si>
    <t>2400522597</t>
  </si>
  <si>
    <t>CÔNG TY TNHH TDY LỘC PHÁT</t>
  </si>
  <si>
    <t>4243</t>
  </si>
  <si>
    <t>Máy trộn bê tông + mô to điện 6 (023.019.04)</t>
  </si>
  <si>
    <t>Quần áo bảo hộ Excia T5-200 SW-LAO, size L</t>
  </si>
  <si>
    <t>0100686174-514</t>
  </si>
  <si>
    <t>NGÂN HÀNG NÔNG NGHIỆP VÀ PHÁT TRIỂN NÔNG THÔN VIỆT NAM - CHI NHÁNH NGHI SƠN NAM THANH HÓA</t>
  </si>
  <si>
    <t>CONG TY TNHH ANH HUY HOANG</t>
  </si>
  <si>
    <t>0100112437</t>
  </si>
  <si>
    <t>Ngân hàng TMCP Ngoại thương Việt Nam</t>
  </si>
  <si>
    <t>Máy khoan pin hiệu BENTEC, model BT21-13B</t>
  </si>
  <si>
    <t>Máy khoan vít hiệu BENTEC, model BT21-10A</t>
  </si>
  <si>
    <t>Máy đục phá bê tông Kynko Z1G-KD23-60</t>
  </si>
  <si>
    <t>Nối thẳng phun uPVC DN 60 PN8</t>
  </si>
  <si>
    <t>măng sông ĐK110</t>
  </si>
  <si>
    <t>Ống uPVC DN110 PN8 C3</t>
  </si>
  <si>
    <t>Nối thẳng ren trong phun uPVC đk 110-4" PN6</t>
  </si>
  <si>
    <t>JDCDP552 - Máy khoan dùng pin (không chổi than</t>
  </si>
  <si>
    <t>DL251050 Mũi vít động lực đen PH 2x50mm E</t>
  </si>
  <si>
    <t>GARDEX bóng mở BASE B 2.25L</t>
  </si>
  <si>
    <t>Jotashield chống phai màu A 0.9L</t>
  </si>
  <si>
    <t>Majestic đẹp hoàn hảo mờ A 0.9L</t>
  </si>
  <si>
    <t>Jotun Waterguard light 20Kg</t>
  </si>
  <si>
    <t>FLINTKOTE NO3-3.5 L</t>
  </si>
  <si>
    <t>402</t>
  </si>
  <si>
    <t>2801430417</t>
  </si>
  <si>
    <t>CÔNG TY CỔ PHẦN THIẾT BỊ ĐIỆN HÀ DƯƠNG</t>
  </si>
  <si>
    <t>Số 155 Lê Hồng Phong, Phường Hạc Thành, Tỉnh Thanh Hoá, Việt Nam</t>
  </si>
  <si>
    <t>Vữa rót không co ngót cá sấu CG Grout -25kg</t>
  </si>
  <si>
    <t>MDP1132-ốc công nghiệp CĐ 3x16A IP67</t>
  </si>
  <si>
    <t>MDP0132-phíc cắm CN 3x16 A IP67</t>
  </si>
  <si>
    <t>Số 305 đường Bà Triệu, Phường Hàm Rồng, Tỉnh Thanh Hóa, Việt Nam</t>
  </si>
  <si>
    <t>Gỗ ván ép phủ phim KT 12mm x 1220 x 2440</t>
  </si>
  <si>
    <t>0101352495</t>
  </si>
  <si>
    <t>0107754137</t>
  </si>
  <si>
    <t>CÔNG TY CP ĐẦU TƯ HT ĐẠI PHÁT</t>
  </si>
  <si>
    <t>304</t>
  </si>
  <si>
    <t>0107693702</t>
  </si>
  <si>
    <t>CÔNG TY TNHH ĐÔNG HÀ NỘI</t>
  </si>
  <si>
    <t>Số B4A/6 ngõ 8, đường Quang Trung, Phường Hà Đông, Thành phố Hà Nội, Việt Nam</t>
  </si>
  <si>
    <t>Dây điện SIK 2Cx0.75 HVCTFK</t>
  </si>
  <si>
    <t>2901950882</t>
  </si>
  <si>
    <t>CÔNG TY CỔ PHẦN ĐẦU TƯ PHÁT TRIỂN HÀ AN H&amp;M</t>
  </si>
  <si>
    <t>Xóm 5, Phường Tân Mai, Tỉnh Nghệ An</t>
  </si>
  <si>
    <t>Bình chữa cháy sách tay bộ ABC 4kg (DTT-ABC/4k</t>
  </si>
  <si>
    <t>GARDEX bóng mở BASE C 2.25L</t>
  </si>
  <si>
    <t>2802848302</t>
  </si>
  <si>
    <t>CÔNG TY TNHH THƯƠNG MẠI VÀ DỊCH VỤ 186 THANH HOÁ</t>
  </si>
  <si>
    <t>934</t>
  </si>
  <si>
    <t>Máy cưa đĩa M5801</t>
  </si>
  <si>
    <t>Áp to mát chống rò điện và quá tải LB63N1</t>
  </si>
  <si>
    <t>Thước cuốn kích thước bản ngang 25mm dài 7.5m</t>
  </si>
  <si>
    <t>Dây điện Cu/pvc/pvc3x1.5</t>
  </si>
  <si>
    <t>Bệt V45M</t>
  </si>
  <si>
    <t>Sen tắm VG</t>
  </si>
  <si>
    <t>356</t>
  </si>
  <si>
    <t>263</t>
  </si>
  <si>
    <t>Bồn Inox 1200N</t>
  </si>
  <si>
    <t>Bồn nhựa 500D</t>
  </si>
  <si>
    <t>Bồn nhựa 500N</t>
  </si>
  <si>
    <t>Bồn nhựa 1500N</t>
  </si>
  <si>
    <t>Bồn Inox 1000D</t>
  </si>
  <si>
    <t>Bồn inox 1000N</t>
  </si>
  <si>
    <t>1001010362</t>
  </si>
  <si>
    <t>CÔNG TY TNHH SẢN XUẤT ĐÈN PIN, VỢT MUỖI G8</t>
  </si>
  <si>
    <t>Thửa đất số 1184, tờ bản đồ số 4, cụm công nghiệp Nguyên Xá, Xã Đông Hưng, Tỉnh Hưng Yên, Việt Nam</t>
  </si>
  <si>
    <t>Bồn inox 1500N</t>
  </si>
  <si>
    <t>1249</t>
  </si>
  <si>
    <t>1C25TCH</t>
  </si>
  <si>
    <t>1C25TAA</t>
  </si>
  <si>
    <t>1C25TYY</t>
  </si>
  <si>
    <t>4074</t>
  </si>
  <si>
    <t>0106026495</t>
  </si>
  <si>
    <t>Số 27/99 Đại lộ Lê Lợi, Phường Hạc Thành, Tỉnh Thanh Hóa, Việt Nam</t>
  </si>
  <si>
    <t>4073</t>
  </si>
  <si>
    <t>1C25THD</t>
  </si>
  <si>
    <t>1468</t>
  </si>
  <si>
    <t>1431</t>
  </si>
  <si>
    <t>491</t>
  </si>
  <si>
    <t>SN 378-380-382 Quang Trung 1, Phường Hạc Thành, Tỉnh Thanh Hoá</t>
  </si>
  <si>
    <t>CÔNG TY TNHH XÂY DỰNG VÀ THƯƠNG MẠI KHÁNH PHƯỢNG</t>
  </si>
  <si>
    <t>2802267900</t>
  </si>
  <si>
    <t>CÔNG TY TNHH LÊ KIM TUYẾN</t>
  </si>
  <si>
    <t>Số 01A43 - Đường Đại Lộ Lê Lợi - Phường Hạc Thành, Tỉnh Thanh Hoá, Việt Nam</t>
  </si>
  <si>
    <t>844</t>
  </si>
  <si>
    <t>752</t>
  </si>
  <si>
    <t>4404</t>
  </si>
  <si>
    <t>3992</t>
  </si>
  <si>
    <t>3880</t>
  </si>
  <si>
    <t>3834</t>
  </si>
  <si>
    <t>3648</t>
  </si>
  <si>
    <t>1C25TLL</t>
  </si>
  <si>
    <t>8384</t>
  </si>
  <si>
    <t>7830</t>
  </si>
  <si>
    <t>7695</t>
  </si>
  <si>
    <t>7587</t>
  </si>
  <si>
    <t>7434</t>
  </si>
  <si>
    <t>7324</t>
  </si>
  <si>
    <t>1C25TTB</t>
  </si>
  <si>
    <t>1913</t>
  </si>
  <si>
    <t>1881</t>
  </si>
  <si>
    <t>1K25TTM</t>
  </si>
  <si>
    <t>532713</t>
  </si>
  <si>
    <t>1C25TPD</t>
  </si>
  <si>
    <t>1018</t>
  </si>
  <si>
    <t>1C25TLP</t>
  </si>
  <si>
    <t>514</t>
  </si>
  <si>
    <t>Km 6, thôn Tĩnh Lộc, Phường Việt Yên, Tỉnh Bắc Ninh, Việt Nam</t>
  </si>
  <si>
    <t>208056</t>
  </si>
  <si>
    <t>198853</t>
  </si>
  <si>
    <t>1C25TAT</t>
  </si>
  <si>
    <t>1037</t>
  </si>
  <si>
    <t>1C25THM</t>
  </si>
  <si>
    <t>36110</t>
  </si>
  <si>
    <t>vc</t>
  </si>
  <si>
    <t>34613</t>
  </si>
  <si>
    <t>34609</t>
  </si>
  <si>
    <t>1C25TYT</t>
  </si>
  <si>
    <t>1C25THP</t>
  </si>
  <si>
    <t>7651</t>
  </si>
  <si>
    <t>1C25TAV</t>
  </si>
  <si>
    <t>1151</t>
  </si>
  <si>
    <t>0101482568</t>
  </si>
  <si>
    <t>CÔNG TY TNHH CƠ KHÍ AN VIỆT</t>
  </si>
  <si>
    <t>Km 3, Đường Phan Trọng Tuệ, Xã Đại Thanh, Thành phố Hà Nội, Việt Nam</t>
  </si>
  <si>
    <t>1K25TCA</t>
  </si>
  <si>
    <t>Bóng led trụ nhôm T30, model T30-100/G01</t>
  </si>
  <si>
    <t>Bóng led trụ nhôm T40, model T40-115/G01</t>
  </si>
  <si>
    <t>1K25TEA</t>
  </si>
  <si>
    <t>0100112437-169</t>
  </si>
  <si>
    <t>Ngân hàng TMCP Ngoại thương Việt Nam - Chi nhánh Nghi Sơn</t>
  </si>
  <si>
    <t>1262</t>
  </si>
  <si>
    <t>1250</t>
  </si>
  <si>
    <t>739</t>
  </si>
  <si>
    <t>666</t>
  </si>
  <si>
    <t>3435</t>
  </si>
  <si>
    <t>3388</t>
  </si>
  <si>
    <t>3131</t>
  </si>
  <si>
    <t>2080</t>
  </si>
  <si>
    <t>7032</t>
  </si>
  <si>
    <t>6873</t>
  </si>
  <si>
    <t>6746</t>
  </si>
  <si>
    <t>6325</t>
  </si>
  <si>
    <t>6204</t>
  </si>
  <si>
    <t>5959</t>
  </si>
  <si>
    <t>5919</t>
  </si>
  <si>
    <t>5703</t>
  </si>
  <si>
    <t>1595</t>
  </si>
  <si>
    <t>300</t>
  </si>
  <si>
    <t>450053</t>
  </si>
  <si>
    <t>1C25TGR</t>
  </si>
  <si>
    <t>15795</t>
  </si>
  <si>
    <t>15794</t>
  </si>
  <si>
    <t>15408</t>
  </si>
  <si>
    <t>945</t>
  </si>
  <si>
    <t>1C25TDP</t>
  </si>
  <si>
    <t>Số 03, ngõ 157 Pháo Đài Láng, Phường Láng, TP Hà Nội, Việt Nam</t>
  </si>
  <si>
    <t>1C25TVN</t>
  </si>
  <si>
    <t>0105798925</t>
  </si>
  <si>
    <t>CÔNG TY CỔ PHẦN CƠ KHÍ XÂY DỰNG VIỆT NAM</t>
  </si>
  <si>
    <t>Điểm X3, thôn Thượng Phúc, Xã Phúc Thịnh, Thành phố Hà Nội, Việt Nam.</t>
  </si>
  <si>
    <t>471</t>
  </si>
  <si>
    <t>0102087105</t>
  </si>
  <si>
    <t>CÔNG TY TNHH NGƯỜI TIÊN PHONG</t>
  </si>
  <si>
    <t>76 Nguyễn Lương Bằng, Phường Đống Đa, Thành phố Hà Nội, Việt Nam.</t>
  </si>
  <si>
    <t>141292</t>
  </si>
  <si>
    <t>132545</t>
  </si>
  <si>
    <t>166788</t>
  </si>
  <si>
    <t>23390761</t>
  </si>
  <si>
    <t>23367896</t>
  </si>
  <si>
    <t>23142174</t>
  </si>
  <si>
    <t>23030707</t>
  </si>
  <si>
    <t>22984055</t>
  </si>
  <si>
    <t>22947008</t>
  </si>
  <si>
    <t>22860476</t>
  </si>
  <si>
    <t>22797004</t>
  </si>
  <si>
    <t>22612725</t>
  </si>
  <si>
    <t>22402055</t>
  </si>
  <si>
    <t>22400900</t>
  </si>
  <si>
    <t>22307323</t>
  </si>
  <si>
    <t>22051749</t>
  </si>
  <si>
    <t>21994687</t>
  </si>
  <si>
    <t>21973530</t>
  </si>
  <si>
    <t>21709955</t>
  </si>
  <si>
    <t>21512061</t>
  </si>
  <si>
    <t>21419269</t>
  </si>
  <si>
    <t>20794561</t>
  </si>
  <si>
    <t>20791869</t>
  </si>
  <si>
    <t>20636837</t>
  </si>
  <si>
    <t>20199106</t>
  </si>
  <si>
    <t>Nối thẳng phun upvc DN 27</t>
  </si>
  <si>
    <t>1C25TPC</t>
  </si>
  <si>
    <t>0100686209</t>
  </si>
  <si>
    <t>Số nhà 16 Tân Thảo, Phường Hạc Thành, Tỉnh Thanh Hóa</t>
  </si>
  <si>
    <t>1081</t>
  </si>
  <si>
    <t>595</t>
  </si>
  <si>
    <t>590</t>
  </si>
  <si>
    <t>585</t>
  </si>
  <si>
    <t>1C25TDM</t>
  </si>
  <si>
    <t>338</t>
  </si>
  <si>
    <t>2801954058</t>
  </si>
  <si>
    <t>CÔNG TY TNHH TMDV VÀ THIẾT BỊ ĐIỆN MẠNH DƯƠNG</t>
  </si>
  <si>
    <t>Nhà ông Ngô Quang Ngọc, Tổ dân phố Nam Hải, Phường Nghi Sơn , Tỉnh Thanh Hoá, Việt Nam</t>
  </si>
  <si>
    <t>2865</t>
  </si>
  <si>
    <t>2691</t>
  </si>
  <si>
    <t>5297</t>
  </si>
  <si>
    <t>5021</t>
  </si>
  <si>
    <t>4761</t>
  </si>
  <si>
    <t>4593</t>
  </si>
  <si>
    <t>4409</t>
  </si>
  <si>
    <t>1372</t>
  </si>
  <si>
    <t>261</t>
  </si>
  <si>
    <t>406289</t>
  </si>
  <si>
    <t>546</t>
  </si>
  <si>
    <t>Hóa đơn đã bị điều chỉnh</t>
  </si>
  <si>
    <t>144164</t>
  </si>
  <si>
    <t>1C25THN</t>
  </si>
  <si>
    <t>1652</t>
  </si>
  <si>
    <t>1651</t>
  </si>
  <si>
    <t>1599</t>
  </si>
  <si>
    <t>1598</t>
  </si>
  <si>
    <t>5096</t>
  </si>
  <si>
    <t>0101256569</t>
  </si>
  <si>
    <t>CÔNG TY TNHH THƯƠNG MẠI VÀ SẢN XUẤT LONG GIANG</t>
  </si>
  <si>
    <t>Số nhà 48, Tổ 8, Xã Thư Lâm, Thành phố Hà Nội, Việt Nam</t>
  </si>
  <si>
    <t>132212</t>
  </si>
  <si>
    <t>132187</t>
  </si>
  <si>
    <t>131038</t>
  </si>
  <si>
    <t>119075</t>
  </si>
  <si>
    <t>119040</t>
  </si>
  <si>
    <t>118316</t>
  </si>
  <si>
    <t>133036</t>
  </si>
  <si>
    <t>19911759</t>
  </si>
  <si>
    <t>19527401</t>
  </si>
  <si>
    <t>19116422</t>
  </si>
  <si>
    <t>18777546</t>
  </si>
  <si>
    <t>18773337</t>
  </si>
  <si>
    <t>18636838</t>
  </si>
  <si>
    <t>18549199</t>
  </si>
  <si>
    <t>18482128</t>
  </si>
  <si>
    <t>18388197</t>
  </si>
  <si>
    <t>18330210</t>
  </si>
  <si>
    <t>18235320</t>
  </si>
  <si>
    <t>17530539</t>
  </si>
  <si>
    <t>17530183</t>
  </si>
  <si>
    <t>17529651</t>
  </si>
  <si>
    <t>17527980</t>
  </si>
  <si>
    <t>17252370</t>
  </si>
  <si>
    <t>16848801</t>
  </si>
  <si>
    <t>16848565</t>
  </si>
  <si>
    <t>16524488</t>
  </si>
  <si>
    <t>16410572</t>
  </si>
  <si>
    <t>1C25TLT</t>
  </si>
  <si>
    <t>2228</t>
  </si>
  <si>
    <t>2901496524</t>
  </si>
  <si>
    <t>Công ty TNHH Một Thành Viên Thương Mại Liên Thắng</t>
  </si>
  <si>
    <t>Nhà ông Trần Ngọc Tịnh, số 163, Khối Quyết Thắng, Phường Thái Hòa, Tỉnh Nghệ An, Việt Nam.</t>
  </si>
  <si>
    <t>2193</t>
  </si>
  <si>
    <t>1C25THV</t>
  </si>
  <si>
    <t>3251</t>
  </si>
  <si>
    <t>3189</t>
  </si>
  <si>
    <t>992</t>
  </si>
  <si>
    <t>496</t>
  </si>
  <si>
    <t>490</t>
  </si>
  <si>
    <t>2333</t>
  </si>
  <si>
    <t>4265</t>
  </si>
  <si>
    <t>4021</t>
  </si>
  <si>
    <t>3620</t>
  </si>
  <si>
    <t>3437</t>
  </si>
  <si>
    <t>2972</t>
  </si>
  <si>
    <t>258</t>
  </si>
  <si>
    <t>241</t>
  </si>
  <si>
    <t>235</t>
  </si>
  <si>
    <t>390069</t>
  </si>
  <si>
    <t>353610</t>
  </si>
  <si>
    <t>1C25THC</t>
  </si>
  <si>
    <t>6981</t>
  </si>
  <si>
    <t>Công Ty Trách Nhiệm Hữu Hạn Anh Huy Hoàng</t>
  </si>
  <si>
    <t>1000265248</t>
  </si>
  <si>
    <t>CÔNG TY TNHH SẢN XUẤT KINH DOANH SỨ HẢO CẢNH</t>
  </si>
  <si>
    <t>KCN Tiền Hải, Xã Đồng Châu, tỉnh Hưng Yên</t>
  </si>
  <si>
    <t>1K25TTH</t>
  </si>
  <si>
    <t>598188</t>
  </si>
  <si>
    <t>0306731335</t>
  </si>
  <si>
    <t>0303217354-072</t>
  </si>
  <si>
    <t>CHI NHÁNH CÔNG TY CỔ PHẦN THẾ GIỚI DI ĐỘNG TẠI THANH HÓA</t>
  </si>
  <si>
    <t>Số 664 Bà Triệu, Phường Hạc Thành, Tỉnh Thanh Hóa, Việt Nam</t>
  </si>
  <si>
    <t>598187</t>
  </si>
  <si>
    <t>Chị Liễu</t>
  </si>
  <si>
    <t>598055</t>
  </si>
  <si>
    <t>578852</t>
  </si>
  <si>
    <t>578851</t>
  </si>
  <si>
    <t>11615</t>
  </si>
  <si>
    <t>506</t>
  </si>
  <si>
    <t>22504</t>
  </si>
  <si>
    <t>1526</t>
  </si>
  <si>
    <t>1525</t>
  </si>
  <si>
    <t>1499</t>
  </si>
  <si>
    <t>1498</t>
  </si>
  <si>
    <t>1459</t>
  </si>
  <si>
    <t>1458</t>
  </si>
  <si>
    <t>1436</t>
  </si>
  <si>
    <t>1435</t>
  </si>
  <si>
    <t>1352</t>
  </si>
  <si>
    <t>1351</t>
  </si>
  <si>
    <t>5605</t>
  </si>
  <si>
    <t>Số 535, Phố Minh Khai, Phường Vĩnh Tuy, Thành phố Hà Nội, Việt Nam</t>
  </si>
  <si>
    <t>5012</t>
  </si>
  <si>
    <t>1C25TET</t>
  </si>
  <si>
    <t>10639</t>
  </si>
  <si>
    <t>0105259419</t>
  </si>
  <si>
    <t>CÔNG TY TNHH ETINCO</t>
  </si>
  <si>
    <t>Ô 33 Lô BT5, Khu Đô Thị Mới Pháp Vân - Tứ Hiệp, Phường Yên Sở, Thành Phố Hà Nội, Việt Nam</t>
  </si>
  <si>
    <t>117808</t>
  </si>
  <si>
    <t>109806</t>
  </si>
  <si>
    <t>106039</t>
  </si>
  <si>
    <t>106029</t>
  </si>
  <si>
    <t>104289</t>
  </si>
  <si>
    <t>104587</t>
  </si>
  <si>
    <t>16212557</t>
  </si>
  <si>
    <t>15815895</t>
  </si>
  <si>
    <t>15795042</t>
  </si>
  <si>
    <t>15795041</t>
  </si>
  <si>
    <t>15794436</t>
  </si>
  <si>
    <t>15794133</t>
  </si>
  <si>
    <t>14994717</t>
  </si>
  <si>
    <t>14994255</t>
  </si>
  <si>
    <t>14930171</t>
  </si>
  <si>
    <t>14902914</t>
  </si>
  <si>
    <t>14825436</t>
  </si>
  <si>
    <t>14749954</t>
  </si>
  <si>
    <t>14532811</t>
  </si>
  <si>
    <t>14506987</t>
  </si>
  <si>
    <t>14219643</t>
  </si>
  <si>
    <t>13809852</t>
  </si>
  <si>
    <t>13787013</t>
  </si>
  <si>
    <t>13528282</t>
  </si>
  <si>
    <t>13399862</t>
  </si>
  <si>
    <t>13378071</t>
  </si>
  <si>
    <t>13376918</t>
  </si>
  <si>
    <t>13355158</t>
  </si>
  <si>
    <t>13355098</t>
  </si>
  <si>
    <t>1C25TAH</t>
  </si>
  <si>
    <t>12004</t>
  </si>
  <si>
    <t>1819</t>
  </si>
  <si>
    <t>1682</t>
  </si>
  <si>
    <t>1C25TVT</t>
  </si>
  <si>
    <t>1194</t>
  </si>
  <si>
    <t>2801321552</t>
  </si>
  <si>
    <t>CÔNG TY TNHH VIỆT TÁM</t>
  </si>
  <si>
    <t>626 Quang Trung 2, Phường Hạc Thành, Tỉnh Thanh Hoá, Việt Nam</t>
  </si>
  <si>
    <t>2828</t>
  </si>
  <si>
    <t>2440</t>
  </si>
  <si>
    <t>1708</t>
  </si>
  <si>
    <t>344116</t>
  </si>
  <si>
    <t>CÔNG TY XĂNG DẦU THANH HÓA - CÔNG TY TNHH</t>
  </si>
  <si>
    <t>Số 305 Bà Triệu, Phường Hàm Rồng, Tỉnh Thanh Hóa, Việt Nam</t>
  </si>
  <si>
    <t>328386</t>
  </si>
  <si>
    <t>319067</t>
  </si>
  <si>
    <t>317</t>
  </si>
  <si>
    <t>116864</t>
  </si>
  <si>
    <t>479395</t>
  </si>
  <si>
    <t>21942</t>
  </si>
  <si>
    <t>21092</t>
  </si>
  <si>
    <t>20372</t>
  </si>
  <si>
    <t>20069</t>
  </si>
  <si>
    <t>19886</t>
  </si>
  <si>
    <t>19781</t>
  </si>
  <si>
    <t>19606</t>
  </si>
  <si>
    <t>19605</t>
  </si>
  <si>
    <t>19591</t>
  </si>
  <si>
    <t>4672</t>
  </si>
  <si>
    <t>4456</t>
  </si>
  <si>
    <t>4339</t>
  </si>
  <si>
    <t>1K25TWA</t>
  </si>
  <si>
    <t>1158</t>
  </si>
  <si>
    <t>97771</t>
  </si>
  <si>
    <t>92218</t>
  </si>
  <si>
    <t>92213</t>
  </si>
  <si>
    <t>91506</t>
  </si>
  <si>
    <t>91495</t>
  </si>
  <si>
    <t>91491</t>
  </si>
  <si>
    <t>91477</t>
  </si>
  <si>
    <t>75318</t>
  </si>
  <si>
    <t>9925799</t>
  </si>
  <si>
    <t>9826658</t>
  </si>
  <si>
    <t>9756201</t>
  </si>
  <si>
    <t>9584191</t>
  </si>
  <si>
    <t>9441269</t>
  </si>
  <si>
    <t>12922349</t>
  </si>
  <si>
    <t>12920601</t>
  </si>
  <si>
    <t>12866059</t>
  </si>
  <si>
    <t>12733350</t>
  </si>
  <si>
    <t>12685718</t>
  </si>
  <si>
    <t>12411158</t>
  </si>
  <si>
    <t>12153118</t>
  </si>
  <si>
    <t>11923375</t>
  </si>
  <si>
    <t>11923123</t>
  </si>
  <si>
    <t>11902466</t>
  </si>
  <si>
    <t>11555096</t>
  </si>
  <si>
    <t>11554430</t>
  </si>
  <si>
    <t>11005109</t>
  </si>
  <si>
    <t>10892267</t>
  </si>
  <si>
    <t>10643618</t>
  </si>
  <si>
    <t>10323135</t>
  </si>
  <si>
    <t>10144555</t>
  </si>
  <si>
    <t>10087884</t>
  </si>
  <si>
    <t>1800</t>
  </si>
  <si>
    <t>Nhà ông Trần Ngọc Tịnh, số 163, khối Quyết Thắng , phường Thái Hoà - tỉnh Nghệ An, Việt Nam</t>
  </si>
  <si>
    <t>1788</t>
  </si>
  <si>
    <t>1762</t>
  </si>
  <si>
    <t>Ống PVCĐK 21C2</t>
  </si>
  <si>
    <t>Sơn nước nội thất 3 in 1</t>
  </si>
  <si>
    <t>793</t>
  </si>
  <si>
    <t>720</t>
  </si>
  <si>
    <t>710</t>
  </si>
  <si>
    <t>695</t>
  </si>
  <si>
    <t>sơn sắt mạ kẽm màu ghi sáng E361</t>
  </si>
  <si>
    <t>lót chống rỉ nâu</t>
  </si>
  <si>
    <t>Sơn sắt mạ kẽm màu xingfa đỏ Z34</t>
  </si>
  <si>
    <t>Cân 100 kg</t>
  </si>
  <si>
    <t>370</t>
  </si>
  <si>
    <t>359</t>
  </si>
  <si>
    <t>358</t>
  </si>
  <si>
    <t>Thôn Vực Trung - Xã Xuân Hồng - Huyện Thọ Xuân - Thanh Hoá.</t>
  </si>
  <si>
    <t>316</t>
  </si>
  <si>
    <t>Vải thủy tinh chống cháy, model 1 HT800</t>
  </si>
  <si>
    <t>2801980724</t>
  </si>
  <si>
    <t>CÔNG TY TNHH DỊCH VỤ THƯƠNG MẠI HẢI NGỌC ĐƯỜNG</t>
  </si>
  <si>
    <t>Nhà ông Đoàn Xuân Toàn, Tổ dân phố Liên Trung, Phường Nghi Sơn, Tỉnh Thanh Hóa, Việt Nam.</t>
  </si>
  <si>
    <t>1420</t>
  </si>
  <si>
    <t>1416</t>
  </si>
  <si>
    <t>1055</t>
  </si>
  <si>
    <t>1039</t>
  </si>
  <si>
    <t>Lô 45-46, Khu CN Đình Hương - Tây Bắc Ga, Phường Đông Cương, Thành phố Thanh Hoá, Tỉnh Thanh Hoá, Việt Nam</t>
  </si>
  <si>
    <t>1038</t>
  </si>
  <si>
    <t>252</t>
  </si>
  <si>
    <t>Số nhà 124 đường Lê Hữu Lập, Phường Hạc Thành, Tỉnh Thanh Hoá, Việt Nam</t>
  </si>
  <si>
    <t>548</t>
  </si>
  <si>
    <t>1077</t>
  </si>
  <si>
    <t>Máy cắt LW1401</t>
  </si>
  <si>
    <t>296322</t>
  </si>
  <si>
    <t>272727</t>
  </si>
  <si>
    <t>263798</t>
  </si>
  <si>
    <t>261024</t>
  </si>
  <si>
    <t>260668</t>
  </si>
  <si>
    <t>257324</t>
  </si>
  <si>
    <t>239</t>
  </si>
  <si>
    <t>95147</t>
  </si>
  <si>
    <t>Đèn led chiếu pha 50W, model CP01-50W/G03, án</t>
  </si>
  <si>
    <t>93359</t>
  </si>
  <si>
    <t>Bóng led trụ nhôm T20, model T20-80/G01</t>
  </si>
  <si>
    <t>102826</t>
  </si>
  <si>
    <t>931</t>
  </si>
  <si>
    <t>1013</t>
  </si>
  <si>
    <t>1012</t>
  </si>
  <si>
    <t>3457</t>
  </si>
  <si>
    <t>602</t>
  </si>
  <si>
    <t>80174</t>
  </si>
  <si>
    <t>79111</t>
  </si>
  <si>
    <t>78558</t>
  </si>
  <si>
    <t>78421</t>
  </si>
  <si>
    <t>41229</t>
  </si>
  <si>
    <t>39931</t>
  </si>
  <si>
    <t>9258624</t>
  </si>
  <si>
    <t>9257834</t>
  </si>
  <si>
    <t>9234829</t>
  </si>
  <si>
    <t>9234794</t>
  </si>
  <si>
    <t>9161900</t>
  </si>
  <si>
    <t>9104376</t>
  </si>
  <si>
    <t>9104360</t>
  </si>
  <si>
    <t>9103405</t>
  </si>
  <si>
    <t>9102250</t>
  </si>
  <si>
    <t>9102239</t>
  </si>
  <si>
    <t>8997248</t>
  </si>
  <si>
    <t>8545581</t>
  </si>
  <si>
    <t>8447614</t>
  </si>
  <si>
    <t>8403780</t>
  </si>
  <si>
    <t>7995538</t>
  </si>
  <si>
    <t>7850177</t>
  </si>
  <si>
    <t>7850174</t>
  </si>
  <si>
    <t>7440432</t>
  </si>
  <si>
    <t>6848408</t>
  </si>
  <si>
    <t>6742531</t>
  </si>
  <si>
    <t>6585838</t>
  </si>
  <si>
    <t>6585777</t>
  </si>
  <si>
    <t>6090154</t>
  </si>
  <si>
    <t>6018084</t>
  </si>
  <si>
    <t>5905122</t>
  </si>
  <si>
    <t>5621880</t>
  </si>
  <si>
    <t>1589</t>
  </si>
  <si>
    <t>Nhà ông Trần Ngọc Tịnh, số 163, khối Liên Thắng - Phưòng Hoà Hiếu - Thị xã Thái Hoà - Nghệ An.</t>
  </si>
  <si>
    <t>1588</t>
  </si>
  <si>
    <t>1C25TTH</t>
  </si>
  <si>
    <t>310</t>
  </si>
  <si>
    <t>186 Trần Phú, Phường Lam Sơn, Thành phố Thanh Hoá, Tỉnh Thanh Hoá, Việt Nam</t>
  </si>
  <si>
    <t>Sơn xịt 400 ml TV A210</t>
  </si>
  <si>
    <t>1532</t>
  </si>
  <si>
    <t>Số 01/16 Nguyễn Thị Thập, phường Đông Thọ, thành phố Thanh Hóa, tỉnh Thanh Hóa</t>
  </si>
  <si>
    <t>Số 01A43 - Đường Đại Lộ Lê Lợi - Phường Đông Hương - Thành phố Thanh Hoá - Tỉnh Thanh Hoá</t>
  </si>
  <si>
    <t>Cọ lăn Việt Mỹ Nano 9in ( lông sợi)</t>
  </si>
  <si>
    <t>Que hàn sắt Kim Tín KT421 D3.2 20kg/ thùng</t>
  </si>
  <si>
    <t>Dây thép 1ly</t>
  </si>
  <si>
    <t>Vữa chống thấm Sikatop 107 seal VN (AB) 25kg/se</t>
  </si>
  <si>
    <t>893</t>
  </si>
  <si>
    <t>747</t>
  </si>
  <si>
    <t>691</t>
  </si>
  <si>
    <t>887</t>
  </si>
  <si>
    <t>626 Quang Trung 2, Phường Đông Vệ, Thành phố Thanh Hoá, Tỉnh Thanh Hoá, Việt Nam</t>
  </si>
  <si>
    <t>phụ kiện vệ sinh VG98</t>
  </si>
  <si>
    <t>841</t>
  </si>
  <si>
    <t>779</t>
  </si>
  <si>
    <t>7993</t>
  </si>
  <si>
    <t>Số nhà 137 Quang Trung, Phường Ngọc Trạo, Thành phố Thanh Hoá, Tỉnh Thanh Hoá</t>
  </si>
  <si>
    <t>SN 02 Cửa Tả - Phường Lam Sơn - Thành phố Thanh Hoá – Tỉnh Thanh Hoá</t>
  </si>
  <si>
    <t>249117</t>
  </si>
  <si>
    <t>Số 305 Bà Triệu, Phường Hàm Rồng, Thành Phố Thanh Hóa, Tỉnh Thanh Hóa, Việt Nam</t>
  </si>
  <si>
    <t>241999</t>
  </si>
  <si>
    <t>230909</t>
  </si>
  <si>
    <t>220233</t>
  </si>
  <si>
    <t>214689</t>
  </si>
  <si>
    <t>211310</t>
  </si>
  <si>
    <t>Km 6, thôn Tĩnh Lộc, Xã Nghĩa Trung, Thị xã Việt Yên, Tỉnh Bắc Giang, Việt Nam</t>
  </si>
  <si>
    <t>0109594055</t>
  </si>
  <si>
    <t>CÔNG TY CỔ PHẦN SƠN SỐ 1 MIỀN BẮC</t>
  </si>
  <si>
    <t>Số 8, Ngõ 17, Phố Nam Dư, Phường Lĩnh Nam, Quận Hoàng Mai, Thành phố Hà Nội, Việt Nam</t>
  </si>
  <si>
    <t>918</t>
  </si>
  <si>
    <t>Số B4A/6 ngõ 8, đường Quang Trung, Phường La Khê, Quận Hà Đông, Thành phố Hà Nội, Việt Nam</t>
  </si>
  <si>
    <t>879</t>
  </si>
  <si>
    <t>787</t>
  </si>
  <si>
    <t>4346</t>
  </si>
  <si>
    <t>máy đục phá GSH 500</t>
  </si>
  <si>
    <t>0105848319</t>
  </si>
  <si>
    <t>CÔNG TY CỔ PHẦN CÔNG NGHỆ THB VIỆT NAM</t>
  </si>
  <si>
    <t>Số 30 Mạc Thái Tổ, Phường Yên Hòa, Quận Cầu Giấy, Thành Phố Hà Nội, Việt Nam</t>
  </si>
  <si>
    <t>6418</t>
  </si>
  <si>
    <t>Ô 33 Lô BT5, Khu đô thị mới Pháp Vân - Tứ Hiệp, Phường Hoàng Liệt, Quận Hoàng Mai, Thành phố Hà Nội, Việt Nam</t>
  </si>
  <si>
    <t>6043</t>
  </si>
  <si>
    <t>5816</t>
  </si>
  <si>
    <t>5621</t>
  </si>
  <si>
    <t>68247</t>
  </si>
  <si>
    <t>66601</t>
  </si>
  <si>
    <t>66567</t>
  </si>
  <si>
    <t>66017</t>
  </si>
  <si>
    <t>65976</t>
  </si>
  <si>
    <t>65596</t>
  </si>
  <si>
    <t>65257</t>
  </si>
  <si>
    <t>18392</t>
  </si>
  <si>
    <t>5596607</t>
  </si>
  <si>
    <t>5570984</t>
  </si>
  <si>
    <t>5508302</t>
  </si>
  <si>
    <t>5348337</t>
  </si>
  <si>
    <t>5348021</t>
  </si>
  <si>
    <t>5308188</t>
  </si>
  <si>
    <t>5207228</t>
  </si>
  <si>
    <t>5188242</t>
  </si>
  <si>
    <t>4964517</t>
  </si>
  <si>
    <t>4823093</t>
  </si>
  <si>
    <t>4537523</t>
  </si>
  <si>
    <t>4349633</t>
  </si>
  <si>
    <t>4249631</t>
  </si>
  <si>
    <t>4249621</t>
  </si>
  <si>
    <t>4249368</t>
  </si>
  <si>
    <t>4249363</t>
  </si>
  <si>
    <t>4247254</t>
  </si>
  <si>
    <t>3962414</t>
  </si>
  <si>
    <t>3476979</t>
  </si>
  <si>
    <t>3121374</t>
  </si>
  <si>
    <t>3088179</t>
  </si>
  <si>
    <t>2795862</t>
  </si>
  <si>
    <t>2781526</t>
  </si>
  <si>
    <t>2771554</t>
  </si>
  <si>
    <t>2757029</t>
  </si>
  <si>
    <t>2756973</t>
  </si>
  <si>
    <t>2704775</t>
  </si>
  <si>
    <t>2685044</t>
  </si>
  <si>
    <t>1104</t>
  </si>
  <si>
    <t>533</t>
  </si>
  <si>
    <t>Số 233, Tống Duy Tân, Phường Lam Sơn, Thành phố Thanh Hoá, Thanh Hoá</t>
  </si>
  <si>
    <t>532</t>
  </si>
  <si>
    <t>thép gai 10</t>
  </si>
  <si>
    <t>416</t>
  </si>
  <si>
    <t>314</t>
  </si>
  <si>
    <t>7491</t>
  </si>
  <si>
    <t>7160</t>
  </si>
  <si>
    <t>6369</t>
  </si>
  <si>
    <t>Tổ máy phát điện chạy xăng AG-7000XDS</t>
  </si>
  <si>
    <t>51871</t>
  </si>
  <si>
    <t>Thửa đất số 1184, tờ bản đồ số 4, cụm công nghiệp Nguyên Xá, Xã Nguyên Xá, Huyện Đông Hưng, Tỉnh Thái Bình, Việt Nam</t>
  </si>
  <si>
    <t>Số 03, ngõ 157 Pháo Đài Láng, Phường Láng Thượng, Quận Đống Đa, Thành phố Hà Nội, Việt Nam</t>
  </si>
  <si>
    <t>719</t>
  </si>
  <si>
    <t>708</t>
  </si>
  <si>
    <t>64824</t>
  </si>
  <si>
    <t>64801</t>
  </si>
  <si>
    <t>64665</t>
  </si>
  <si>
    <t>57172</t>
  </si>
  <si>
    <t>52881</t>
  </si>
  <si>
    <t>52495</t>
  </si>
  <si>
    <t>52323</t>
  </si>
  <si>
    <t>52227</t>
  </si>
  <si>
    <t>12195</t>
  </si>
  <si>
    <t>2548510</t>
  </si>
  <si>
    <t>2533198</t>
  </si>
  <si>
    <t>2487364</t>
  </si>
  <si>
    <t>2447825</t>
  </si>
  <si>
    <t>2430433</t>
  </si>
  <si>
    <t>2430374</t>
  </si>
  <si>
    <t>2428422</t>
  </si>
  <si>
    <t>2373611</t>
  </si>
  <si>
    <t>2320091</t>
  </si>
  <si>
    <t>2306379</t>
  </si>
  <si>
    <t>2245954</t>
  </si>
  <si>
    <t>2154550</t>
  </si>
  <si>
    <t>2041735</t>
  </si>
  <si>
    <t>2039624</t>
  </si>
  <si>
    <t>904</t>
  </si>
  <si>
    <t>Quạt trần model TLC-QTS-CC công suất 82W</t>
  </si>
  <si>
    <t>850</t>
  </si>
  <si>
    <t>831</t>
  </si>
  <si>
    <t>Ba chạc 90 độCB phun PPR DN 32-25 PN20</t>
  </si>
  <si>
    <t>Nối góc ren trong phun PPR DN20*1/2 PN20</t>
  </si>
  <si>
    <t>Nối thẳng CB phun PPR DN 32-25 PN20</t>
  </si>
  <si>
    <t>Nối thẳng phun PPR DN 32 PN20</t>
  </si>
  <si>
    <t>Zắc co PPR đk 32 PN10</t>
  </si>
  <si>
    <t>Óng PVCĐK 110 C1</t>
  </si>
  <si>
    <t>Ống PVCĐK 90 C1</t>
  </si>
  <si>
    <t>Ống uPVC C1 đk 75 PN6</t>
  </si>
  <si>
    <t>Ống PVCĐK 48 C1</t>
  </si>
  <si>
    <t>Ống PVC ĐK 42 C1</t>
  </si>
  <si>
    <t>Đầu nối cb fun ĐK 110-90 PN6</t>
  </si>
  <si>
    <t>Đầu nối cb fun ĐK 110-76 PN6</t>
  </si>
  <si>
    <t>Nối góc 45 độ phun uPVC DN 90 PN6</t>
  </si>
  <si>
    <t>Nối góc 45 đội đk 75 PN8</t>
  </si>
  <si>
    <t>Đầu bịt ngoài phun uPVC ĐK 90 PN6</t>
  </si>
  <si>
    <t>Đầu bịt ngoài phun uPVC ĐK 75 PN8</t>
  </si>
  <si>
    <t>Cầu dao 1 pha 16A 6kA</t>
  </si>
  <si>
    <t>MCCB BS121/2P25A-BS121/25A</t>
  </si>
  <si>
    <t>1031</t>
  </si>
  <si>
    <t>385</t>
  </si>
  <si>
    <t>384</t>
  </si>
  <si>
    <t>Áp to mát ABN103c 100A 22kA</t>
  </si>
  <si>
    <t>Nhà ông Ngô Quang Ngọc, Tổ dân phố Nam Hải, Phường Hải Thượng, Thị xã Nghi Sơn, Tỉnh Thanh Hoá, Việt Nam</t>
  </si>
  <si>
    <t>1C25THH</t>
  </si>
  <si>
    <t>1528</t>
  </si>
  <si>
    <t>1K25TNS</t>
  </si>
  <si>
    <t>11158</t>
  </si>
  <si>
    <t>0305795054</t>
  </si>
  <si>
    <t>2801583156</t>
  </si>
  <si>
    <t>CÔNG TY TNHH MỘT THÀNH VIÊN XĂNG DẦU DẦU KHÍ THANH HÓA</t>
  </si>
  <si>
    <t>Số 180 đường Tống Duy Tân, Phường Lam Sơn, Thành phố Thanh Hóa, tỉnh Thanh Hóa, Việt Nam</t>
  </si>
  <si>
    <t>650</t>
  </si>
  <si>
    <t>Số 155 Lê Hồng Phong, Phường Ba Đình, Thành phố Thanh Hoá, Tỉnh Thanh Hoá, Việt Nam</t>
  </si>
  <si>
    <t>MCCB SBE 103b/3P100A-SBE103B/100</t>
  </si>
  <si>
    <t>MCB PS45N/3P40A-PS45N/C340</t>
  </si>
  <si>
    <t>649</t>
  </si>
  <si>
    <t>5840</t>
  </si>
  <si>
    <t>5256</t>
  </si>
  <si>
    <t>5009</t>
  </si>
  <si>
    <t>4542</t>
  </si>
  <si>
    <t>4355</t>
  </si>
  <si>
    <t>133160</t>
  </si>
  <si>
    <t>40244</t>
  </si>
  <si>
    <t>Đèn led chiếu pha 20w, model CP01-20W/G03</t>
  </si>
  <si>
    <t>Bóng led tích điện TD125, model TD125-0.45AH/G01</t>
  </si>
  <si>
    <t>40138</t>
  </si>
  <si>
    <t>1C25TSH</t>
  </si>
  <si>
    <t>423</t>
  </si>
  <si>
    <t>0305726678</t>
  </si>
  <si>
    <t>CÔNG TY TNHH THƯƠNG MẠI DỊCH VỤ THIẾT BỊ ĐIỆN SƠN HẢI</t>
  </si>
  <si>
    <t>273 Huỳnh Tấn Phát, Phường Tân Thuận Đông, Quận 7, Thành phố Hồ Chí Minh</t>
  </si>
  <si>
    <t>232453</t>
  </si>
  <si>
    <t>0314420012</t>
  </si>
  <si>
    <t>Số 664 Bà Triệu, Phường Điện Biên, Thành phố Thanh Hóa, Tỉnh Thanh Hóa, Việt Nam</t>
  </si>
  <si>
    <t>510</t>
  </si>
  <si>
    <t>3481</t>
  </si>
  <si>
    <t>3415</t>
  </si>
  <si>
    <t>3095</t>
  </si>
  <si>
    <t>Áp to mát ABN203c150A 30kA</t>
  </si>
  <si>
    <t>51739</t>
  </si>
  <si>
    <t>47532</t>
  </si>
  <si>
    <t>40020</t>
  </si>
  <si>
    <t>39998</t>
  </si>
  <si>
    <t>5743</t>
  </si>
  <si>
    <t>2009351</t>
  </si>
  <si>
    <t>1983109</t>
  </si>
  <si>
    <t>1982987</t>
  </si>
  <si>
    <t>1869288</t>
  </si>
  <si>
    <t>1869047</t>
  </si>
  <si>
    <t>1819406</t>
  </si>
  <si>
    <t>1818184</t>
  </si>
  <si>
    <t>1784184</t>
  </si>
  <si>
    <t>1751787</t>
  </si>
  <si>
    <t>1734033</t>
  </si>
  <si>
    <t>1717124</t>
  </si>
  <si>
    <t>1709366</t>
  </si>
  <si>
    <t>1698947</t>
  </si>
  <si>
    <t>1695175</t>
  </si>
  <si>
    <t>1695095</t>
  </si>
  <si>
    <t>1670722</t>
  </si>
  <si>
    <t>1661536</t>
  </si>
  <si>
    <t>1618219</t>
  </si>
  <si>
    <t>1534676</t>
  </si>
  <si>
    <t>1534618</t>
  </si>
  <si>
    <t>1487397</t>
  </si>
  <si>
    <t>622</t>
  </si>
  <si>
    <t>Ống uPVC DN42 PN10 C2</t>
  </si>
  <si>
    <t>Ống PVC ĐK75C2</t>
  </si>
  <si>
    <t>Ba chạc 90 độ phun uPVC DN 34-27 (T-10)</t>
  </si>
  <si>
    <t>Nối thẳng phun ĐK 48 PN10</t>
  </si>
  <si>
    <t>nối thẳng phun uPVC đk 75 PN8</t>
  </si>
  <si>
    <t>Nối góc 45 độ phun uPVC dk 21 PN10</t>
  </si>
  <si>
    <t>Nối góc 45 độ phun uPVC DN 34 PN10</t>
  </si>
  <si>
    <t>Nối góc 45 độ phun uPVC DN 42 PN10</t>
  </si>
  <si>
    <t>Ba chạc 90 độ uPVC DN34 (T-10)</t>
  </si>
  <si>
    <t>Ba chạc 90 độ uPVC DN42 (T-10)</t>
  </si>
  <si>
    <t>TB004HN (val 21 trắng)</t>
  </si>
  <si>
    <t>TB010HN (val 34 trắng)</t>
  </si>
  <si>
    <t>Đầu nối ren ngoài phun uPVC đk 21-1/2" PN10</t>
  </si>
  <si>
    <t>Đầu nối ren ngoài phun uPVC đk 27-/" PN10</t>
  </si>
  <si>
    <t>Bóng led bulb A45N1/3W E27 3000K</t>
  </si>
  <si>
    <t>Bóng led bulb A55N4/5W E27 3000K</t>
  </si>
  <si>
    <t>Bóng led bulb A60N1/9W.H E27 6500K</t>
  </si>
  <si>
    <t>led bulb A120N1/30W E27 6500K SS</t>
  </si>
  <si>
    <t xml:space="preserve"> led bulb TR120N1/40W E27 6500K SS</t>
  </si>
  <si>
    <t>BKD băng keo điện màu đen</t>
  </si>
  <si>
    <t>SN 378-380-382 Quang Trung 1 - Phường Đông Vệ - Thành phố Thanh Hoá - Tỉnh Thanh Hoá</t>
  </si>
  <si>
    <t>Gạch lát KT 300x600</t>
  </si>
  <si>
    <t>Gạch lát 60x60</t>
  </si>
  <si>
    <t>Cáp cu/XLPE/PVC 3x10+1x6</t>
  </si>
  <si>
    <t>Dây Cu/PVC/VCTF 4x4.0</t>
  </si>
  <si>
    <t>hạt công tắc</t>
  </si>
  <si>
    <t>Bóng led trụ nhôm 50W</t>
  </si>
  <si>
    <t>Đèn báo pha (vàng)</t>
  </si>
  <si>
    <t>Ổ 2 chấu S18U2</t>
  </si>
  <si>
    <t>Mặt 2 lỗ S182/x</t>
  </si>
  <si>
    <t>1073</t>
  </si>
  <si>
    <t>4289</t>
  </si>
  <si>
    <t>3429</t>
  </si>
  <si>
    <t>1C25TKP</t>
  </si>
  <si>
    <t>máy mài cầm tay dùng điện công suất 950W</t>
  </si>
  <si>
    <t>2301018861</t>
  </si>
  <si>
    <t>CÔNG TY TNHH THƯƠNG MẠI DỊCH VỤ HÙNG KHÁNH PHÁT</t>
  </si>
  <si>
    <t>NR ông Lê Văn Hùng, thôn Móng Làng, Xã Hoàn Sơn, Huyện Tiên Du, Tỉnh Bắc Ninh, Việt Nam</t>
  </si>
  <si>
    <t>máy mài cầm tay dùng điện công suất 860W</t>
  </si>
  <si>
    <t>1K25THN</t>
  </si>
  <si>
    <t>298307</t>
  </si>
  <si>
    <t>0311609355</t>
  </si>
  <si>
    <t>0311609355-001</t>
  </si>
  <si>
    <t>Chi Nhánh Công Ty Cổ Phần Bán Lẻ Kỹ Thuật Số FPT Tại Hà Nội</t>
  </si>
  <si>
    <t>Tầng 6, Tòa nhà Zodiac, Ngõ 19, Phố Duy Tân, Phường Dịch Vọng Hậu, Quận Cầu Giấy, Thành phố Hà Nội, Việt Nam</t>
  </si>
  <si>
    <t>6669</t>
  </si>
  <si>
    <t>Quốc lộ 1A, tổ dân phố Dục Tú, Thị trấn Tân Phong, Huyện Quảng Xương, Tỉnh Thanh Hoá, Việt Nam</t>
  </si>
  <si>
    <t>406</t>
  </si>
  <si>
    <t>28555</t>
  </si>
  <si>
    <t>26915</t>
  </si>
  <si>
    <t>4104</t>
  </si>
  <si>
    <t>1435285</t>
  </si>
  <si>
    <t>1435136</t>
  </si>
  <si>
    <t>1430372</t>
  </si>
  <si>
    <t>1430367</t>
  </si>
  <si>
    <t>1417877</t>
  </si>
  <si>
    <t>1296914</t>
  </si>
  <si>
    <t>1231910</t>
  </si>
  <si>
    <t>575</t>
  </si>
  <si>
    <t>375</t>
  </si>
  <si>
    <t>1557</t>
  </si>
  <si>
    <t>1C25TQK</t>
  </si>
  <si>
    <t>2301263616</t>
  </si>
  <si>
    <t>CÔNG TY TNHH XUẤT NHẬP KHẨU QUỐC KHÁNH GROUP</t>
  </si>
  <si>
    <t>Thôn Làng Móng, Xã Hoàn Sơn, Huyện Tiên Du, Tỉnh Bắc Ninh, Việt Nam</t>
  </si>
  <si>
    <t>Máy hàn hồ quang dùng điện KPTS 250A</t>
  </si>
  <si>
    <t>1K25THA</t>
  </si>
  <si>
    <t>599481</t>
  </si>
  <si>
    <t>0106869738-020</t>
  </si>
  <si>
    <t>Trung Tâm Kinh doanh VNPT-Thanh Hóa-Chi nhánh Tổng công ty Dịch vụ Viễn thông</t>
  </si>
  <si>
    <t>1K25TBA</t>
  </si>
  <si>
    <t>36531</t>
  </si>
  <si>
    <t>36508</t>
  </si>
  <si>
    <t>24631</t>
  </si>
  <si>
    <t>14231</t>
  </si>
  <si>
    <t>13853</t>
  </si>
  <si>
    <t>13781</t>
  </si>
  <si>
    <t>13723</t>
  </si>
  <si>
    <t>2562</t>
  </si>
  <si>
    <t>893093</t>
  </si>
  <si>
    <t>814850</t>
  </si>
  <si>
    <t>814849</t>
  </si>
  <si>
    <t>579519</t>
  </si>
  <si>
    <t>1K25TAA</t>
  </si>
  <si>
    <t>1480</t>
  </si>
  <si>
    <t>3600252847</t>
  </si>
  <si>
    <t>2803009571</t>
  </si>
  <si>
    <t>CÔNG TY TNHH THACO AUTO THANH HÓA</t>
  </si>
  <si>
    <t>Số 759, đường Bà Triệu, Phường Trường Thi, Thành Phố Thanh Hóa, Tỉnh Thanh Hóa, Việt Nam</t>
  </si>
  <si>
    <t>333</t>
  </si>
  <si>
    <t>915</t>
  </si>
  <si>
    <t>696</t>
  </si>
  <si>
    <t>388</t>
  </si>
  <si>
    <t>1429</t>
  </si>
  <si>
    <t>257460</t>
  </si>
  <si>
    <t>1C25TBH</t>
  </si>
  <si>
    <t>0103085460-026</t>
  </si>
  <si>
    <t>CÔNG TY BẢO HIỂM BSH THANH HÓA</t>
  </si>
  <si>
    <t>Số 58, đường Đội Cung, phường Đông Thọ, thành phố Thanh Hóa, tỉnh Thanh Hóa</t>
  </si>
  <si>
    <t>1C25TMS</t>
  </si>
  <si>
    <t>26384</t>
  </si>
  <si>
    <t>Công ty cổ phần MISA</t>
  </si>
  <si>
    <t>Tầng 9 Tòa nhà Technosoft, Phố Duy Tân, Phường Dịch Vọng Hậu, Quận Cầu Giấy, Thành Phố Hà Nội</t>
  </si>
  <si>
    <t>819</t>
  </si>
  <si>
    <t>618</t>
  </si>
  <si>
    <t>586</t>
  </si>
  <si>
    <t>365</t>
  </si>
  <si>
    <t>233</t>
  </si>
  <si>
    <t>1568</t>
  </si>
  <si>
    <t>1315</t>
  </si>
  <si>
    <t>11852</t>
  </si>
  <si>
    <t>591</t>
  </si>
  <si>
    <t>191218</t>
  </si>
  <si>
    <t>1K24TCA</t>
  </si>
  <si>
    <t>147107</t>
  </si>
  <si>
    <t>145027</t>
  </si>
  <si>
    <t>135292</t>
  </si>
  <si>
    <t>135285</t>
  </si>
  <si>
    <t>134678</t>
  </si>
  <si>
    <t>134617</t>
  </si>
  <si>
    <t>134612</t>
  </si>
  <si>
    <t>134585</t>
  </si>
  <si>
    <t>134457</t>
  </si>
  <si>
    <t>134221</t>
  </si>
  <si>
    <t>134197</t>
  </si>
  <si>
    <t>134012</t>
  </si>
  <si>
    <t>1K24TEA</t>
  </si>
  <si>
    <t>20345</t>
  </si>
  <si>
    <t>6624161</t>
  </si>
  <si>
    <t>6457810</t>
  </si>
  <si>
    <t>Quý</t>
  </si>
  <si>
    <t>Thuế</t>
  </si>
  <si>
    <t>CÔNG TY CỔ PHẦN THƯƠNG MẠI, DỊCH VỤ VÀ QUẢNG CÁO 5 ART</t>
  </si>
  <si>
    <t>2802800501</t>
  </si>
  <si>
    <t>CÔNG TY TNHH CHUNG PHÁT NGHI SƠN</t>
  </si>
  <si>
    <t>2802536825</t>
  </si>
  <si>
    <t>CÔNG TY TNHH KIẾN TRÚC XÂY DỰNG THƯƠNG MẠI VIỆT TUẤN</t>
  </si>
  <si>
    <t>0314902672</t>
  </si>
  <si>
    <t>CÔNG TY CỔ PHẦN ĐẦU TƯ SẢN XUẤT VÀ THƯƠNG MẠI LHD</t>
  </si>
  <si>
    <t>2802402363</t>
  </si>
  <si>
    <t>CÔNG TY CỔ PHẦN XÂY DỰNG VÀ THƯƠNG MẠI VNG</t>
  </si>
  <si>
    <t>2802502382</t>
  </si>
  <si>
    <t>CÔNG TY TNHH XÂY DỰNG CƯỜNG HÀ</t>
  </si>
  <si>
    <t>2801945889</t>
  </si>
  <si>
    <t>CÔNG TY CỔ PHẦN THƯƠNG MẠI DỊCH VỤ VÀ QUẢNG CÁO 5 ART</t>
  </si>
  <si>
    <t>CÔNG TY TNHH XÂY DỰNG VÀ DỊCH VỤ THƯƠNG MẠI TIẾN THÀNH NGHI SƠN</t>
  </si>
  <si>
    <t>2802156816</t>
  </si>
  <si>
    <t>CÔNG TY TNHH XÂY DỰNG VÀ DỊCH VỤ THƯƠNG MẠI TIẾN THÀNH - NGHI SƠN</t>
  </si>
  <si>
    <t>CÔNG TY TNHH DỊCH VỤ KỸ THUẬT THANH PHONG</t>
  </si>
  <si>
    <t>2803015335</t>
  </si>
  <si>
    <t>CÔNG TY TNHH NAM LONG ĐÔNG HỒI</t>
  </si>
  <si>
    <t>2902066299</t>
  </si>
  <si>
    <t>CÔNG TY TNHH DỊCH VỤ QUẢNG CÁO VÀ THƯƠNG MẠI TỔNG HỢP GIA BẢO</t>
  </si>
  <si>
    <t>2803123676</t>
  </si>
  <si>
    <t>Công ty TNHH xây dựng Cường Hà</t>
  </si>
  <si>
    <t>Công ty TNHH Kiến Trúc Xây Dựng Thương Mại Việt Tuấn</t>
  </si>
  <si>
    <t>CÔNG TY TNHH ĐẦU TƯ XÂY DỰNG THƯƠNG MẠI HƯNG HOÀNG PHÁT 36</t>
  </si>
  <si>
    <t>2803109576</t>
  </si>
  <si>
    <t>cv</t>
  </si>
  <si>
    <t>CÔNG TY TNHH THƯƠNG MẠI VÀ DỊCH VỤ KỸ THUẬT GTMS</t>
  </si>
  <si>
    <t>0316076904</t>
  </si>
  <si>
    <t>TRƯỜNG THCS VÀ THPT NGHI SƠN</t>
  </si>
  <si>
    <t>2802147762</t>
  </si>
  <si>
    <t>TRẦN BÌNH THOAN</t>
  </si>
  <si>
    <t>038084008602</t>
  </si>
  <si>
    <t>CÔNG TY CỔ PHẦN ĐẦU TƯ VÀ XÂY DỰNG CMC HÀ NỘI</t>
  </si>
  <si>
    <t>0106356461</t>
  </si>
  <si>
    <t>CÔNG TY CỔ PHẦN MÔI TRƯỜNG VÀ CÔNG TRÌNH ĐÔ THỊ NGHỆ AN</t>
  </si>
  <si>
    <t>2900326985</t>
  </si>
  <si>
    <t>NGUYỄN THỊ GẤM</t>
  </si>
  <si>
    <t>8000907628</t>
  </si>
  <si>
    <t>CÔNG TY TNHH ĐỨC TRỌNG NGHI SƠN</t>
  </si>
  <si>
    <t>2802810901</t>
  </si>
  <si>
    <t>CÔNG TY TNHH DỊCH VỤ THƯƠNG MẠI TÂN HIỆP PHÁT</t>
  </si>
  <si>
    <t>2802808613</t>
  </si>
  <si>
    <t>CÔNG TY CỔ PHẦN  KỸ THUẬT ROTES</t>
  </si>
  <si>
    <t>0801350969</t>
  </si>
  <si>
    <t>Công Ty TNHH Thương Mại, Dịch Vụ và Thiết Bị Điện Duy Phát Lợi</t>
  </si>
  <si>
    <t>2801845387</t>
  </si>
  <si>
    <t>Công Ty TNHH Chung Phát Nghi Sơn</t>
  </si>
  <si>
    <t>CÔNG TY TNHH DỊCH VỤ HÀNG HẢI TRIỆU ANH</t>
  </si>
  <si>
    <t>5700608787</t>
  </si>
  <si>
    <t>CÔNG TY TNHH ĐẦU TƯ XÂY DỰNG MEC VIỆT NAM</t>
  </si>
  <si>
    <t>2802933558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</si>
</sst>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"/>
      <name val="VNI-Times"/>
    </font>
  </fonts>
  <fills count="6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22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165" fontId="0" fillId="5" borderId="1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22" fontId="0" fillId="2" borderId="0" xfId="0" applyNumberFormat="1" applyFill="1" applyAlignment="1">
      <alignment wrapText="1"/>
    </xf>
    <xf numFmtId="0" fontId="3" fillId="3" borderId="1" xfId="0" applyFont="1" applyFill="1" applyBorder="1" applyAlignment="1">
      <alignment vertical="center" wrapText="1"/>
    </xf>
    <xf numFmtId="3" fontId="0" fillId="2" borderId="0" xfId="0" applyNumberFormat="1" applyFill="1" applyAlignment="1">
      <alignment wrapText="1"/>
    </xf>
    <xf numFmtId="165" fontId="0" fillId="2" borderId="0" xfId="1" applyNumberFormat="1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0" fillId="4" borderId="0" xfId="0" applyFill="1" applyAlignment="1">
      <alignment wrapText="1"/>
    </xf>
    <xf numFmtId="22" fontId="0" fillId="4" borderId="0" xfId="0" applyNumberFormat="1" applyFill="1" applyAlignment="1">
      <alignment wrapText="1"/>
    </xf>
    <xf numFmtId="3" fontId="0" fillId="4" borderId="0" xfId="0" applyNumberFormat="1" applyFill="1" applyAlignment="1">
      <alignment wrapText="1"/>
    </xf>
    <xf numFmtId="165" fontId="0" fillId="4" borderId="0" xfId="1" applyNumberFormat="1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22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0" fillId="4" borderId="0" xfId="0" applyFill="1" applyBorder="1" applyAlignment="1">
      <alignment horizontal="center" vertical="center" wrapText="1"/>
    </xf>
  </cellXfs>
  <cellStyles count="2">
    <cellStyle name="Comma 2" xfId="1" xr:uid="{6E9CB124-045D-4F19-9901-D8CC60C3D6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1ABE-0864-456D-9CEC-DABE320789B1}">
  <sheetPr filterMode="1"/>
  <dimension ref="A1:S1628"/>
  <sheetViews>
    <sheetView topLeftCell="A1591" workbookViewId="0">
      <selection activeCell="M1593" sqref="M1593"/>
    </sheetView>
  </sheetViews>
  <sheetFormatPr defaultRowHeight="43" customHeight="1"/>
  <cols>
    <col min="1" max="2" width="8.7265625" style="1"/>
    <col min="3" max="3" width="17.90625" style="1" bestFit="1" customWidth="1"/>
    <col min="4" max="4" width="13.08984375" style="1" customWidth="1"/>
    <col min="5" max="6" width="8.7265625" style="1"/>
    <col min="7" max="7" width="8.7265625" style="2"/>
    <col min="8" max="8" width="18.81640625" style="1" customWidth="1"/>
    <col min="9" max="11" width="8.7265625" style="1"/>
    <col min="12" max="12" width="17.1796875" style="3" bestFit="1" customWidth="1"/>
    <col min="13" max="16" width="8.7265625" style="1"/>
    <col min="17" max="17" width="12.7265625" style="1" customWidth="1"/>
    <col min="18" max="18" width="8.7265625" style="1"/>
    <col min="19" max="19" width="14.7265625" style="1" customWidth="1"/>
    <col min="20" max="16384" width="8.7265625" style="1"/>
  </cols>
  <sheetData>
    <row r="1" spans="1:19" ht="43" customHeight="1">
      <c r="J1" s="3">
        <f>SUBTOTAL(9,J2:J1628)</f>
        <v>22129.2775</v>
      </c>
      <c r="L1" s="3">
        <f>SUBTOTAL(9,L2:L1628)</f>
        <v>949934761.88999999</v>
      </c>
      <c r="S1" s="3">
        <f>SUBTOTAL(9,S2:S1628)</f>
        <v>82827202.989351019</v>
      </c>
    </row>
    <row r="2" spans="1:19" s="5" customFormat="1" ht="43" customHeight="1">
      <c r="A2" s="5" t="s">
        <v>2046</v>
      </c>
      <c r="B2" s="5" t="s">
        <v>0</v>
      </c>
      <c r="C2" s="5" t="s">
        <v>1</v>
      </c>
      <c r="D2" s="5" t="s">
        <v>2047</v>
      </c>
      <c r="E2" s="5" t="s">
        <v>2048</v>
      </c>
      <c r="F2" s="5" t="s">
        <v>2</v>
      </c>
      <c r="G2" s="6" t="s">
        <v>2049</v>
      </c>
      <c r="H2" s="5" t="s">
        <v>3</v>
      </c>
      <c r="I2" s="5" t="s">
        <v>4</v>
      </c>
      <c r="J2" s="5" t="s">
        <v>5</v>
      </c>
      <c r="K2" s="5" t="s">
        <v>6</v>
      </c>
      <c r="L2" s="7" t="s">
        <v>7</v>
      </c>
      <c r="M2" s="5" t="s">
        <v>8</v>
      </c>
      <c r="N2" s="5" t="s">
        <v>9</v>
      </c>
      <c r="O2" s="5" t="s">
        <v>2051</v>
      </c>
      <c r="P2" s="5" t="s">
        <v>2052</v>
      </c>
      <c r="Q2" s="5" t="s">
        <v>12</v>
      </c>
      <c r="R2" s="5" t="s">
        <v>3046</v>
      </c>
      <c r="S2" s="5" t="s">
        <v>3047</v>
      </c>
    </row>
    <row r="3" spans="1:19" ht="43" hidden="1" customHeight="1">
      <c r="A3" s="1" t="s">
        <v>2072</v>
      </c>
      <c r="B3" s="1" t="s">
        <v>1294</v>
      </c>
      <c r="C3" s="29">
        <v>46021.613942164397</v>
      </c>
      <c r="D3" s="1" t="s">
        <v>3052</v>
      </c>
      <c r="E3" s="1" t="s">
        <v>3053</v>
      </c>
      <c r="F3" s="1">
        <v>9</v>
      </c>
      <c r="G3" s="12" t="s">
        <v>1542</v>
      </c>
      <c r="H3" s="1" t="s">
        <v>1476</v>
      </c>
      <c r="I3" s="1" t="s">
        <v>130</v>
      </c>
      <c r="J3" s="30">
        <v>2</v>
      </c>
      <c r="K3" s="30">
        <v>40000</v>
      </c>
      <c r="L3" s="31">
        <v>80000</v>
      </c>
      <c r="M3" s="1" t="s">
        <v>16</v>
      </c>
      <c r="N3" s="1" t="s">
        <v>17</v>
      </c>
      <c r="O3" s="1" t="s">
        <v>2057</v>
      </c>
      <c r="P3" s="1" t="s">
        <v>2056</v>
      </c>
      <c r="Q3" s="1" t="s">
        <v>1474</v>
      </c>
      <c r="R3" s="1">
        <f t="shared" ref="R3:R66" si="0">ROUNDUP(MONTH(Q3)/3,0)</f>
        <v>4</v>
      </c>
      <c r="S3" s="4">
        <f>J3*K3*M3</f>
        <v>6400</v>
      </c>
    </row>
    <row r="4" spans="1:19" ht="43" hidden="1" customHeight="1">
      <c r="A4" s="1" t="s">
        <v>2280</v>
      </c>
      <c r="B4" s="1" t="s">
        <v>1400</v>
      </c>
      <c r="C4" s="29">
        <v>45990.721094398097</v>
      </c>
      <c r="D4" s="1" t="s">
        <v>3052</v>
      </c>
      <c r="E4" s="1" t="s">
        <v>3053</v>
      </c>
      <c r="F4" s="1">
        <v>48</v>
      </c>
      <c r="G4" s="12" t="s">
        <v>1542</v>
      </c>
      <c r="H4" s="1" t="s">
        <v>1542</v>
      </c>
      <c r="I4" s="1" t="s">
        <v>1259</v>
      </c>
      <c r="J4" s="30">
        <v>5</v>
      </c>
      <c r="K4" s="30">
        <v>65000</v>
      </c>
      <c r="L4" s="31">
        <v>325000</v>
      </c>
      <c r="M4" s="1" t="s">
        <v>16</v>
      </c>
      <c r="N4" s="1" t="s">
        <v>17</v>
      </c>
      <c r="O4" s="1" t="s">
        <v>2057</v>
      </c>
      <c r="P4" s="1" t="s">
        <v>2056</v>
      </c>
      <c r="Q4" s="1" t="s">
        <v>1531</v>
      </c>
      <c r="R4" s="1">
        <f t="shared" si="0"/>
        <v>4</v>
      </c>
      <c r="S4" s="4">
        <f>J4*K4*M4</f>
        <v>26000</v>
      </c>
    </row>
    <row r="5" spans="1:19" ht="43" hidden="1" customHeight="1">
      <c r="A5" s="1" t="s">
        <v>2280</v>
      </c>
      <c r="B5" s="1" t="s">
        <v>120</v>
      </c>
      <c r="C5" s="29">
        <v>45838.621748888901</v>
      </c>
      <c r="D5" s="1" t="s">
        <v>3052</v>
      </c>
      <c r="E5" s="1" t="s">
        <v>3053</v>
      </c>
      <c r="F5" s="1">
        <v>15</v>
      </c>
      <c r="G5" s="12" t="s">
        <v>1828</v>
      </c>
      <c r="H5" s="1" t="s">
        <v>1828</v>
      </c>
      <c r="I5" s="1" t="s">
        <v>130</v>
      </c>
      <c r="J5" s="30">
        <v>14</v>
      </c>
      <c r="K5" s="30">
        <v>35000</v>
      </c>
      <c r="L5" s="31">
        <v>490000</v>
      </c>
      <c r="M5" s="1" t="s">
        <v>16</v>
      </c>
      <c r="N5" s="1" t="s">
        <v>17</v>
      </c>
      <c r="O5" s="1" t="s">
        <v>2057</v>
      </c>
      <c r="P5" s="1" t="s">
        <v>2056</v>
      </c>
      <c r="Q5" s="1" t="s">
        <v>828</v>
      </c>
      <c r="R5" s="1">
        <f t="shared" si="0"/>
        <v>2</v>
      </c>
      <c r="S5" s="4">
        <f>J5*K5*M5</f>
        <v>39200</v>
      </c>
    </row>
    <row r="6" spans="1:19" ht="43" hidden="1" customHeight="1">
      <c r="A6" s="1" t="s">
        <v>2280</v>
      </c>
      <c r="B6" s="1" t="s">
        <v>1462</v>
      </c>
      <c r="C6" s="29">
        <v>45928.944135983802</v>
      </c>
      <c r="D6" s="1" t="s">
        <v>3052</v>
      </c>
      <c r="E6" s="1" t="s">
        <v>3053</v>
      </c>
      <c r="F6" s="1">
        <v>1</v>
      </c>
      <c r="G6" s="12" t="s">
        <v>1599</v>
      </c>
      <c r="H6" s="1" t="s">
        <v>1599</v>
      </c>
      <c r="I6" s="1" t="s">
        <v>130</v>
      </c>
      <c r="J6" s="30">
        <v>4</v>
      </c>
      <c r="K6" s="30">
        <v>4650000</v>
      </c>
      <c r="L6" s="31">
        <v>18600000</v>
      </c>
      <c r="M6" s="1" t="s">
        <v>16</v>
      </c>
      <c r="N6" s="1" t="s">
        <v>17</v>
      </c>
      <c r="O6" s="1" t="s">
        <v>2057</v>
      </c>
      <c r="P6" s="1" t="s">
        <v>2056</v>
      </c>
      <c r="Q6" s="1" t="s">
        <v>546</v>
      </c>
      <c r="R6" s="1">
        <f t="shared" si="0"/>
        <v>3</v>
      </c>
      <c r="S6" s="4">
        <f>J6*K6*M6</f>
        <v>1488000</v>
      </c>
    </row>
    <row r="7" spans="1:19" ht="43" hidden="1" customHeight="1">
      <c r="A7" s="1" t="s">
        <v>2280</v>
      </c>
      <c r="B7" s="1" t="s">
        <v>120</v>
      </c>
      <c r="C7" s="29">
        <v>45838.621748888901</v>
      </c>
      <c r="D7" s="1" t="s">
        <v>3052</v>
      </c>
      <c r="E7" s="1" t="s">
        <v>3053</v>
      </c>
      <c r="F7" s="1">
        <v>38</v>
      </c>
      <c r="G7" s="12" t="s">
        <v>1599</v>
      </c>
      <c r="H7" s="1" t="s">
        <v>1599</v>
      </c>
      <c r="I7" s="1" t="s">
        <v>130</v>
      </c>
      <c r="J7" s="30">
        <v>1</v>
      </c>
      <c r="K7" s="30">
        <v>1000000</v>
      </c>
      <c r="L7" s="31">
        <v>1000000</v>
      </c>
      <c r="M7" s="1" t="s">
        <v>16</v>
      </c>
      <c r="N7" s="1" t="s">
        <v>17</v>
      </c>
      <c r="O7" s="1" t="s">
        <v>2057</v>
      </c>
      <c r="P7" s="1" t="s">
        <v>2056</v>
      </c>
      <c r="Q7" s="1" t="s">
        <v>828</v>
      </c>
      <c r="R7" s="1">
        <f t="shared" si="0"/>
        <v>2</v>
      </c>
      <c r="S7" s="4">
        <f>J7*K7*M7</f>
        <v>80000</v>
      </c>
    </row>
    <row r="8" spans="1:19" ht="43" hidden="1" customHeight="1">
      <c r="A8" s="1" t="s">
        <v>2280</v>
      </c>
      <c r="B8" s="1" t="s">
        <v>120</v>
      </c>
      <c r="C8" s="29">
        <v>45838.621748888901</v>
      </c>
      <c r="D8" s="1" t="s">
        <v>3052</v>
      </c>
      <c r="E8" s="1" t="s">
        <v>3053</v>
      </c>
      <c r="F8" s="1">
        <v>19</v>
      </c>
      <c r="G8" s="12" t="s">
        <v>993</v>
      </c>
      <c r="H8" s="1" t="s">
        <v>993</v>
      </c>
      <c r="I8" s="1" t="s">
        <v>130</v>
      </c>
      <c r="J8" s="30">
        <v>8</v>
      </c>
      <c r="K8" s="30">
        <v>65000</v>
      </c>
      <c r="L8" s="31">
        <v>520000</v>
      </c>
      <c r="M8" s="1" t="s">
        <v>16</v>
      </c>
      <c r="N8" s="1" t="s">
        <v>17</v>
      </c>
      <c r="O8" s="1" t="s">
        <v>2057</v>
      </c>
      <c r="P8" s="1" t="s">
        <v>2056</v>
      </c>
      <c r="Q8" s="1" t="s">
        <v>828</v>
      </c>
      <c r="R8" s="1">
        <f t="shared" si="0"/>
        <v>2</v>
      </c>
      <c r="S8" s="4">
        <f>J8*K8*M8</f>
        <v>41600</v>
      </c>
    </row>
    <row r="9" spans="1:19" ht="43" hidden="1" customHeight="1">
      <c r="A9" s="1" t="s">
        <v>2280</v>
      </c>
      <c r="B9" s="1" t="s">
        <v>13</v>
      </c>
      <c r="C9" s="29">
        <v>45776.499996342602</v>
      </c>
      <c r="D9" s="1" t="s">
        <v>3052</v>
      </c>
      <c r="E9" s="1" t="s">
        <v>3053</v>
      </c>
      <c r="F9" s="1">
        <v>6</v>
      </c>
      <c r="G9" s="12" t="s">
        <v>993</v>
      </c>
      <c r="H9" s="1" t="s">
        <v>1925</v>
      </c>
      <c r="I9" s="1" t="s">
        <v>15</v>
      </c>
      <c r="J9" s="30">
        <v>15</v>
      </c>
      <c r="K9" s="30">
        <v>12000</v>
      </c>
      <c r="L9" s="31">
        <v>180000</v>
      </c>
      <c r="M9" s="1" t="s">
        <v>16</v>
      </c>
      <c r="N9" s="1" t="s">
        <v>17</v>
      </c>
      <c r="O9" s="1" t="s">
        <v>2057</v>
      </c>
      <c r="P9" s="1" t="s">
        <v>2056</v>
      </c>
      <c r="Q9" s="1" t="s">
        <v>937</v>
      </c>
      <c r="R9" s="1">
        <f t="shared" si="0"/>
        <v>2</v>
      </c>
      <c r="S9" s="4">
        <f>J9*K9*M9</f>
        <v>14400</v>
      </c>
    </row>
    <row r="10" spans="1:19" ht="43" customHeight="1">
      <c r="A10" s="1" t="s">
        <v>2280</v>
      </c>
      <c r="B10" s="1" t="s">
        <v>119</v>
      </c>
      <c r="C10" s="29">
        <v>45751.363437766202</v>
      </c>
      <c r="D10" s="1" t="s">
        <v>3070</v>
      </c>
      <c r="E10" s="1" t="s">
        <v>3059</v>
      </c>
      <c r="F10" s="1">
        <v>2</v>
      </c>
      <c r="H10" s="1" t="s">
        <v>1985</v>
      </c>
      <c r="I10" s="1" t="s">
        <v>130</v>
      </c>
      <c r="J10" s="30">
        <v>100</v>
      </c>
      <c r="K10" s="30">
        <v>75000</v>
      </c>
      <c r="L10" s="31">
        <v>7500000</v>
      </c>
      <c r="M10" s="1" t="s">
        <v>16</v>
      </c>
      <c r="N10" s="1" t="s">
        <v>17</v>
      </c>
      <c r="O10" s="1" t="s">
        <v>2057</v>
      </c>
      <c r="P10" s="1" t="s">
        <v>2056</v>
      </c>
      <c r="Q10" s="1" t="s">
        <v>1032</v>
      </c>
      <c r="R10" s="1">
        <f t="shared" si="0"/>
        <v>2</v>
      </c>
      <c r="S10" s="4">
        <f>J10*K10*M10</f>
        <v>600000</v>
      </c>
    </row>
    <row r="11" spans="1:19" ht="43" customHeight="1">
      <c r="A11" s="1" t="s">
        <v>2280</v>
      </c>
      <c r="B11" s="1" t="s">
        <v>119</v>
      </c>
      <c r="C11" s="29">
        <v>45751.363437766202</v>
      </c>
      <c r="D11" s="1" t="s">
        <v>3070</v>
      </c>
      <c r="E11" s="1" t="s">
        <v>3059</v>
      </c>
      <c r="F11" s="1">
        <v>1</v>
      </c>
      <c r="H11" s="1" t="s">
        <v>1984</v>
      </c>
      <c r="I11" s="1" t="s">
        <v>130</v>
      </c>
      <c r="J11" s="30">
        <v>10</v>
      </c>
      <c r="K11" s="30">
        <v>110000</v>
      </c>
      <c r="L11" s="31">
        <v>1100000</v>
      </c>
      <c r="M11" s="1" t="s">
        <v>16</v>
      </c>
      <c r="N11" s="1" t="s">
        <v>17</v>
      </c>
      <c r="O11" s="1" t="s">
        <v>2057</v>
      </c>
      <c r="P11" s="1" t="s">
        <v>2056</v>
      </c>
      <c r="Q11" s="1" t="s">
        <v>1032</v>
      </c>
      <c r="R11" s="1">
        <f t="shared" si="0"/>
        <v>2</v>
      </c>
      <c r="S11" s="4">
        <f>J11*K11*M11</f>
        <v>88000</v>
      </c>
    </row>
    <row r="12" spans="1:19" ht="43" hidden="1" customHeight="1">
      <c r="A12" s="1" t="s">
        <v>2280</v>
      </c>
      <c r="B12" s="1" t="s">
        <v>152</v>
      </c>
      <c r="C12" s="29">
        <v>45836.413450243097</v>
      </c>
      <c r="D12" s="1" t="s">
        <v>3052</v>
      </c>
      <c r="E12" s="1" t="s">
        <v>3053</v>
      </c>
      <c r="F12" s="1">
        <v>10</v>
      </c>
      <c r="G12" s="12" t="s">
        <v>1001</v>
      </c>
      <c r="H12" s="1" t="s">
        <v>1852</v>
      </c>
      <c r="I12" s="1" t="s">
        <v>130</v>
      </c>
      <c r="J12" s="30">
        <v>100</v>
      </c>
      <c r="K12" s="30">
        <v>10000</v>
      </c>
      <c r="L12" s="31">
        <v>1000000</v>
      </c>
      <c r="M12" s="1" t="s">
        <v>16</v>
      </c>
      <c r="N12" s="1" t="s">
        <v>17</v>
      </c>
      <c r="O12" s="1" t="s">
        <v>2057</v>
      </c>
      <c r="P12" s="1" t="s">
        <v>2056</v>
      </c>
      <c r="Q12" s="1" t="s">
        <v>845</v>
      </c>
      <c r="R12" s="1">
        <f t="shared" si="0"/>
        <v>2</v>
      </c>
      <c r="S12" s="4">
        <f>J12*K12*M12</f>
        <v>80000</v>
      </c>
    </row>
    <row r="13" spans="1:19" ht="43" hidden="1" customHeight="1">
      <c r="A13" s="1" t="s">
        <v>2280</v>
      </c>
      <c r="B13" s="1" t="s">
        <v>1295</v>
      </c>
      <c r="C13" s="29">
        <v>45807.7287575347</v>
      </c>
      <c r="D13" s="1" t="s">
        <v>3052</v>
      </c>
      <c r="E13" s="1" t="s">
        <v>3053</v>
      </c>
      <c r="F13" s="1">
        <v>4</v>
      </c>
      <c r="G13" s="12" t="s">
        <v>1001</v>
      </c>
      <c r="H13" s="1" t="s">
        <v>1852</v>
      </c>
      <c r="I13" s="1" t="s">
        <v>130</v>
      </c>
      <c r="J13" s="30">
        <v>70</v>
      </c>
      <c r="K13" s="30">
        <v>10000</v>
      </c>
      <c r="L13" s="31">
        <v>700000</v>
      </c>
      <c r="M13" s="1" t="s">
        <v>16</v>
      </c>
      <c r="N13" s="1" t="s">
        <v>17</v>
      </c>
      <c r="O13" s="1" t="s">
        <v>2057</v>
      </c>
      <c r="P13" s="1" t="s">
        <v>2056</v>
      </c>
      <c r="Q13" s="1" t="s">
        <v>925</v>
      </c>
      <c r="R13" s="1">
        <f t="shared" si="0"/>
        <v>2</v>
      </c>
      <c r="S13" s="4">
        <f>J13*K13*M13</f>
        <v>56000</v>
      </c>
    </row>
    <row r="14" spans="1:19" ht="43" hidden="1" customHeight="1">
      <c r="A14" s="1" t="s">
        <v>2280</v>
      </c>
      <c r="B14" s="1" t="s">
        <v>1462</v>
      </c>
      <c r="C14" s="29">
        <v>45928.944135983802</v>
      </c>
      <c r="D14" s="1" t="s">
        <v>3052</v>
      </c>
      <c r="E14" s="1" t="s">
        <v>3053</v>
      </c>
      <c r="F14" s="1">
        <v>38</v>
      </c>
      <c r="G14" s="12" t="s">
        <v>562</v>
      </c>
      <c r="H14" s="1" t="s">
        <v>1608</v>
      </c>
      <c r="I14" s="1" t="s">
        <v>1279</v>
      </c>
      <c r="J14" s="30">
        <v>200</v>
      </c>
      <c r="K14" s="30">
        <v>12000</v>
      </c>
      <c r="L14" s="31">
        <v>2400000</v>
      </c>
      <c r="M14" s="1" t="s">
        <v>16</v>
      </c>
      <c r="N14" s="1" t="s">
        <v>17</v>
      </c>
      <c r="O14" s="1" t="s">
        <v>2057</v>
      </c>
      <c r="P14" s="1" t="s">
        <v>2056</v>
      </c>
      <c r="Q14" s="1" t="s">
        <v>546</v>
      </c>
      <c r="R14" s="1">
        <f t="shared" si="0"/>
        <v>3</v>
      </c>
      <c r="S14" s="4">
        <f>J14*K14*M14</f>
        <v>192000</v>
      </c>
    </row>
    <row r="15" spans="1:19" ht="43" hidden="1" customHeight="1">
      <c r="A15" s="1" t="s">
        <v>2280</v>
      </c>
      <c r="B15" s="1" t="s">
        <v>1420</v>
      </c>
      <c r="C15" s="29">
        <v>45866.7486208681</v>
      </c>
      <c r="D15" s="1" t="s">
        <v>3052</v>
      </c>
      <c r="E15" s="1" t="s">
        <v>3053</v>
      </c>
      <c r="F15" s="1">
        <v>20</v>
      </c>
      <c r="G15" s="12" t="s">
        <v>562</v>
      </c>
      <c r="H15" s="1" t="s">
        <v>1608</v>
      </c>
      <c r="I15" s="1" t="s">
        <v>53</v>
      </c>
      <c r="J15" s="30">
        <v>70</v>
      </c>
      <c r="K15" s="30">
        <v>12000</v>
      </c>
      <c r="L15" s="31">
        <v>840000</v>
      </c>
      <c r="M15" s="1" t="s">
        <v>16</v>
      </c>
      <c r="N15" s="1" t="s">
        <v>17</v>
      </c>
      <c r="O15" s="1" t="s">
        <v>2057</v>
      </c>
      <c r="P15" s="1" t="s">
        <v>2056</v>
      </c>
      <c r="Q15" s="1" t="s">
        <v>1763</v>
      </c>
      <c r="R15" s="1">
        <f t="shared" si="0"/>
        <v>3</v>
      </c>
      <c r="S15" s="4">
        <f>J15*K15*M15</f>
        <v>67200</v>
      </c>
    </row>
    <row r="16" spans="1:19" ht="43" hidden="1" customHeight="1">
      <c r="A16" s="1" t="s">
        <v>2280</v>
      </c>
      <c r="B16" s="1" t="s">
        <v>1462</v>
      </c>
      <c r="C16" s="29">
        <v>45928.944135983802</v>
      </c>
      <c r="D16" s="1" t="s">
        <v>3052</v>
      </c>
      <c r="E16" s="1" t="s">
        <v>3053</v>
      </c>
      <c r="F16" s="1">
        <v>39</v>
      </c>
      <c r="G16" s="12" t="s">
        <v>999</v>
      </c>
      <c r="H16" s="1" t="s">
        <v>1609</v>
      </c>
      <c r="I16" s="1" t="s">
        <v>1279</v>
      </c>
      <c r="J16" s="30">
        <v>5</v>
      </c>
      <c r="K16" s="30">
        <v>280000</v>
      </c>
      <c r="L16" s="31">
        <v>1400000</v>
      </c>
      <c r="M16" s="1" t="s">
        <v>16</v>
      </c>
      <c r="N16" s="1" t="s">
        <v>17</v>
      </c>
      <c r="O16" s="1" t="s">
        <v>2057</v>
      </c>
      <c r="P16" s="1" t="s">
        <v>2056</v>
      </c>
      <c r="Q16" s="1" t="s">
        <v>546</v>
      </c>
      <c r="R16" s="1">
        <f t="shared" si="0"/>
        <v>3</v>
      </c>
      <c r="S16" s="4">
        <f>J16*K16*M16</f>
        <v>112000</v>
      </c>
    </row>
    <row r="17" spans="1:19" ht="43" hidden="1" customHeight="1">
      <c r="A17" s="1" t="s">
        <v>2280</v>
      </c>
      <c r="B17" s="1" t="s">
        <v>1462</v>
      </c>
      <c r="C17" s="29">
        <v>45928.944135983802</v>
      </c>
      <c r="D17" s="1" t="s">
        <v>3052</v>
      </c>
      <c r="E17" s="1" t="s">
        <v>3053</v>
      </c>
      <c r="F17" s="1">
        <v>40</v>
      </c>
      <c r="G17" s="12" t="s">
        <v>999</v>
      </c>
      <c r="H17" s="1" t="s">
        <v>1609</v>
      </c>
      <c r="I17" s="1" t="s">
        <v>1279</v>
      </c>
      <c r="J17" s="30">
        <v>5</v>
      </c>
      <c r="K17" s="30">
        <v>150000</v>
      </c>
      <c r="L17" s="31">
        <v>750000</v>
      </c>
      <c r="M17" s="1" t="s">
        <v>16</v>
      </c>
      <c r="N17" s="1" t="s">
        <v>17</v>
      </c>
      <c r="O17" s="1" t="s">
        <v>2057</v>
      </c>
      <c r="P17" s="1" t="s">
        <v>2056</v>
      </c>
      <c r="Q17" s="1" t="s">
        <v>546</v>
      </c>
      <c r="R17" s="1">
        <f t="shared" si="0"/>
        <v>3</v>
      </c>
      <c r="S17" s="4">
        <f>J17*K17*M17</f>
        <v>60000</v>
      </c>
    </row>
    <row r="18" spans="1:19" ht="43" hidden="1" customHeight="1">
      <c r="A18" s="1" t="s">
        <v>2280</v>
      </c>
      <c r="B18" s="1" t="s">
        <v>1420</v>
      </c>
      <c r="C18" s="29">
        <v>45866.7486208681</v>
      </c>
      <c r="D18" s="1" t="s">
        <v>3052</v>
      </c>
      <c r="E18" s="1" t="s">
        <v>3053</v>
      </c>
      <c r="F18" s="1">
        <v>19</v>
      </c>
      <c r="G18" s="12" t="s">
        <v>999</v>
      </c>
      <c r="H18" s="1" t="s">
        <v>1609</v>
      </c>
      <c r="I18" s="1" t="s">
        <v>1279</v>
      </c>
      <c r="J18" s="30">
        <v>10</v>
      </c>
      <c r="K18" s="30">
        <v>280000</v>
      </c>
      <c r="L18" s="31">
        <v>2800000</v>
      </c>
      <c r="M18" s="1" t="s">
        <v>16</v>
      </c>
      <c r="N18" s="1" t="s">
        <v>17</v>
      </c>
      <c r="O18" s="1" t="s">
        <v>2057</v>
      </c>
      <c r="P18" s="1" t="s">
        <v>2056</v>
      </c>
      <c r="Q18" s="1" t="s">
        <v>1763</v>
      </c>
      <c r="R18" s="1">
        <f t="shared" si="0"/>
        <v>3</v>
      </c>
      <c r="S18" s="4">
        <f>J18*K18*M18</f>
        <v>224000</v>
      </c>
    </row>
    <row r="19" spans="1:19" ht="43" hidden="1" customHeight="1">
      <c r="A19" s="1" t="s">
        <v>2072</v>
      </c>
      <c r="B19" s="1" t="s">
        <v>1294</v>
      </c>
      <c r="C19" s="29">
        <v>46021.613942164397</v>
      </c>
      <c r="D19" s="1" t="s">
        <v>3052</v>
      </c>
      <c r="E19" s="1" t="s">
        <v>3053</v>
      </c>
      <c r="F19" s="1">
        <v>31</v>
      </c>
      <c r="G19" s="12" t="s">
        <v>562</v>
      </c>
      <c r="H19" s="1" t="s">
        <v>562</v>
      </c>
      <c r="I19" s="1" t="s">
        <v>1279</v>
      </c>
      <c r="J19" s="30">
        <v>120</v>
      </c>
      <c r="K19" s="30">
        <v>15000</v>
      </c>
      <c r="L19" s="31">
        <v>1800000</v>
      </c>
      <c r="M19" s="1" t="s">
        <v>16</v>
      </c>
      <c r="N19" s="1" t="s">
        <v>17</v>
      </c>
      <c r="O19" s="1" t="s">
        <v>2057</v>
      </c>
      <c r="P19" s="1" t="s">
        <v>2056</v>
      </c>
      <c r="Q19" s="1" t="s">
        <v>1474</v>
      </c>
      <c r="R19" s="1">
        <f t="shared" si="0"/>
        <v>4</v>
      </c>
      <c r="S19" s="4">
        <f>J19*K19*M19</f>
        <v>144000</v>
      </c>
    </row>
    <row r="20" spans="1:19" ht="43" hidden="1" customHeight="1">
      <c r="A20" s="1" t="s">
        <v>2280</v>
      </c>
      <c r="B20" s="1" t="s">
        <v>1400</v>
      </c>
      <c r="C20" s="29">
        <v>45990.721094398097</v>
      </c>
      <c r="D20" s="1" t="s">
        <v>3052</v>
      </c>
      <c r="E20" s="1" t="s">
        <v>3053</v>
      </c>
      <c r="F20" s="1">
        <v>23</v>
      </c>
      <c r="G20" s="12" t="s">
        <v>562</v>
      </c>
      <c r="H20" s="1" t="s">
        <v>562</v>
      </c>
      <c r="I20" s="1" t="s">
        <v>1279</v>
      </c>
      <c r="J20" s="30">
        <v>144</v>
      </c>
      <c r="K20" s="30">
        <v>15000</v>
      </c>
      <c r="L20" s="31">
        <v>2160000</v>
      </c>
      <c r="M20" s="1" t="s">
        <v>16</v>
      </c>
      <c r="N20" s="1" t="s">
        <v>17</v>
      </c>
      <c r="O20" s="1" t="s">
        <v>2057</v>
      </c>
      <c r="P20" s="1" t="s">
        <v>2056</v>
      </c>
      <c r="Q20" s="1" t="s">
        <v>1531</v>
      </c>
      <c r="R20" s="1">
        <f t="shared" si="0"/>
        <v>4</v>
      </c>
      <c r="S20" s="4">
        <f>J20*K20*M20</f>
        <v>172800</v>
      </c>
    </row>
    <row r="21" spans="1:19" ht="43" hidden="1" customHeight="1">
      <c r="A21" s="1" t="s">
        <v>2280</v>
      </c>
      <c r="B21" s="1" t="s">
        <v>120</v>
      </c>
      <c r="C21" s="29">
        <v>45838.621748888901</v>
      </c>
      <c r="D21" s="1" t="s">
        <v>3052</v>
      </c>
      <c r="E21" s="1" t="s">
        <v>3053</v>
      </c>
      <c r="F21" s="1">
        <v>14</v>
      </c>
      <c r="G21" s="12" t="s">
        <v>2261</v>
      </c>
      <c r="H21" s="1" t="s">
        <v>1827</v>
      </c>
      <c r="I21" s="1" t="s">
        <v>130</v>
      </c>
      <c r="J21" s="30">
        <v>3</v>
      </c>
      <c r="K21" s="30">
        <v>350000</v>
      </c>
      <c r="L21" s="31">
        <v>1050000</v>
      </c>
      <c r="M21" s="1" t="s">
        <v>16</v>
      </c>
      <c r="N21" s="1" t="s">
        <v>17</v>
      </c>
      <c r="O21" s="1" t="s">
        <v>2057</v>
      </c>
      <c r="P21" s="1" t="s">
        <v>2056</v>
      </c>
      <c r="Q21" s="1" t="s">
        <v>828</v>
      </c>
      <c r="R21" s="1">
        <f t="shared" si="0"/>
        <v>2</v>
      </c>
      <c r="S21" s="4">
        <f>J21*K21*M21</f>
        <v>84000</v>
      </c>
    </row>
    <row r="22" spans="1:19" ht="43" customHeight="1">
      <c r="A22" s="1" t="s">
        <v>2280</v>
      </c>
      <c r="B22" s="1" t="s">
        <v>13</v>
      </c>
      <c r="C22" s="29">
        <v>45776.499996342602</v>
      </c>
      <c r="D22" s="1" t="s">
        <v>3052</v>
      </c>
      <c r="E22" s="1" t="s">
        <v>3053</v>
      </c>
      <c r="F22" s="1">
        <v>40</v>
      </c>
      <c r="H22" s="1" t="s">
        <v>1950</v>
      </c>
      <c r="I22" s="1" t="s">
        <v>130</v>
      </c>
      <c r="J22" s="30">
        <v>15</v>
      </c>
      <c r="K22" s="30">
        <v>355000</v>
      </c>
      <c r="L22" s="31">
        <v>5325000</v>
      </c>
      <c r="M22" s="1" t="s">
        <v>16</v>
      </c>
      <c r="N22" s="1" t="s">
        <v>17</v>
      </c>
      <c r="O22" s="1" t="s">
        <v>2057</v>
      </c>
      <c r="P22" s="1" t="s">
        <v>2056</v>
      </c>
      <c r="Q22" s="1" t="s">
        <v>937</v>
      </c>
      <c r="R22" s="1">
        <f t="shared" si="0"/>
        <v>2</v>
      </c>
      <c r="S22" s="4">
        <f>J22*K22*M22</f>
        <v>426000</v>
      </c>
    </row>
    <row r="23" spans="1:19" ht="43" customHeight="1">
      <c r="A23" s="1" t="s">
        <v>2280</v>
      </c>
      <c r="B23" s="1" t="s">
        <v>1295</v>
      </c>
      <c r="C23" s="29">
        <v>45807.7287575347</v>
      </c>
      <c r="D23" s="1" t="s">
        <v>3052</v>
      </c>
      <c r="E23" s="1" t="s">
        <v>3053</v>
      </c>
      <c r="F23" s="1">
        <v>21</v>
      </c>
      <c r="H23" s="1" t="s">
        <v>1889</v>
      </c>
      <c r="I23" s="1" t="s">
        <v>130</v>
      </c>
      <c r="J23" s="30">
        <v>10</v>
      </c>
      <c r="K23" s="30">
        <v>355000</v>
      </c>
      <c r="L23" s="31">
        <v>3550000</v>
      </c>
      <c r="M23" s="1" t="s">
        <v>16</v>
      </c>
      <c r="N23" s="1" t="s">
        <v>17</v>
      </c>
      <c r="O23" s="1" t="s">
        <v>2057</v>
      </c>
      <c r="P23" s="1" t="s">
        <v>2056</v>
      </c>
      <c r="Q23" s="1" t="s">
        <v>925</v>
      </c>
      <c r="R23" s="1">
        <f t="shared" si="0"/>
        <v>2</v>
      </c>
      <c r="S23" s="4">
        <f>J23*K23*M23</f>
        <v>284000</v>
      </c>
    </row>
    <row r="24" spans="1:19" ht="43" customHeight="1">
      <c r="A24" s="1" t="s">
        <v>2280</v>
      </c>
      <c r="B24" s="1" t="s">
        <v>1315</v>
      </c>
      <c r="C24" s="29">
        <v>45747.658940451402</v>
      </c>
      <c r="D24" s="1" t="s">
        <v>3071</v>
      </c>
      <c r="E24" s="1" t="s">
        <v>3053</v>
      </c>
      <c r="F24" s="1">
        <v>25</v>
      </c>
      <c r="H24" s="1" t="s">
        <v>2018</v>
      </c>
      <c r="I24" s="1" t="s">
        <v>130</v>
      </c>
      <c r="J24" s="30">
        <v>6</v>
      </c>
      <c r="K24" s="30">
        <v>410000</v>
      </c>
      <c r="L24" s="31">
        <v>2460000</v>
      </c>
      <c r="M24" s="1" t="s">
        <v>30</v>
      </c>
      <c r="N24" s="1" t="s">
        <v>17</v>
      </c>
      <c r="O24" s="1" t="s">
        <v>2057</v>
      </c>
      <c r="P24" s="1" t="s">
        <v>2056</v>
      </c>
      <c r="Q24" s="1" t="s">
        <v>42</v>
      </c>
      <c r="R24" s="1">
        <f t="shared" si="0"/>
        <v>1</v>
      </c>
      <c r="S24" s="4">
        <f>J24*K24*M24</f>
        <v>246000</v>
      </c>
    </row>
    <row r="25" spans="1:19" ht="43" customHeight="1">
      <c r="A25" s="1" t="s">
        <v>2280</v>
      </c>
      <c r="B25" s="1" t="s">
        <v>1315</v>
      </c>
      <c r="C25" s="29">
        <v>45747.658940451402</v>
      </c>
      <c r="D25" s="1" t="s">
        <v>3071</v>
      </c>
      <c r="E25" s="1" t="s">
        <v>3053</v>
      </c>
      <c r="F25" s="1">
        <v>26</v>
      </c>
      <c r="G25" s="33"/>
      <c r="H25" s="1" t="s">
        <v>2019</v>
      </c>
      <c r="I25" s="1" t="s">
        <v>130</v>
      </c>
      <c r="J25" s="30">
        <v>3</v>
      </c>
      <c r="K25" s="30">
        <v>950000</v>
      </c>
      <c r="L25" s="31">
        <v>2850000</v>
      </c>
      <c r="M25" s="1" t="s">
        <v>30</v>
      </c>
      <c r="N25" s="1" t="s">
        <v>17</v>
      </c>
      <c r="O25" s="1" t="s">
        <v>2057</v>
      </c>
      <c r="P25" s="1" t="s">
        <v>2056</v>
      </c>
      <c r="Q25" s="1" t="s">
        <v>42</v>
      </c>
      <c r="R25" s="1">
        <f t="shared" si="0"/>
        <v>1</v>
      </c>
      <c r="S25" s="4">
        <f>J25*K25*M25</f>
        <v>285000</v>
      </c>
    </row>
    <row r="26" spans="1:19" ht="43" customHeight="1">
      <c r="A26" s="1" t="s">
        <v>2280</v>
      </c>
      <c r="B26" s="1" t="s">
        <v>13</v>
      </c>
      <c r="C26" s="29">
        <v>45776.499996342602</v>
      </c>
      <c r="D26" s="1" t="s">
        <v>3052</v>
      </c>
      <c r="E26" s="1" t="s">
        <v>3053</v>
      </c>
      <c r="F26" s="1">
        <v>43</v>
      </c>
      <c r="H26" s="1" t="s">
        <v>1952</v>
      </c>
      <c r="I26" s="1" t="s">
        <v>130</v>
      </c>
      <c r="J26" s="30">
        <v>5</v>
      </c>
      <c r="K26" s="30">
        <v>950000</v>
      </c>
      <c r="L26" s="31">
        <v>4750000</v>
      </c>
      <c r="M26" s="1" t="s">
        <v>16</v>
      </c>
      <c r="N26" s="1" t="s">
        <v>17</v>
      </c>
      <c r="O26" s="1" t="s">
        <v>2057</v>
      </c>
      <c r="P26" s="1" t="s">
        <v>2056</v>
      </c>
      <c r="Q26" s="1" t="s">
        <v>937</v>
      </c>
      <c r="R26" s="1">
        <f t="shared" si="0"/>
        <v>2</v>
      </c>
      <c r="S26" s="4">
        <f>J26*K26*M26</f>
        <v>380000</v>
      </c>
    </row>
    <row r="27" spans="1:19" ht="43" customHeight="1">
      <c r="A27" s="1" t="s">
        <v>2280</v>
      </c>
      <c r="B27" s="1" t="s">
        <v>13</v>
      </c>
      <c r="C27" s="29">
        <v>45776.499996342602</v>
      </c>
      <c r="D27" s="1" t="s">
        <v>3052</v>
      </c>
      <c r="E27" s="1" t="s">
        <v>3053</v>
      </c>
      <c r="F27" s="1">
        <v>44</v>
      </c>
      <c r="H27" s="1" t="s">
        <v>1953</v>
      </c>
      <c r="I27" s="1" t="s">
        <v>130</v>
      </c>
      <c r="J27" s="30">
        <v>5</v>
      </c>
      <c r="K27" s="30">
        <v>650000</v>
      </c>
      <c r="L27" s="31">
        <v>3250000</v>
      </c>
      <c r="M27" s="1" t="s">
        <v>16</v>
      </c>
      <c r="N27" s="1" t="s">
        <v>17</v>
      </c>
      <c r="O27" s="1" t="s">
        <v>2057</v>
      </c>
      <c r="P27" s="1" t="s">
        <v>2056</v>
      </c>
      <c r="Q27" s="1" t="s">
        <v>937</v>
      </c>
      <c r="R27" s="1">
        <f t="shared" si="0"/>
        <v>2</v>
      </c>
      <c r="S27" s="4">
        <f>J27*K27*M27</f>
        <v>260000</v>
      </c>
    </row>
    <row r="28" spans="1:19" ht="43" customHeight="1">
      <c r="A28" s="1" t="s">
        <v>2280</v>
      </c>
      <c r="B28" s="1" t="s">
        <v>120</v>
      </c>
      <c r="C28" s="29">
        <v>45838.621748888901</v>
      </c>
      <c r="D28" s="1" t="s">
        <v>3052</v>
      </c>
      <c r="E28" s="1" t="s">
        <v>3053</v>
      </c>
      <c r="F28" s="1">
        <v>36</v>
      </c>
      <c r="H28" s="1" t="s">
        <v>1836</v>
      </c>
      <c r="I28" s="1" t="s">
        <v>130</v>
      </c>
      <c r="J28" s="30">
        <v>9</v>
      </c>
      <c r="K28" s="30">
        <v>390000</v>
      </c>
      <c r="L28" s="31">
        <v>3510000</v>
      </c>
      <c r="M28" s="1" t="s">
        <v>16</v>
      </c>
      <c r="N28" s="1" t="s">
        <v>17</v>
      </c>
      <c r="O28" s="1" t="s">
        <v>2057</v>
      </c>
      <c r="P28" s="1" t="s">
        <v>2056</v>
      </c>
      <c r="Q28" s="1" t="s">
        <v>828</v>
      </c>
      <c r="R28" s="1">
        <f t="shared" si="0"/>
        <v>2</v>
      </c>
      <c r="S28" s="4">
        <f>J28*K28*M28</f>
        <v>280800</v>
      </c>
    </row>
    <row r="29" spans="1:19" ht="43" customHeight="1">
      <c r="A29" s="1" t="s">
        <v>2280</v>
      </c>
      <c r="B29" s="1" t="s">
        <v>1412</v>
      </c>
      <c r="C29" s="29">
        <v>45898.896986157401</v>
      </c>
      <c r="D29" s="1" t="s">
        <v>3052</v>
      </c>
      <c r="E29" s="1" t="s">
        <v>3053</v>
      </c>
      <c r="F29" s="1">
        <v>29</v>
      </c>
      <c r="H29" s="1" t="s">
        <v>1683</v>
      </c>
      <c r="I29" s="1" t="s">
        <v>130</v>
      </c>
      <c r="J29" s="30">
        <v>3</v>
      </c>
      <c r="K29" s="30">
        <v>480000</v>
      </c>
      <c r="L29" s="31">
        <v>1440000</v>
      </c>
      <c r="M29" s="1" t="s">
        <v>16</v>
      </c>
      <c r="N29" s="1" t="s">
        <v>17</v>
      </c>
      <c r="O29" s="1" t="s">
        <v>2057</v>
      </c>
      <c r="P29" s="1" t="s">
        <v>2056</v>
      </c>
      <c r="Q29" s="1" t="s">
        <v>652</v>
      </c>
      <c r="R29" s="1">
        <f t="shared" si="0"/>
        <v>3</v>
      </c>
      <c r="S29" s="4">
        <f>J29*K29*M29</f>
        <v>115200</v>
      </c>
    </row>
    <row r="30" spans="1:19" ht="43" hidden="1" customHeight="1">
      <c r="A30" s="1" t="s">
        <v>2280</v>
      </c>
      <c r="B30" s="1" t="s">
        <v>1467</v>
      </c>
      <c r="C30" s="29">
        <v>45928.732318564798</v>
      </c>
      <c r="D30" s="1" t="s">
        <v>3052</v>
      </c>
      <c r="E30" s="1" t="s">
        <v>3053</v>
      </c>
      <c r="F30" s="1">
        <v>56</v>
      </c>
      <c r="G30" s="12" t="s">
        <v>2261</v>
      </c>
      <c r="H30" s="1" t="s">
        <v>1631</v>
      </c>
      <c r="I30" s="1" t="s">
        <v>130</v>
      </c>
      <c r="J30" s="30">
        <v>15</v>
      </c>
      <c r="K30" s="30">
        <v>350000</v>
      </c>
      <c r="L30" s="31">
        <v>5250000</v>
      </c>
      <c r="M30" s="1" t="s">
        <v>16</v>
      </c>
      <c r="N30" s="1" t="s">
        <v>17</v>
      </c>
      <c r="O30" s="1" t="s">
        <v>2057</v>
      </c>
      <c r="P30" s="1" t="s">
        <v>2056</v>
      </c>
      <c r="Q30" s="1" t="s">
        <v>546</v>
      </c>
      <c r="R30" s="1">
        <f t="shared" si="0"/>
        <v>3</v>
      </c>
      <c r="S30" s="4">
        <f>J30*K30*M30</f>
        <v>420000</v>
      </c>
    </row>
    <row r="31" spans="1:19" ht="43" hidden="1" customHeight="1">
      <c r="A31" s="1" t="s">
        <v>2280</v>
      </c>
      <c r="B31" s="1" t="s">
        <v>1412</v>
      </c>
      <c r="C31" s="29">
        <v>45898.896986157401</v>
      </c>
      <c r="D31" s="1" t="s">
        <v>3052</v>
      </c>
      <c r="E31" s="1" t="s">
        <v>3053</v>
      </c>
      <c r="F31" s="1">
        <v>7</v>
      </c>
      <c r="G31" s="12" t="s">
        <v>1625</v>
      </c>
      <c r="H31" s="1" t="s">
        <v>1664</v>
      </c>
      <c r="I31" s="1" t="s">
        <v>130</v>
      </c>
      <c r="J31" s="30">
        <v>1</v>
      </c>
      <c r="K31" s="30">
        <v>110000</v>
      </c>
      <c r="L31" s="31">
        <v>110000</v>
      </c>
      <c r="M31" s="1" t="s">
        <v>16</v>
      </c>
      <c r="N31" s="1" t="s">
        <v>17</v>
      </c>
      <c r="O31" s="1" t="s">
        <v>2057</v>
      </c>
      <c r="P31" s="1" t="s">
        <v>2056</v>
      </c>
      <c r="Q31" s="1" t="s">
        <v>652</v>
      </c>
      <c r="R31" s="1">
        <f t="shared" si="0"/>
        <v>3</v>
      </c>
      <c r="S31" s="4">
        <f>J31*K31*M31</f>
        <v>8800</v>
      </c>
    </row>
    <row r="32" spans="1:19" ht="43" hidden="1" customHeight="1">
      <c r="A32" s="1" t="s">
        <v>2280</v>
      </c>
      <c r="B32" s="1" t="s">
        <v>1412</v>
      </c>
      <c r="C32" s="29">
        <v>45898.896986157401</v>
      </c>
      <c r="D32" s="1" t="s">
        <v>3052</v>
      </c>
      <c r="E32" s="1" t="s">
        <v>3053</v>
      </c>
      <c r="F32" s="1">
        <v>20</v>
      </c>
      <c r="G32" s="12" t="s">
        <v>982</v>
      </c>
      <c r="H32" s="1" t="s">
        <v>1674</v>
      </c>
      <c r="I32" s="1" t="s">
        <v>130</v>
      </c>
      <c r="J32" s="30">
        <v>2</v>
      </c>
      <c r="K32" s="30">
        <v>3000</v>
      </c>
      <c r="L32" s="31">
        <v>6000</v>
      </c>
      <c r="M32" s="1" t="s">
        <v>16</v>
      </c>
      <c r="N32" s="1" t="s">
        <v>17</v>
      </c>
      <c r="O32" s="1" t="s">
        <v>2057</v>
      </c>
      <c r="P32" s="1" t="s">
        <v>2056</v>
      </c>
      <c r="Q32" s="1" t="s">
        <v>652</v>
      </c>
      <c r="R32" s="1">
        <f t="shared" si="0"/>
        <v>3</v>
      </c>
      <c r="S32" s="4">
        <f>J32*K32*M32</f>
        <v>480</v>
      </c>
    </row>
    <row r="33" spans="1:19" ht="43" hidden="1" customHeight="1">
      <c r="A33" s="1" t="s">
        <v>2280</v>
      </c>
      <c r="B33" s="1" t="s">
        <v>1467</v>
      </c>
      <c r="C33" s="29">
        <v>45928.732318564798</v>
      </c>
      <c r="D33" s="1" t="s">
        <v>3052</v>
      </c>
      <c r="E33" s="1" t="s">
        <v>3053</v>
      </c>
      <c r="F33" s="1">
        <v>40</v>
      </c>
      <c r="G33" s="12" t="s">
        <v>1625</v>
      </c>
      <c r="H33" s="1" t="s">
        <v>1625</v>
      </c>
      <c r="I33" s="1" t="s">
        <v>130</v>
      </c>
      <c r="J33" s="30">
        <v>4</v>
      </c>
      <c r="K33" s="30">
        <v>58346</v>
      </c>
      <c r="L33" s="31">
        <v>233384</v>
      </c>
      <c r="M33" s="1" t="s">
        <v>16</v>
      </c>
      <c r="N33" s="1" t="s">
        <v>17</v>
      </c>
      <c r="O33" s="1" t="s">
        <v>2057</v>
      </c>
      <c r="P33" s="1" t="s">
        <v>2056</v>
      </c>
      <c r="Q33" s="1" t="s">
        <v>546</v>
      </c>
      <c r="R33" s="1">
        <f t="shared" si="0"/>
        <v>3</v>
      </c>
      <c r="S33" s="4">
        <f>J33*K33*M33</f>
        <v>18670.72</v>
      </c>
    </row>
    <row r="34" spans="1:19" ht="43" hidden="1" customHeight="1">
      <c r="A34" s="1" t="s">
        <v>2280</v>
      </c>
      <c r="B34" s="1" t="s">
        <v>1295</v>
      </c>
      <c r="C34" s="29">
        <v>45807.7287575347</v>
      </c>
      <c r="D34" s="1" t="s">
        <v>3052</v>
      </c>
      <c r="E34" s="1" t="s">
        <v>3053</v>
      </c>
      <c r="F34" s="1">
        <v>10</v>
      </c>
      <c r="G34" s="12" t="s">
        <v>1886</v>
      </c>
      <c r="H34" s="1" t="s">
        <v>1886</v>
      </c>
      <c r="I34" s="1" t="s">
        <v>130</v>
      </c>
      <c r="J34" s="30">
        <v>1</v>
      </c>
      <c r="K34" s="30">
        <v>50000</v>
      </c>
      <c r="L34" s="31">
        <v>50000</v>
      </c>
      <c r="M34" s="1" t="s">
        <v>16</v>
      </c>
      <c r="N34" s="1" t="s">
        <v>17</v>
      </c>
      <c r="O34" s="1" t="s">
        <v>2057</v>
      </c>
      <c r="P34" s="1" t="s">
        <v>2056</v>
      </c>
      <c r="Q34" s="1" t="s">
        <v>925</v>
      </c>
      <c r="R34" s="1">
        <f t="shared" si="0"/>
        <v>2</v>
      </c>
      <c r="S34" s="4">
        <f>J34*K34*M34</f>
        <v>4000</v>
      </c>
    </row>
    <row r="35" spans="1:19" ht="43" hidden="1" customHeight="1">
      <c r="A35" s="1" t="s">
        <v>2280</v>
      </c>
      <c r="B35" s="1" t="s">
        <v>13</v>
      </c>
      <c r="C35" s="29">
        <v>45776.499996342602</v>
      </c>
      <c r="D35" s="1" t="s">
        <v>3052</v>
      </c>
      <c r="E35" s="1" t="s">
        <v>3053</v>
      </c>
      <c r="F35" s="1">
        <v>38</v>
      </c>
      <c r="G35" s="12" t="s">
        <v>948</v>
      </c>
      <c r="H35" s="1" t="s">
        <v>1949</v>
      </c>
      <c r="I35" s="1" t="s">
        <v>15</v>
      </c>
      <c r="J35" s="30">
        <v>3</v>
      </c>
      <c r="K35" s="30">
        <v>25000</v>
      </c>
      <c r="L35" s="31">
        <v>75000</v>
      </c>
      <c r="M35" s="1" t="s">
        <v>16</v>
      </c>
      <c r="N35" s="1" t="s">
        <v>17</v>
      </c>
      <c r="O35" s="1" t="s">
        <v>2057</v>
      </c>
      <c r="P35" s="1" t="s">
        <v>2056</v>
      </c>
      <c r="Q35" s="1" t="s">
        <v>937</v>
      </c>
      <c r="R35" s="1">
        <f t="shared" si="0"/>
        <v>2</v>
      </c>
      <c r="S35" s="4">
        <f>J35*K35*M35</f>
        <v>6000</v>
      </c>
    </row>
    <row r="36" spans="1:19" ht="43" hidden="1" customHeight="1">
      <c r="A36" s="1" t="s">
        <v>2280</v>
      </c>
      <c r="B36" s="1" t="s">
        <v>1467</v>
      </c>
      <c r="C36" s="29">
        <v>45928.732318564798</v>
      </c>
      <c r="D36" s="1" t="s">
        <v>3052</v>
      </c>
      <c r="E36" s="1" t="s">
        <v>3053</v>
      </c>
      <c r="F36" s="1">
        <v>83</v>
      </c>
      <c r="G36" s="12" t="s">
        <v>1076</v>
      </c>
      <c r="H36" s="1" t="s">
        <v>1076</v>
      </c>
      <c r="I36" s="1" t="s">
        <v>130</v>
      </c>
      <c r="J36" s="30">
        <v>4</v>
      </c>
      <c r="K36" s="30">
        <v>155000</v>
      </c>
      <c r="L36" s="31">
        <v>620000</v>
      </c>
      <c r="M36" s="1" t="s">
        <v>16</v>
      </c>
      <c r="N36" s="1" t="s">
        <v>17</v>
      </c>
      <c r="O36" s="1" t="s">
        <v>2057</v>
      </c>
      <c r="P36" s="1" t="s">
        <v>2056</v>
      </c>
      <c r="Q36" s="1" t="s">
        <v>546</v>
      </c>
      <c r="R36" s="1">
        <f t="shared" si="0"/>
        <v>3</v>
      </c>
      <c r="S36" s="4">
        <f>J36*K36*M36</f>
        <v>49600</v>
      </c>
    </row>
    <row r="37" spans="1:19" ht="43" hidden="1" customHeight="1">
      <c r="A37" s="1" t="s">
        <v>2280</v>
      </c>
      <c r="B37" s="1" t="s">
        <v>13</v>
      </c>
      <c r="C37" s="29">
        <v>45776.499996342602</v>
      </c>
      <c r="D37" s="1" t="s">
        <v>3052</v>
      </c>
      <c r="E37" s="1" t="s">
        <v>3053</v>
      </c>
      <c r="F37" s="1">
        <v>23</v>
      </c>
      <c r="G37" s="12" t="s">
        <v>947</v>
      </c>
      <c r="H37" s="1" t="s">
        <v>1937</v>
      </c>
      <c r="I37" s="1" t="s">
        <v>15</v>
      </c>
      <c r="J37" s="30">
        <v>5</v>
      </c>
      <c r="K37" s="30">
        <v>10000</v>
      </c>
      <c r="L37" s="31">
        <v>50000</v>
      </c>
      <c r="M37" s="1" t="s">
        <v>16</v>
      </c>
      <c r="N37" s="1" t="s">
        <v>17</v>
      </c>
      <c r="O37" s="1" t="s">
        <v>2057</v>
      </c>
      <c r="P37" s="1" t="s">
        <v>2056</v>
      </c>
      <c r="Q37" s="1" t="s">
        <v>937</v>
      </c>
      <c r="R37" s="1">
        <f t="shared" si="0"/>
        <v>2</v>
      </c>
      <c r="S37" s="4">
        <f>J37*K37*M37</f>
        <v>4000</v>
      </c>
    </row>
    <row r="38" spans="1:19" ht="43" hidden="1" customHeight="1">
      <c r="A38" s="1" t="s">
        <v>2280</v>
      </c>
      <c r="B38" s="1" t="s">
        <v>13</v>
      </c>
      <c r="C38" s="29">
        <v>45776.499996342602</v>
      </c>
      <c r="D38" s="1" t="s">
        <v>3052</v>
      </c>
      <c r="E38" s="1" t="s">
        <v>3053</v>
      </c>
      <c r="F38" s="1">
        <v>57</v>
      </c>
      <c r="G38" s="12" t="s">
        <v>1076</v>
      </c>
      <c r="H38" s="1" t="s">
        <v>1963</v>
      </c>
      <c r="I38" s="1" t="s">
        <v>130</v>
      </c>
      <c r="J38" s="30">
        <v>4</v>
      </c>
      <c r="K38" s="30">
        <v>50000</v>
      </c>
      <c r="L38" s="31">
        <v>200000</v>
      </c>
      <c r="M38" s="1" t="s">
        <v>16</v>
      </c>
      <c r="N38" s="1" t="s">
        <v>17</v>
      </c>
      <c r="O38" s="1" t="s">
        <v>2057</v>
      </c>
      <c r="P38" s="1" t="s">
        <v>2056</v>
      </c>
      <c r="Q38" s="1" t="s">
        <v>937</v>
      </c>
      <c r="R38" s="1">
        <f t="shared" si="0"/>
        <v>2</v>
      </c>
      <c r="S38" s="4">
        <f>J38*K38*M38</f>
        <v>16000</v>
      </c>
    </row>
    <row r="39" spans="1:19" ht="43" hidden="1" customHeight="1">
      <c r="A39" s="1" t="s">
        <v>2280</v>
      </c>
      <c r="B39" s="1" t="s">
        <v>13</v>
      </c>
      <c r="C39" s="29">
        <v>45776.499996342602</v>
      </c>
      <c r="D39" s="1" t="s">
        <v>3052</v>
      </c>
      <c r="E39" s="1" t="s">
        <v>3053</v>
      </c>
      <c r="F39" s="1">
        <v>24</v>
      </c>
      <c r="G39" s="12" t="s">
        <v>1570</v>
      </c>
      <c r="H39" s="1" t="s">
        <v>1938</v>
      </c>
      <c r="I39" s="1" t="s">
        <v>15</v>
      </c>
      <c r="J39" s="30">
        <v>3</v>
      </c>
      <c r="K39" s="30">
        <v>30000</v>
      </c>
      <c r="L39" s="31">
        <v>90000</v>
      </c>
      <c r="M39" s="1" t="s">
        <v>16</v>
      </c>
      <c r="N39" s="1" t="s">
        <v>17</v>
      </c>
      <c r="O39" s="1" t="s">
        <v>2057</v>
      </c>
      <c r="P39" s="1" t="s">
        <v>2056</v>
      </c>
      <c r="Q39" s="1" t="s">
        <v>937</v>
      </c>
      <c r="R39" s="1">
        <f t="shared" si="0"/>
        <v>2</v>
      </c>
      <c r="S39" s="4">
        <f>J39*K39*M39</f>
        <v>7200</v>
      </c>
    </row>
    <row r="40" spans="1:19" ht="43" hidden="1" customHeight="1">
      <c r="A40" s="1" t="s">
        <v>2280</v>
      </c>
      <c r="B40" s="1" t="s">
        <v>120</v>
      </c>
      <c r="C40" s="29">
        <v>45838.621748888901</v>
      </c>
      <c r="D40" s="1" t="s">
        <v>3052</v>
      </c>
      <c r="E40" s="1" t="s">
        <v>3053</v>
      </c>
      <c r="F40" s="1">
        <v>8</v>
      </c>
      <c r="G40" s="12" t="s">
        <v>1094</v>
      </c>
      <c r="H40" s="1" t="s">
        <v>1094</v>
      </c>
      <c r="I40" s="1" t="s">
        <v>130</v>
      </c>
      <c r="J40" s="30">
        <v>1</v>
      </c>
      <c r="K40" s="30">
        <v>60000</v>
      </c>
      <c r="L40" s="31">
        <v>60000</v>
      </c>
      <c r="M40" s="1" t="s">
        <v>16</v>
      </c>
      <c r="N40" s="1" t="s">
        <v>17</v>
      </c>
      <c r="O40" s="1" t="s">
        <v>2057</v>
      </c>
      <c r="P40" s="1" t="s">
        <v>2056</v>
      </c>
      <c r="Q40" s="1" t="s">
        <v>828</v>
      </c>
      <c r="R40" s="1">
        <f t="shared" si="0"/>
        <v>2</v>
      </c>
      <c r="S40" s="4">
        <f>J40*K40*M40</f>
        <v>4800</v>
      </c>
    </row>
    <row r="41" spans="1:19" ht="43" hidden="1" customHeight="1">
      <c r="A41" s="1" t="s">
        <v>2280</v>
      </c>
      <c r="B41" s="1" t="s">
        <v>1295</v>
      </c>
      <c r="C41" s="29">
        <v>45807.7287575347</v>
      </c>
      <c r="D41" s="1" t="s">
        <v>3052</v>
      </c>
      <c r="E41" s="1" t="s">
        <v>3053</v>
      </c>
      <c r="F41" s="1">
        <v>22</v>
      </c>
      <c r="G41" s="12" t="s">
        <v>1094</v>
      </c>
      <c r="H41" s="1" t="s">
        <v>1094</v>
      </c>
      <c r="I41" s="1" t="s">
        <v>130</v>
      </c>
      <c r="J41" s="30">
        <v>30</v>
      </c>
      <c r="K41" s="30">
        <v>25000</v>
      </c>
      <c r="L41" s="31">
        <v>750000</v>
      </c>
      <c r="M41" s="1" t="s">
        <v>16</v>
      </c>
      <c r="N41" s="1" t="s">
        <v>17</v>
      </c>
      <c r="O41" s="1" t="s">
        <v>2057</v>
      </c>
      <c r="P41" s="1" t="s">
        <v>2056</v>
      </c>
      <c r="Q41" s="1" t="s">
        <v>925</v>
      </c>
      <c r="R41" s="1">
        <f t="shared" si="0"/>
        <v>2</v>
      </c>
      <c r="S41" s="4">
        <f>J41*K41*M41</f>
        <v>60000</v>
      </c>
    </row>
    <row r="42" spans="1:19" ht="43" hidden="1" customHeight="1">
      <c r="A42" s="1" t="s">
        <v>2072</v>
      </c>
      <c r="B42" s="1" t="s">
        <v>1294</v>
      </c>
      <c r="C42" s="29">
        <v>46021.613942164397</v>
      </c>
      <c r="D42" s="1" t="s">
        <v>3052</v>
      </c>
      <c r="E42" s="1" t="s">
        <v>3053</v>
      </c>
      <c r="F42" s="1">
        <v>24</v>
      </c>
      <c r="G42" s="12" t="s">
        <v>151</v>
      </c>
      <c r="H42" s="1" t="s">
        <v>151</v>
      </c>
      <c r="I42" s="1" t="s">
        <v>130</v>
      </c>
      <c r="J42" s="30">
        <v>20</v>
      </c>
      <c r="K42" s="30">
        <v>9000</v>
      </c>
      <c r="L42" s="31">
        <v>180000</v>
      </c>
      <c r="M42" s="1" t="s">
        <v>16</v>
      </c>
      <c r="N42" s="1" t="s">
        <v>17</v>
      </c>
      <c r="O42" s="1" t="s">
        <v>2057</v>
      </c>
      <c r="P42" s="1" t="s">
        <v>2056</v>
      </c>
      <c r="Q42" s="1" t="s">
        <v>1474</v>
      </c>
      <c r="R42" s="1">
        <f t="shared" si="0"/>
        <v>4</v>
      </c>
      <c r="S42" s="4">
        <f>J42*K42*M42</f>
        <v>14400</v>
      </c>
    </row>
    <row r="43" spans="1:19" ht="43" hidden="1" customHeight="1">
      <c r="A43" s="1" t="s">
        <v>2280</v>
      </c>
      <c r="B43" s="1" t="s">
        <v>1462</v>
      </c>
      <c r="C43" s="29">
        <v>45928.944135983802</v>
      </c>
      <c r="D43" s="1" t="s">
        <v>3052</v>
      </c>
      <c r="E43" s="1" t="s">
        <v>3053</v>
      </c>
      <c r="F43" s="1">
        <v>24</v>
      </c>
      <c r="G43" s="12" t="s">
        <v>151</v>
      </c>
      <c r="H43" s="1" t="s">
        <v>151</v>
      </c>
      <c r="I43" s="1" t="s">
        <v>130</v>
      </c>
      <c r="J43" s="30">
        <v>4</v>
      </c>
      <c r="K43" s="30">
        <v>10000</v>
      </c>
      <c r="L43" s="31">
        <v>40000</v>
      </c>
      <c r="M43" s="1" t="s">
        <v>16</v>
      </c>
      <c r="N43" s="1" t="s">
        <v>17</v>
      </c>
      <c r="O43" s="1" t="s">
        <v>2057</v>
      </c>
      <c r="P43" s="1" t="s">
        <v>2056</v>
      </c>
      <c r="Q43" s="1" t="s">
        <v>546</v>
      </c>
      <c r="R43" s="1">
        <f t="shared" si="0"/>
        <v>3</v>
      </c>
      <c r="S43" s="4">
        <f>J43*K43*M43</f>
        <v>3200</v>
      </c>
    </row>
    <row r="44" spans="1:19" ht="43" hidden="1" customHeight="1">
      <c r="A44" s="1" t="s">
        <v>2280</v>
      </c>
      <c r="B44" s="1" t="s">
        <v>1158</v>
      </c>
      <c r="C44" s="29">
        <v>45868.606624756903</v>
      </c>
      <c r="D44" s="1" t="s">
        <v>3052</v>
      </c>
      <c r="E44" s="1" t="s">
        <v>3053</v>
      </c>
      <c r="F44" s="1">
        <v>8</v>
      </c>
      <c r="G44" s="12" t="s">
        <v>1098</v>
      </c>
      <c r="H44" s="1" t="s">
        <v>1098</v>
      </c>
      <c r="I44" s="1" t="s">
        <v>130</v>
      </c>
      <c r="J44" s="30">
        <v>4</v>
      </c>
      <c r="K44" s="30">
        <v>20000</v>
      </c>
      <c r="L44" s="31">
        <v>80000</v>
      </c>
      <c r="M44" s="1" t="s">
        <v>16</v>
      </c>
      <c r="N44" s="1" t="s">
        <v>17</v>
      </c>
      <c r="O44" s="1" t="s">
        <v>2057</v>
      </c>
      <c r="P44" s="1" t="s">
        <v>2056</v>
      </c>
      <c r="Q44" s="1" t="s">
        <v>800</v>
      </c>
      <c r="R44" s="1">
        <f t="shared" si="0"/>
        <v>3</v>
      </c>
      <c r="S44" s="4">
        <f>J44*K44*M44</f>
        <v>6400</v>
      </c>
    </row>
    <row r="45" spans="1:19" ht="43" hidden="1" customHeight="1">
      <c r="A45" s="1" t="s">
        <v>2280</v>
      </c>
      <c r="B45" s="1" t="s">
        <v>13</v>
      </c>
      <c r="C45" s="29">
        <v>45776.499996342602</v>
      </c>
      <c r="D45" s="1" t="s">
        <v>3052</v>
      </c>
      <c r="E45" s="1" t="s">
        <v>3053</v>
      </c>
      <c r="F45" s="1">
        <v>68</v>
      </c>
      <c r="G45" s="12" t="s">
        <v>1098</v>
      </c>
      <c r="H45" s="1" t="s">
        <v>1971</v>
      </c>
      <c r="I45" s="1" t="s">
        <v>130</v>
      </c>
      <c r="J45" s="30">
        <v>3</v>
      </c>
      <c r="K45" s="30">
        <v>30000</v>
      </c>
      <c r="L45" s="31">
        <v>90000</v>
      </c>
      <c r="M45" s="1" t="s">
        <v>16</v>
      </c>
      <c r="N45" s="1" t="s">
        <v>17</v>
      </c>
      <c r="O45" s="1" t="s">
        <v>2057</v>
      </c>
      <c r="P45" s="1" t="s">
        <v>2056</v>
      </c>
      <c r="Q45" s="1" t="s">
        <v>937</v>
      </c>
      <c r="R45" s="1">
        <f t="shared" si="0"/>
        <v>2</v>
      </c>
      <c r="S45" s="4">
        <f>J45*K45*M45</f>
        <v>7200</v>
      </c>
    </row>
    <row r="46" spans="1:19" ht="43" hidden="1" customHeight="1">
      <c r="A46" s="1" t="s">
        <v>2280</v>
      </c>
      <c r="B46" s="1" t="s">
        <v>326</v>
      </c>
      <c r="C46" s="29">
        <v>45960.658345080999</v>
      </c>
      <c r="D46" s="1" t="s">
        <v>3052</v>
      </c>
      <c r="E46" s="1" t="s">
        <v>3053</v>
      </c>
      <c r="F46" s="1">
        <v>21</v>
      </c>
      <c r="G46" s="12" t="s">
        <v>1570</v>
      </c>
      <c r="H46" s="1" t="s">
        <v>1570</v>
      </c>
      <c r="I46" s="1" t="s">
        <v>130</v>
      </c>
      <c r="J46" s="30">
        <v>2</v>
      </c>
      <c r="K46" s="30">
        <v>36000</v>
      </c>
      <c r="L46" s="31">
        <v>72000</v>
      </c>
      <c r="M46" s="1" t="s">
        <v>16</v>
      </c>
      <c r="N46" s="1" t="s">
        <v>17</v>
      </c>
      <c r="O46" s="1" t="s">
        <v>2057</v>
      </c>
      <c r="P46" s="1" t="s">
        <v>2056</v>
      </c>
      <c r="Q46" s="1" t="s">
        <v>533</v>
      </c>
      <c r="R46" s="1">
        <f t="shared" si="0"/>
        <v>4</v>
      </c>
      <c r="S46" s="4">
        <f>J46*K46*M46</f>
        <v>5760</v>
      </c>
    </row>
    <row r="47" spans="1:19" ht="43" hidden="1" customHeight="1">
      <c r="A47" s="1" t="s">
        <v>2280</v>
      </c>
      <c r="B47" s="1" t="s">
        <v>1295</v>
      </c>
      <c r="C47" s="29">
        <v>45807.7287575347</v>
      </c>
      <c r="D47" s="1" t="s">
        <v>3052</v>
      </c>
      <c r="E47" s="1" t="s">
        <v>3053</v>
      </c>
      <c r="F47" s="1">
        <v>15</v>
      </c>
      <c r="G47" s="12" t="s">
        <v>1570</v>
      </c>
      <c r="H47" s="1" t="s">
        <v>1570</v>
      </c>
      <c r="I47" s="1" t="s">
        <v>130</v>
      </c>
      <c r="J47" s="30">
        <v>30</v>
      </c>
      <c r="K47" s="30">
        <v>25000</v>
      </c>
      <c r="L47" s="31">
        <v>750000</v>
      </c>
      <c r="M47" s="1" t="s">
        <v>16</v>
      </c>
      <c r="N47" s="1" t="s">
        <v>17</v>
      </c>
      <c r="O47" s="1" t="s">
        <v>2057</v>
      </c>
      <c r="P47" s="1" t="s">
        <v>2056</v>
      </c>
      <c r="Q47" s="1" t="s">
        <v>925</v>
      </c>
      <c r="R47" s="1">
        <f t="shared" si="0"/>
        <v>2</v>
      </c>
      <c r="S47" s="4">
        <f>J47*K47*M47</f>
        <v>60000</v>
      </c>
    </row>
    <row r="48" spans="1:19" ht="43" hidden="1" customHeight="1">
      <c r="A48" s="1" t="s">
        <v>2280</v>
      </c>
      <c r="B48" s="1" t="s">
        <v>1462</v>
      </c>
      <c r="C48" s="29">
        <v>45928.944135983802</v>
      </c>
      <c r="D48" s="1" t="s">
        <v>3052</v>
      </c>
      <c r="E48" s="1" t="s">
        <v>3053</v>
      </c>
      <c r="F48" s="1">
        <v>8</v>
      </c>
      <c r="G48" s="12" t="s">
        <v>1602</v>
      </c>
      <c r="H48" s="1" t="s">
        <v>1602</v>
      </c>
      <c r="I48" s="1" t="s">
        <v>130</v>
      </c>
      <c r="J48" s="30">
        <v>2</v>
      </c>
      <c r="K48" s="30">
        <v>110000</v>
      </c>
      <c r="L48" s="31">
        <v>220000</v>
      </c>
      <c r="M48" s="1" t="s">
        <v>16</v>
      </c>
      <c r="N48" s="1" t="s">
        <v>17</v>
      </c>
      <c r="O48" s="1" t="s">
        <v>2057</v>
      </c>
      <c r="P48" s="1" t="s">
        <v>2056</v>
      </c>
      <c r="Q48" s="1" t="s">
        <v>546</v>
      </c>
      <c r="R48" s="1">
        <f t="shared" si="0"/>
        <v>3</v>
      </c>
      <c r="S48" s="4">
        <f>J48*K48*M48</f>
        <v>17600</v>
      </c>
    </row>
    <row r="49" spans="1:19" ht="43" hidden="1" customHeight="1">
      <c r="A49" s="1" t="s">
        <v>2280</v>
      </c>
      <c r="B49" s="1" t="s">
        <v>1467</v>
      </c>
      <c r="C49" s="29">
        <v>45928.732318564798</v>
      </c>
      <c r="D49" s="1" t="s">
        <v>3052</v>
      </c>
      <c r="E49" s="1" t="s">
        <v>3053</v>
      </c>
      <c r="F49" s="1">
        <v>81</v>
      </c>
      <c r="G49" s="12" t="s">
        <v>1602</v>
      </c>
      <c r="H49" s="1" t="s">
        <v>1602</v>
      </c>
      <c r="I49" s="1" t="s">
        <v>130</v>
      </c>
      <c r="J49" s="30">
        <v>14</v>
      </c>
      <c r="K49" s="30">
        <v>38500</v>
      </c>
      <c r="L49" s="31">
        <v>539000</v>
      </c>
      <c r="M49" s="1" t="s">
        <v>16</v>
      </c>
      <c r="N49" s="1" t="s">
        <v>17</v>
      </c>
      <c r="O49" s="1" t="s">
        <v>2057</v>
      </c>
      <c r="P49" s="1" t="s">
        <v>2056</v>
      </c>
      <c r="Q49" s="1" t="s">
        <v>546</v>
      </c>
      <c r="R49" s="1">
        <f t="shared" si="0"/>
        <v>3</v>
      </c>
      <c r="S49" s="4">
        <f>J49*K49*M49</f>
        <v>43120</v>
      </c>
    </row>
    <row r="50" spans="1:19" ht="43" hidden="1" customHeight="1">
      <c r="A50" s="1" t="s">
        <v>2280</v>
      </c>
      <c r="B50" s="1" t="s">
        <v>1420</v>
      </c>
      <c r="C50" s="29">
        <v>45866.7486208681</v>
      </c>
      <c r="D50" s="1" t="s">
        <v>3052</v>
      </c>
      <c r="E50" s="1" t="s">
        <v>3053</v>
      </c>
      <c r="F50" s="1">
        <v>30</v>
      </c>
      <c r="G50" s="12" t="s">
        <v>1602</v>
      </c>
      <c r="H50" s="1" t="s">
        <v>1602</v>
      </c>
      <c r="I50" s="1" t="s">
        <v>130</v>
      </c>
      <c r="J50" s="30">
        <v>8</v>
      </c>
      <c r="K50" s="30">
        <v>40000</v>
      </c>
      <c r="L50" s="31">
        <v>320000</v>
      </c>
      <c r="M50" s="1" t="s">
        <v>16</v>
      </c>
      <c r="N50" s="1" t="s">
        <v>17</v>
      </c>
      <c r="O50" s="1" t="s">
        <v>2057</v>
      </c>
      <c r="P50" s="1" t="s">
        <v>2056</v>
      </c>
      <c r="Q50" s="1" t="s">
        <v>1763</v>
      </c>
      <c r="R50" s="1">
        <f t="shared" si="0"/>
        <v>3</v>
      </c>
      <c r="S50" s="4">
        <f>J50*K50*M50</f>
        <v>25600</v>
      </c>
    </row>
    <row r="51" spans="1:19" ht="43" hidden="1" customHeight="1">
      <c r="A51" s="1" t="s">
        <v>2280</v>
      </c>
      <c r="B51" s="1" t="s">
        <v>120</v>
      </c>
      <c r="C51" s="29">
        <v>45838.621748888901</v>
      </c>
      <c r="D51" s="1" t="s">
        <v>3052</v>
      </c>
      <c r="E51" s="1" t="s">
        <v>3053</v>
      </c>
      <c r="F51" s="1">
        <v>9</v>
      </c>
      <c r="G51" s="12" t="s">
        <v>1602</v>
      </c>
      <c r="H51" s="1" t="s">
        <v>1824</v>
      </c>
      <c r="I51" s="1" t="s">
        <v>130</v>
      </c>
      <c r="J51" s="30">
        <v>1</v>
      </c>
      <c r="K51" s="30">
        <v>70000</v>
      </c>
      <c r="L51" s="31">
        <v>70000</v>
      </c>
      <c r="M51" s="1" t="s">
        <v>16</v>
      </c>
      <c r="N51" s="1" t="s">
        <v>17</v>
      </c>
      <c r="O51" s="1" t="s">
        <v>2057</v>
      </c>
      <c r="P51" s="1" t="s">
        <v>2056</v>
      </c>
      <c r="Q51" s="1" t="s">
        <v>828</v>
      </c>
      <c r="R51" s="1">
        <f t="shared" si="0"/>
        <v>2</v>
      </c>
      <c r="S51" s="4">
        <f>J51*K51*M51</f>
        <v>5600</v>
      </c>
    </row>
    <row r="52" spans="1:19" ht="43" hidden="1" customHeight="1">
      <c r="A52" s="1" t="s">
        <v>2280</v>
      </c>
      <c r="B52" s="1" t="s">
        <v>1462</v>
      </c>
      <c r="C52" s="29">
        <v>45928.944135983802</v>
      </c>
      <c r="D52" s="1" t="s">
        <v>3052</v>
      </c>
      <c r="E52" s="1" t="s">
        <v>3053</v>
      </c>
      <c r="F52" s="1">
        <v>29</v>
      </c>
      <c r="G52" s="12" t="s">
        <v>1344</v>
      </c>
      <c r="H52" s="1" t="s">
        <v>1344</v>
      </c>
      <c r="I52" s="1" t="s">
        <v>130</v>
      </c>
      <c r="J52" s="30">
        <v>1</v>
      </c>
      <c r="K52" s="30">
        <v>25000</v>
      </c>
      <c r="L52" s="31">
        <v>25000</v>
      </c>
      <c r="M52" s="1" t="s">
        <v>16</v>
      </c>
      <c r="N52" s="1" t="s">
        <v>17</v>
      </c>
      <c r="O52" s="1" t="s">
        <v>2057</v>
      </c>
      <c r="P52" s="1" t="s">
        <v>2056</v>
      </c>
      <c r="Q52" s="1" t="s">
        <v>546</v>
      </c>
      <c r="R52" s="1">
        <f t="shared" si="0"/>
        <v>3</v>
      </c>
      <c r="S52" s="4">
        <f>J52*K52*M52</f>
        <v>2000</v>
      </c>
    </row>
    <row r="53" spans="1:19" ht="43" hidden="1" customHeight="1">
      <c r="A53" s="1" t="s">
        <v>2280</v>
      </c>
      <c r="B53" s="1" t="s">
        <v>1467</v>
      </c>
      <c r="C53" s="29">
        <v>45928.732318564798</v>
      </c>
      <c r="D53" s="1" t="s">
        <v>3052</v>
      </c>
      <c r="E53" s="1" t="s">
        <v>3053</v>
      </c>
      <c r="F53" s="1">
        <v>34</v>
      </c>
      <c r="G53" s="12" t="s">
        <v>1344</v>
      </c>
      <c r="H53" s="1" t="s">
        <v>1344</v>
      </c>
      <c r="I53" s="1" t="s">
        <v>130</v>
      </c>
      <c r="J53" s="30">
        <v>4</v>
      </c>
      <c r="K53" s="30">
        <v>9072</v>
      </c>
      <c r="L53" s="31">
        <v>36288</v>
      </c>
      <c r="M53" s="1" t="s">
        <v>16</v>
      </c>
      <c r="N53" s="1" t="s">
        <v>17</v>
      </c>
      <c r="O53" s="1" t="s">
        <v>2057</v>
      </c>
      <c r="P53" s="1" t="s">
        <v>2056</v>
      </c>
      <c r="Q53" s="1" t="s">
        <v>546</v>
      </c>
      <c r="R53" s="1">
        <f t="shared" si="0"/>
        <v>3</v>
      </c>
      <c r="S53" s="4">
        <f>J53*K53*M53</f>
        <v>2903.04</v>
      </c>
    </row>
    <row r="54" spans="1:19" ht="43" hidden="1" customHeight="1">
      <c r="A54" s="1" t="s">
        <v>2280</v>
      </c>
      <c r="B54" s="1" t="s">
        <v>1467</v>
      </c>
      <c r="C54" s="29">
        <v>45928.732318564798</v>
      </c>
      <c r="D54" s="1" t="s">
        <v>3052</v>
      </c>
      <c r="E54" s="1" t="s">
        <v>3053</v>
      </c>
      <c r="F54" s="1">
        <v>42</v>
      </c>
      <c r="G54" s="12" t="s">
        <v>1344</v>
      </c>
      <c r="H54" s="1" t="s">
        <v>1344</v>
      </c>
      <c r="I54" s="1" t="s">
        <v>130</v>
      </c>
      <c r="J54" s="30">
        <v>6</v>
      </c>
      <c r="K54" s="30">
        <v>3024</v>
      </c>
      <c r="L54" s="31">
        <v>18144</v>
      </c>
      <c r="M54" s="1" t="s">
        <v>16</v>
      </c>
      <c r="N54" s="1" t="s">
        <v>17</v>
      </c>
      <c r="O54" s="1" t="s">
        <v>2057</v>
      </c>
      <c r="P54" s="1" t="s">
        <v>2056</v>
      </c>
      <c r="Q54" s="1" t="s">
        <v>546</v>
      </c>
      <c r="R54" s="1">
        <f t="shared" si="0"/>
        <v>3</v>
      </c>
      <c r="S54" s="4">
        <f>J54*K54*M54</f>
        <v>1451.52</v>
      </c>
    </row>
    <row r="55" spans="1:19" ht="43" hidden="1" customHeight="1">
      <c r="A55" s="1" t="s">
        <v>2280</v>
      </c>
      <c r="B55" s="1" t="s">
        <v>13</v>
      </c>
      <c r="C55" s="29">
        <v>45776.499996342602</v>
      </c>
      <c r="D55" s="1" t="s">
        <v>3052</v>
      </c>
      <c r="E55" s="1" t="s">
        <v>3053</v>
      </c>
      <c r="F55" s="1">
        <v>47</v>
      </c>
      <c r="G55" s="12" t="s">
        <v>950</v>
      </c>
      <c r="H55" s="1" t="s">
        <v>1956</v>
      </c>
      <c r="I55" s="1" t="s">
        <v>130</v>
      </c>
      <c r="J55" s="30">
        <v>3</v>
      </c>
      <c r="K55" s="30">
        <v>80000</v>
      </c>
      <c r="L55" s="31">
        <v>240000</v>
      </c>
      <c r="M55" s="1" t="s">
        <v>16</v>
      </c>
      <c r="N55" s="1" t="s">
        <v>17</v>
      </c>
      <c r="O55" s="1" t="s">
        <v>2057</v>
      </c>
      <c r="P55" s="1" t="s">
        <v>2056</v>
      </c>
      <c r="Q55" s="1" t="s">
        <v>937</v>
      </c>
      <c r="R55" s="1">
        <f t="shared" si="0"/>
        <v>2</v>
      </c>
      <c r="S55" s="4">
        <f>J55*K55*M55</f>
        <v>19200</v>
      </c>
    </row>
    <row r="56" spans="1:19" ht="43" hidden="1" customHeight="1">
      <c r="A56" s="1" t="s">
        <v>2280</v>
      </c>
      <c r="B56" s="1" t="s">
        <v>1400</v>
      </c>
      <c r="C56" s="29">
        <v>45990.721094398097</v>
      </c>
      <c r="D56" s="1" t="s">
        <v>3052</v>
      </c>
      <c r="E56" s="1" t="s">
        <v>3053</v>
      </c>
      <c r="F56" s="1">
        <v>49</v>
      </c>
      <c r="G56" s="12" t="s">
        <v>1543</v>
      </c>
      <c r="H56" s="1" t="s">
        <v>1543</v>
      </c>
      <c r="I56" s="1" t="s">
        <v>130</v>
      </c>
      <c r="J56" s="30">
        <v>5</v>
      </c>
      <c r="K56" s="30">
        <v>380000</v>
      </c>
      <c r="L56" s="31">
        <v>1900000</v>
      </c>
      <c r="M56" s="1" t="s">
        <v>16</v>
      </c>
      <c r="N56" s="1" t="s">
        <v>17</v>
      </c>
      <c r="O56" s="1" t="s">
        <v>2057</v>
      </c>
      <c r="P56" s="1" t="s">
        <v>2056</v>
      </c>
      <c r="Q56" s="1" t="s">
        <v>1531</v>
      </c>
      <c r="R56" s="1">
        <f t="shared" si="0"/>
        <v>4</v>
      </c>
      <c r="S56" s="4">
        <f>J56*K56*M56</f>
        <v>152000</v>
      </c>
    </row>
    <row r="57" spans="1:19" ht="43" hidden="1" customHeight="1">
      <c r="A57" s="1" t="s">
        <v>2280</v>
      </c>
      <c r="B57" s="1" t="s">
        <v>1467</v>
      </c>
      <c r="C57" s="29">
        <v>45928.732318564798</v>
      </c>
      <c r="D57" s="1" t="s">
        <v>3052</v>
      </c>
      <c r="E57" s="1" t="s">
        <v>3053</v>
      </c>
      <c r="F57" s="1">
        <v>64</v>
      </c>
      <c r="G57" s="12" t="s">
        <v>1543</v>
      </c>
      <c r="H57" s="1" t="s">
        <v>1543</v>
      </c>
      <c r="I57" s="1" t="s">
        <v>1279</v>
      </c>
      <c r="J57" s="30">
        <v>5</v>
      </c>
      <c r="K57" s="30">
        <v>35000</v>
      </c>
      <c r="L57" s="31">
        <v>175000</v>
      </c>
      <c r="M57" s="1" t="s">
        <v>16</v>
      </c>
      <c r="N57" s="1" t="s">
        <v>17</v>
      </c>
      <c r="O57" s="1" t="s">
        <v>2057</v>
      </c>
      <c r="P57" s="1" t="s">
        <v>2056</v>
      </c>
      <c r="Q57" s="1" t="s">
        <v>546</v>
      </c>
      <c r="R57" s="1">
        <f t="shared" si="0"/>
        <v>3</v>
      </c>
      <c r="S57" s="4">
        <f>J57*K57*M57</f>
        <v>14000</v>
      </c>
    </row>
    <row r="58" spans="1:19" ht="43" hidden="1" customHeight="1">
      <c r="A58" s="1" t="s">
        <v>2280</v>
      </c>
      <c r="B58" s="1" t="s">
        <v>1158</v>
      </c>
      <c r="C58" s="29">
        <v>45868.606624756903</v>
      </c>
      <c r="D58" s="1" t="s">
        <v>3052</v>
      </c>
      <c r="E58" s="1" t="s">
        <v>3053</v>
      </c>
      <c r="F58" s="1">
        <v>7</v>
      </c>
      <c r="G58" s="12" t="s">
        <v>1543</v>
      </c>
      <c r="H58" s="1" t="s">
        <v>1543</v>
      </c>
      <c r="I58" s="1" t="s">
        <v>130</v>
      </c>
      <c r="J58" s="30">
        <v>2</v>
      </c>
      <c r="K58" s="30">
        <v>75000</v>
      </c>
      <c r="L58" s="31">
        <v>150000</v>
      </c>
      <c r="M58" s="1" t="s">
        <v>16</v>
      </c>
      <c r="N58" s="1" t="s">
        <v>17</v>
      </c>
      <c r="O58" s="1" t="s">
        <v>2057</v>
      </c>
      <c r="P58" s="1" t="s">
        <v>2056</v>
      </c>
      <c r="Q58" s="1" t="s">
        <v>800</v>
      </c>
      <c r="R58" s="1">
        <f t="shared" si="0"/>
        <v>3</v>
      </c>
      <c r="S58" s="4">
        <f>J58*K58*M58</f>
        <v>12000</v>
      </c>
    </row>
    <row r="59" spans="1:19" ht="43" hidden="1" customHeight="1">
      <c r="A59" s="1" t="s">
        <v>2280</v>
      </c>
      <c r="B59" s="1" t="s">
        <v>1400</v>
      </c>
      <c r="C59" s="29">
        <v>45990.721094398097</v>
      </c>
      <c r="D59" s="1" t="s">
        <v>3052</v>
      </c>
      <c r="E59" s="1" t="s">
        <v>3053</v>
      </c>
      <c r="F59" s="1">
        <v>47</v>
      </c>
      <c r="G59" s="12" t="s">
        <v>646</v>
      </c>
      <c r="H59" s="1" t="s">
        <v>646</v>
      </c>
      <c r="I59" s="1" t="s">
        <v>130</v>
      </c>
      <c r="J59" s="30">
        <v>3</v>
      </c>
      <c r="K59" s="30">
        <v>80000</v>
      </c>
      <c r="L59" s="31">
        <v>240000</v>
      </c>
      <c r="M59" s="1" t="s">
        <v>16</v>
      </c>
      <c r="N59" s="1" t="s">
        <v>17</v>
      </c>
      <c r="O59" s="1" t="s">
        <v>2057</v>
      </c>
      <c r="P59" s="1" t="s">
        <v>2056</v>
      </c>
      <c r="Q59" s="1" t="s">
        <v>1531</v>
      </c>
      <c r="R59" s="1">
        <f t="shared" si="0"/>
        <v>4</v>
      </c>
      <c r="S59" s="4">
        <f>J59*K59*M59</f>
        <v>19200</v>
      </c>
    </row>
    <row r="60" spans="1:19" ht="43" hidden="1" customHeight="1">
      <c r="A60" s="1" t="s">
        <v>2280</v>
      </c>
      <c r="B60" s="1" t="s">
        <v>1467</v>
      </c>
      <c r="C60" s="29">
        <v>45928.732318564798</v>
      </c>
      <c r="D60" s="1" t="s">
        <v>3052</v>
      </c>
      <c r="E60" s="1" t="s">
        <v>3053</v>
      </c>
      <c r="F60" s="1">
        <v>14</v>
      </c>
      <c r="G60" s="12" t="s">
        <v>646</v>
      </c>
      <c r="H60" s="1" t="s">
        <v>646</v>
      </c>
      <c r="I60" s="1" t="s">
        <v>130</v>
      </c>
      <c r="J60" s="30">
        <v>10</v>
      </c>
      <c r="K60" s="30">
        <v>10000</v>
      </c>
      <c r="L60" s="31">
        <v>100000</v>
      </c>
      <c r="M60" s="1" t="s">
        <v>16</v>
      </c>
      <c r="N60" s="1" t="s">
        <v>17</v>
      </c>
      <c r="O60" s="1" t="s">
        <v>2057</v>
      </c>
      <c r="P60" s="1" t="s">
        <v>2056</v>
      </c>
      <c r="Q60" s="1" t="s">
        <v>546</v>
      </c>
      <c r="R60" s="1">
        <f t="shared" si="0"/>
        <v>3</v>
      </c>
      <c r="S60" s="4">
        <f>J60*K60*M60</f>
        <v>8000</v>
      </c>
    </row>
    <row r="61" spans="1:19" ht="43" hidden="1" customHeight="1">
      <c r="A61" s="1" t="s">
        <v>2072</v>
      </c>
      <c r="B61" s="1" t="s">
        <v>146</v>
      </c>
      <c r="C61" s="29">
        <v>46020.386763703696</v>
      </c>
      <c r="D61" s="1" t="s">
        <v>3052</v>
      </c>
      <c r="E61" s="1" t="s">
        <v>3053</v>
      </c>
      <c r="F61" s="1">
        <v>26</v>
      </c>
      <c r="G61" s="12" t="s">
        <v>1328</v>
      </c>
      <c r="H61" s="1" t="s">
        <v>1328</v>
      </c>
      <c r="I61" s="1" t="s">
        <v>130</v>
      </c>
      <c r="J61" s="30">
        <v>5</v>
      </c>
      <c r="K61" s="30">
        <v>215000</v>
      </c>
      <c r="L61" s="31">
        <v>1075000</v>
      </c>
      <c r="M61" s="1" t="s">
        <v>16</v>
      </c>
      <c r="N61" s="1" t="s">
        <v>17</v>
      </c>
      <c r="O61" s="1" t="s">
        <v>2057</v>
      </c>
      <c r="P61" s="1" t="s">
        <v>2056</v>
      </c>
      <c r="Q61" s="1" t="s">
        <v>275</v>
      </c>
      <c r="R61" s="1">
        <f t="shared" si="0"/>
        <v>4</v>
      </c>
      <c r="S61" s="4">
        <f>J61*K61*M61</f>
        <v>86000</v>
      </c>
    </row>
    <row r="62" spans="1:19" ht="43" hidden="1" customHeight="1">
      <c r="A62" s="1" t="s">
        <v>2072</v>
      </c>
      <c r="B62" s="1" t="s">
        <v>1294</v>
      </c>
      <c r="C62" s="29">
        <v>46021.613942164397</v>
      </c>
      <c r="D62" s="1" t="s">
        <v>3052</v>
      </c>
      <c r="E62" s="1" t="s">
        <v>3053</v>
      </c>
      <c r="F62" s="1">
        <v>29</v>
      </c>
      <c r="G62" s="12" t="s">
        <v>1352</v>
      </c>
      <c r="H62" s="1" t="s">
        <v>1352</v>
      </c>
      <c r="I62" s="1" t="s">
        <v>130</v>
      </c>
      <c r="J62" s="30">
        <v>4</v>
      </c>
      <c r="K62" s="30">
        <v>95000</v>
      </c>
      <c r="L62" s="31">
        <v>380000</v>
      </c>
      <c r="M62" s="1" t="s">
        <v>16</v>
      </c>
      <c r="N62" s="1" t="s">
        <v>17</v>
      </c>
      <c r="O62" s="1" t="s">
        <v>2057</v>
      </c>
      <c r="P62" s="1" t="s">
        <v>2056</v>
      </c>
      <c r="Q62" s="1" t="s">
        <v>1474</v>
      </c>
      <c r="R62" s="1">
        <f t="shared" si="0"/>
        <v>4</v>
      </c>
      <c r="S62" s="4">
        <f>J62*K62*M62</f>
        <v>30400</v>
      </c>
    </row>
    <row r="63" spans="1:19" ht="43" hidden="1" customHeight="1">
      <c r="A63" s="1" t="s">
        <v>2280</v>
      </c>
      <c r="B63" s="1" t="s">
        <v>1400</v>
      </c>
      <c r="C63" s="29">
        <v>45990.721094398097</v>
      </c>
      <c r="D63" s="1" t="s">
        <v>3052</v>
      </c>
      <c r="E63" s="1" t="s">
        <v>3053</v>
      </c>
      <c r="F63" s="1">
        <v>43</v>
      </c>
      <c r="G63" s="12" t="s">
        <v>1352</v>
      </c>
      <c r="H63" s="1" t="s">
        <v>1352</v>
      </c>
      <c r="I63" s="1" t="s">
        <v>130</v>
      </c>
      <c r="J63" s="30">
        <v>8</v>
      </c>
      <c r="K63" s="30">
        <v>75000</v>
      </c>
      <c r="L63" s="31">
        <v>600000</v>
      </c>
      <c r="M63" s="1" t="s">
        <v>16</v>
      </c>
      <c r="N63" s="1" t="s">
        <v>17</v>
      </c>
      <c r="O63" s="1" t="s">
        <v>2057</v>
      </c>
      <c r="P63" s="1" t="s">
        <v>2056</v>
      </c>
      <c r="Q63" s="1" t="s">
        <v>1531</v>
      </c>
      <c r="R63" s="1">
        <f t="shared" si="0"/>
        <v>4</v>
      </c>
      <c r="S63" s="4">
        <f>J63*K63*M63</f>
        <v>48000</v>
      </c>
    </row>
    <row r="64" spans="1:19" ht="43" hidden="1" customHeight="1">
      <c r="A64" s="1" t="s">
        <v>2280</v>
      </c>
      <c r="B64" s="1" t="s">
        <v>1402</v>
      </c>
      <c r="C64" s="29">
        <v>45990.382403298601</v>
      </c>
      <c r="D64" s="1" t="s">
        <v>3052</v>
      </c>
      <c r="E64" s="1" t="s">
        <v>3053</v>
      </c>
      <c r="F64" s="1">
        <v>13</v>
      </c>
      <c r="G64" s="12" t="s">
        <v>1352</v>
      </c>
      <c r="H64" s="1" t="s">
        <v>1352</v>
      </c>
      <c r="I64" s="1" t="s">
        <v>130</v>
      </c>
      <c r="J64" s="30">
        <v>2</v>
      </c>
      <c r="K64" s="30">
        <v>40000</v>
      </c>
      <c r="L64" s="31">
        <v>80000</v>
      </c>
      <c r="M64" s="1" t="s">
        <v>16</v>
      </c>
      <c r="N64" s="1" t="s">
        <v>17</v>
      </c>
      <c r="O64" s="1" t="s">
        <v>2057</v>
      </c>
      <c r="P64" s="1" t="s">
        <v>2056</v>
      </c>
      <c r="Q64" s="1" t="s">
        <v>1531</v>
      </c>
      <c r="R64" s="1">
        <f t="shared" si="0"/>
        <v>4</v>
      </c>
      <c r="S64" s="4">
        <f>J64*K64*M64</f>
        <v>6400</v>
      </c>
    </row>
    <row r="65" spans="1:19" ht="43" hidden="1" customHeight="1">
      <c r="A65" s="1" t="s">
        <v>2280</v>
      </c>
      <c r="B65" s="1" t="s">
        <v>1402</v>
      </c>
      <c r="C65" s="29">
        <v>45990.382403298601</v>
      </c>
      <c r="D65" s="1" t="s">
        <v>3052</v>
      </c>
      <c r="E65" s="1" t="s">
        <v>3053</v>
      </c>
      <c r="F65" s="1">
        <v>23</v>
      </c>
      <c r="G65" s="12" t="s">
        <v>1352</v>
      </c>
      <c r="H65" s="1" t="s">
        <v>1352</v>
      </c>
      <c r="I65" s="1" t="s">
        <v>130</v>
      </c>
      <c r="J65" s="30">
        <v>4</v>
      </c>
      <c r="K65" s="30">
        <v>35000</v>
      </c>
      <c r="L65" s="31">
        <v>140000</v>
      </c>
      <c r="M65" s="1" t="s">
        <v>16</v>
      </c>
      <c r="N65" s="1" t="s">
        <v>17</v>
      </c>
      <c r="O65" s="1" t="s">
        <v>2057</v>
      </c>
      <c r="P65" s="1" t="s">
        <v>2056</v>
      </c>
      <c r="Q65" s="1" t="s">
        <v>1531</v>
      </c>
      <c r="R65" s="1">
        <f t="shared" si="0"/>
        <v>4</v>
      </c>
      <c r="S65" s="4">
        <f>J65*K65*M65</f>
        <v>11200</v>
      </c>
    </row>
    <row r="66" spans="1:19" ht="43" customHeight="1">
      <c r="A66" s="1" t="s">
        <v>2280</v>
      </c>
      <c r="B66" s="1" t="s">
        <v>1250</v>
      </c>
      <c r="C66" s="29">
        <v>45808.709169189802</v>
      </c>
      <c r="D66" s="1" t="s">
        <v>3052</v>
      </c>
      <c r="E66" s="1" t="s">
        <v>3053</v>
      </c>
      <c r="F66" s="1">
        <v>1</v>
      </c>
      <c r="G66" s="12"/>
      <c r="H66" s="1" t="s">
        <v>1874</v>
      </c>
      <c r="I66" s="1" t="s">
        <v>130</v>
      </c>
      <c r="J66" s="30">
        <v>200</v>
      </c>
      <c r="K66" s="30">
        <v>2500</v>
      </c>
      <c r="L66" s="31">
        <v>500000</v>
      </c>
      <c r="M66" s="1" t="s">
        <v>16</v>
      </c>
      <c r="N66" s="1" t="s">
        <v>17</v>
      </c>
      <c r="O66" s="1" t="s">
        <v>2057</v>
      </c>
      <c r="P66" s="1" t="s">
        <v>2056</v>
      </c>
      <c r="Q66" s="1" t="s">
        <v>36</v>
      </c>
      <c r="R66" s="1">
        <f t="shared" si="0"/>
        <v>2</v>
      </c>
      <c r="S66" s="4">
        <f>J66*K66*M66</f>
        <v>40000</v>
      </c>
    </row>
    <row r="67" spans="1:19" ht="43" customHeight="1">
      <c r="A67" s="1" t="s">
        <v>2280</v>
      </c>
      <c r="B67" s="1" t="s">
        <v>152</v>
      </c>
      <c r="C67" s="29">
        <v>45836.413450243097</v>
      </c>
      <c r="D67" s="1" t="s">
        <v>3052</v>
      </c>
      <c r="E67" s="1" t="s">
        <v>3053</v>
      </c>
      <c r="F67" s="1">
        <v>3</v>
      </c>
      <c r="G67" s="12"/>
      <c r="H67" s="1" t="s">
        <v>1850</v>
      </c>
      <c r="I67" s="1" t="s">
        <v>130</v>
      </c>
      <c r="J67" s="30">
        <v>1200</v>
      </c>
      <c r="K67" s="30">
        <v>2500</v>
      </c>
      <c r="L67" s="31">
        <v>3000000</v>
      </c>
      <c r="M67" s="1" t="s">
        <v>16</v>
      </c>
      <c r="N67" s="1" t="s">
        <v>17</v>
      </c>
      <c r="O67" s="1" t="s">
        <v>2057</v>
      </c>
      <c r="P67" s="1" t="s">
        <v>2056</v>
      </c>
      <c r="Q67" s="1" t="s">
        <v>845</v>
      </c>
      <c r="R67" s="1">
        <f t="shared" ref="R67:R130" si="1">ROUNDUP(MONTH(Q67)/3,0)</f>
        <v>2</v>
      </c>
      <c r="S67" s="4">
        <f>J67*K67*M67</f>
        <v>240000</v>
      </c>
    </row>
    <row r="68" spans="1:19" ht="43" customHeight="1">
      <c r="A68" s="1" t="s">
        <v>2280</v>
      </c>
      <c r="B68" s="1" t="s">
        <v>1420</v>
      </c>
      <c r="C68" s="29">
        <v>45866.7486208681</v>
      </c>
      <c r="D68" s="1" t="s">
        <v>3052</v>
      </c>
      <c r="E68" s="1" t="s">
        <v>3053</v>
      </c>
      <c r="F68" s="1">
        <v>18</v>
      </c>
      <c r="G68" s="12"/>
      <c r="H68" s="1" t="s">
        <v>1780</v>
      </c>
      <c r="I68" s="1" t="s">
        <v>130</v>
      </c>
      <c r="J68" s="30">
        <v>300</v>
      </c>
      <c r="K68" s="30">
        <v>4000</v>
      </c>
      <c r="L68" s="31">
        <v>1200000</v>
      </c>
      <c r="M68" s="1" t="s">
        <v>16</v>
      </c>
      <c r="N68" s="1" t="s">
        <v>17</v>
      </c>
      <c r="O68" s="1" t="s">
        <v>2057</v>
      </c>
      <c r="P68" s="1" t="s">
        <v>2056</v>
      </c>
      <c r="Q68" s="1" t="s">
        <v>1763</v>
      </c>
      <c r="R68" s="1">
        <f t="shared" si="1"/>
        <v>3</v>
      </c>
      <c r="S68" s="4">
        <f>J68*K68*M68</f>
        <v>96000</v>
      </c>
    </row>
    <row r="69" spans="1:19" ht="43" hidden="1" customHeight="1">
      <c r="A69" s="1" t="s">
        <v>2280</v>
      </c>
      <c r="B69" s="1" t="s">
        <v>1462</v>
      </c>
      <c r="C69" s="29">
        <v>45928.944135983802</v>
      </c>
      <c r="D69" s="1" t="s">
        <v>3052</v>
      </c>
      <c r="E69" s="1" t="s">
        <v>3053</v>
      </c>
      <c r="F69" s="1">
        <v>5</v>
      </c>
      <c r="G69" s="12" t="s">
        <v>1160</v>
      </c>
      <c r="H69" s="1" t="s">
        <v>1600</v>
      </c>
      <c r="I69" s="1" t="s">
        <v>130</v>
      </c>
      <c r="J69" s="30">
        <v>100</v>
      </c>
      <c r="K69" s="30">
        <v>2500</v>
      </c>
      <c r="L69" s="31">
        <v>250000</v>
      </c>
      <c r="M69" s="1" t="s">
        <v>16</v>
      </c>
      <c r="N69" s="1" t="s">
        <v>17</v>
      </c>
      <c r="O69" s="1" t="s">
        <v>2057</v>
      </c>
      <c r="P69" s="1" t="s">
        <v>2056</v>
      </c>
      <c r="Q69" s="1" t="s">
        <v>546</v>
      </c>
      <c r="R69" s="1">
        <f t="shared" si="1"/>
        <v>3</v>
      </c>
      <c r="S69" s="4">
        <f>J69*K69*M69</f>
        <v>20000</v>
      </c>
    </row>
    <row r="70" spans="1:19" ht="43" hidden="1" customHeight="1">
      <c r="A70" s="1" t="s">
        <v>2072</v>
      </c>
      <c r="B70" s="1" t="s">
        <v>1294</v>
      </c>
      <c r="C70" s="29">
        <v>46021.613942164397</v>
      </c>
      <c r="D70" s="1" t="s">
        <v>3052</v>
      </c>
      <c r="E70" s="1" t="s">
        <v>3053</v>
      </c>
      <c r="F70" s="1">
        <v>50</v>
      </c>
      <c r="G70" s="12" t="s">
        <v>623</v>
      </c>
      <c r="H70" s="1" t="s">
        <v>623</v>
      </c>
      <c r="I70" s="1" t="s">
        <v>130</v>
      </c>
      <c r="J70" s="30">
        <v>40</v>
      </c>
      <c r="K70" s="30">
        <v>110000</v>
      </c>
      <c r="L70" s="31">
        <v>4400000</v>
      </c>
      <c r="M70" s="1" t="s">
        <v>16</v>
      </c>
      <c r="N70" s="1" t="s">
        <v>17</v>
      </c>
      <c r="O70" s="1" t="s">
        <v>2057</v>
      </c>
      <c r="P70" s="1" t="s">
        <v>2056</v>
      </c>
      <c r="Q70" s="1" t="s">
        <v>1474</v>
      </c>
      <c r="R70" s="1">
        <f t="shared" si="1"/>
        <v>4</v>
      </c>
      <c r="S70" s="4">
        <f>J70*K70*M70</f>
        <v>352000</v>
      </c>
    </row>
    <row r="71" spans="1:19" ht="43" hidden="1" customHeight="1">
      <c r="A71" s="1" t="s">
        <v>2280</v>
      </c>
      <c r="B71" s="1" t="s">
        <v>1400</v>
      </c>
      <c r="C71" s="29">
        <v>45990.721094398097</v>
      </c>
      <c r="D71" s="1" t="s">
        <v>3052</v>
      </c>
      <c r="E71" s="1" t="s">
        <v>3053</v>
      </c>
      <c r="F71" s="1">
        <v>5</v>
      </c>
      <c r="G71" s="12" t="s">
        <v>623</v>
      </c>
      <c r="H71" s="1" t="s">
        <v>623</v>
      </c>
      <c r="I71" s="1" t="s">
        <v>130</v>
      </c>
      <c r="J71" s="30">
        <v>123</v>
      </c>
      <c r="K71" s="30">
        <v>110000</v>
      </c>
      <c r="L71" s="31">
        <v>13530000</v>
      </c>
      <c r="M71" s="1" t="s">
        <v>16</v>
      </c>
      <c r="N71" s="1" t="s">
        <v>17</v>
      </c>
      <c r="O71" s="1" t="s">
        <v>2057</v>
      </c>
      <c r="P71" s="1" t="s">
        <v>2056</v>
      </c>
      <c r="Q71" s="1" t="s">
        <v>1531</v>
      </c>
      <c r="R71" s="1">
        <f t="shared" si="1"/>
        <v>4</v>
      </c>
      <c r="S71" s="4">
        <f>J71*K71*M71</f>
        <v>1082400</v>
      </c>
    </row>
    <row r="72" spans="1:19" ht="43" hidden="1" customHeight="1">
      <c r="A72" s="1" t="s">
        <v>2280</v>
      </c>
      <c r="B72" s="1" t="s">
        <v>326</v>
      </c>
      <c r="C72" s="29">
        <v>45960.658345080999</v>
      </c>
      <c r="D72" s="1" t="s">
        <v>3052</v>
      </c>
      <c r="E72" s="1" t="s">
        <v>3053</v>
      </c>
      <c r="F72" s="1">
        <v>10</v>
      </c>
      <c r="G72" s="12" t="s">
        <v>623</v>
      </c>
      <c r="H72" s="1" t="s">
        <v>623</v>
      </c>
      <c r="I72" s="1" t="s">
        <v>130</v>
      </c>
      <c r="J72" s="30">
        <v>100</v>
      </c>
      <c r="K72" s="30">
        <v>110000</v>
      </c>
      <c r="L72" s="31">
        <v>11000000</v>
      </c>
      <c r="M72" s="1" t="s">
        <v>16</v>
      </c>
      <c r="N72" s="1" t="s">
        <v>17</v>
      </c>
      <c r="O72" s="1" t="s">
        <v>2057</v>
      </c>
      <c r="P72" s="1" t="s">
        <v>2056</v>
      </c>
      <c r="Q72" s="1" t="s">
        <v>533</v>
      </c>
      <c r="R72" s="1">
        <f t="shared" si="1"/>
        <v>4</v>
      </c>
      <c r="S72" s="4">
        <f>J72*K72*M72</f>
        <v>880000</v>
      </c>
    </row>
    <row r="73" spans="1:19" ht="43" customHeight="1">
      <c r="A73" s="1" t="s">
        <v>2280</v>
      </c>
      <c r="B73" s="1" t="s">
        <v>1420</v>
      </c>
      <c r="C73" s="29">
        <v>45866.7486208681</v>
      </c>
      <c r="D73" s="1" t="s">
        <v>3052</v>
      </c>
      <c r="E73" s="1" t="s">
        <v>3053</v>
      </c>
      <c r="F73" s="1">
        <v>6</v>
      </c>
      <c r="G73" s="12"/>
      <c r="H73" s="1" t="s">
        <v>1777</v>
      </c>
      <c r="I73" s="1" t="s">
        <v>130</v>
      </c>
      <c r="J73" s="30">
        <v>500</v>
      </c>
      <c r="K73" s="30">
        <v>2500</v>
      </c>
      <c r="L73" s="31">
        <v>1250000</v>
      </c>
      <c r="M73" s="1" t="s">
        <v>16</v>
      </c>
      <c r="N73" s="1" t="s">
        <v>17</v>
      </c>
      <c r="O73" s="1" t="s">
        <v>2057</v>
      </c>
      <c r="P73" s="1" t="s">
        <v>2056</v>
      </c>
      <c r="Q73" s="1" t="s">
        <v>1763</v>
      </c>
      <c r="R73" s="1">
        <f t="shared" si="1"/>
        <v>3</v>
      </c>
      <c r="S73" s="4">
        <f>J73*K73*M73</f>
        <v>100000</v>
      </c>
    </row>
    <row r="74" spans="1:19" ht="43" customHeight="1">
      <c r="A74" s="1" t="s">
        <v>2280</v>
      </c>
      <c r="B74" s="1" t="s">
        <v>1422</v>
      </c>
      <c r="C74" s="29">
        <v>45864.4394789699</v>
      </c>
      <c r="D74" s="1" t="s">
        <v>3058</v>
      </c>
      <c r="E74" s="1" t="s">
        <v>3059</v>
      </c>
      <c r="F74" s="1">
        <v>8</v>
      </c>
      <c r="G74" s="12"/>
      <c r="H74" s="1" t="s">
        <v>1792</v>
      </c>
      <c r="I74" s="1" t="s">
        <v>130</v>
      </c>
      <c r="J74" s="30">
        <v>150</v>
      </c>
      <c r="K74" s="30">
        <v>2500</v>
      </c>
      <c r="L74" s="31">
        <v>375000</v>
      </c>
      <c r="M74" s="1" t="s">
        <v>16</v>
      </c>
      <c r="N74" s="1" t="s">
        <v>17</v>
      </c>
      <c r="O74" s="1" t="s">
        <v>2057</v>
      </c>
      <c r="P74" s="1" t="s">
        <v>2056</v>
      </c>
      <c r="Q74" s="1" t="s">
        <v>1785</v>
      </c>
      <c r="R74" s="1">
        <f t="shared" si="1"/>
        <v>3</v>
      </c>
      <c r="S74" s="4">
        <f>J74*K74*M74</f>
        <v>30000</v>
      </c>
    </row>
    <row r="75" spans="1:19" ht="43" hidden="1" customHeight="1">
      <c r="A75" s="1" t="s">
        <v>2072</v>
      </c>
      <c r="B75" s="1" t="s">
        <v>1302</v>
      </c>
      <c r="C75" s="29">
        <v>46018.477279282401</v>
      </c>
      <c r="D75" s="1" t="s">
        <v>3054</v>
      </c>
      <c r="E75" s="1" t="s">
        <v>3055</v>
      </c>
      <c r="F75" s="1">
        <v>1</v>
      </c>
      <c r="G75" s="12" t="s">
        <v>821</v>
      </c>
      <c r="H75" s="1" t="s">
        <v>821</v>
      </c>
      <c r="I75" s="1" t="s">
        <v>130</v>
      </c>
      <c r="J75" s="30">
        <v>110</v>
      </c>
      <c r="K75" s="30">
        <v>110000</v>
      </c>
      <c r="L75" s="31">
        <v>12100000</v>
      </c>
      <c r="M75" s="1" t="s">
        <v>16</v>
      </c>
      <c r="N75" s="1" t="s">
        <v>17</v>
      </c>
      <c r="O75" s="1" t="s">
        <v>2057</v>
      </c>
      <c r="P75" s="1" t="s">
        <v>2056</v>
      </c>
      <c r="Q75" s="1" t="s">
        <v>293</v>
      </c>
      <c r="R75" s="1">
        <f t="shared" si="1"/>
        <v>4</v>
      </c>
      <c r="S75" s="4">
        <f>J75*K75*M75</f>
        <v>968000</v>
      </c>
    </row>
    <row r="76" spans="1:19" ht="43" hidden="1" customHeight="1">
      <c r="A76" s="1" t="s">
        <v>2072</v>
      </c>
      <c r="B76" s="1" t="s">
        <v>1302</v>
      </c>
      <c r="C76" s="29">
        <v>46018.477279282401</v>
      </c>
      <c r="D76" s="1" t="s">
        <v>3054</v>
      </c>
      <c r="E76" s="1" t="s">
        <v>3055</v>
      </c>
      <c r="F76" s="1">
        <v>2</v>
      </c>
      <c r="G76" s="12" t="s">
        <v>821</v>
      </c>
      <c r="H76" s="1" t="s">
        <v>821</v>
      </c>
      <c r="I76" s="1" t="s">
        <v>130</v>
      </c>
      <c r="J76" s="30">
        <v>20</v>
      </c>
      <c r="K76" s="30">
        <v>120000</v>
      </c>
      <c r="L76" s="31">
        <v>2400000</v>
      </c>
      <c r="M76" s="1" t="s">
        <v>16</v>
      </c>
      <c r="N76" s="1" t="s">
        <v>17</v>
      </c>
      <c r="O76" s="1" t="s">
        <v>2057</v>
      </c>
      <c r="P76" s="1" t="s">
        <v>2056</v>
      </c>
      <c r="Q76" s="1" t="s">
        <v>293</v>
      </c>
      <c r="R76" s="1">
        <f t="shared" si="1"/>
        <v>4</v>
      </c>
      <c r="S76" s="4">
        <f>J76*K76*M76</f>
        <v>192000</v>
      </c>
    </row>
    <row r="77" spans="1:19" ht="43" hidden="1" customHeight="1">
      <c r="A77" s="1" t="s">
        <v>2280</v>
      </c>
      <c r="B77" s="1" t="s">
        <v>642</v>
      </c>
      <c r="C77" s="29">
        <v>45927.917672719901</v>
      </c>
      <c r="D77" s="1" t="s">
        <v>3054</v>
      </c>
      <c r="E77" s="1" t="s">
        <v>3055</v>
      </c>
      <c r="F77" s="1">
        <v>2</v>
      </c>
      <c r="G77" s="12" t="s">
        <v>821</v>
      </c>
      <c r="H77" s="1" t="s">
        <v>1644</v>
      </c>
      <c r="I77" s="1" t="s">
        <v>130</v>
      </c>
      <c r="J77" s="30">
        <v>10</v>
      </c>
      <c r="K77" s="30">
        <v>110000</v>
      </c>
      <c r="L77" s="31">
        <v>1100000</v>
      </c>
      <c r="M77" s="1" t="s">
        <v>16</v>
      </c>
      <c r="N77" s="1" t="s">
        <v>17</v>
      </c>
      <c r="O77" s="1" t="s">
        <v>2057</v>
      </c>
      <c r="P77" s="1" t="s">
        <v>2056</v>
      </c>
      <c r="Q77" s="1" t="s">
        <v>588</v>
      </c>
      <c r="R77" s="1">
        <f t="shared" si="1"/>
        <v>3</v>
      </c>
      <c r="S77" s="4">
        <f>J77*K77*M77</f>
        <v>88000</v>
      </c>
    </row>
    <row r="78" spans="1:19" ht="43" hidden="1" customHeight="1">
      <c r="A78" s="1" t="s">
        <v>2280</v>
      </c>
      <c r="B78" s="1" t="s">
        <v>91</v>
      </c>
      <c r="C78" s="29">
        <v>45899.644512638901</v>
      </c>
      <c r="D78" s="1" t="s">
        <v>3052</v>
      </c>
      <c r="E78" s="1" t="s">
        <v>3053</v>
      </c>
      <c r="F78" s="1">
        <v>7</v>
      </c>
      <c r="G78" s="12" t="s">
        <v>821</v>
      </c>
      <c r="H78" s="1" t="s">
        <v>1644</v>
      </c>
      <c r="I78" s="1" t="s">
        <v>130</v>
      </c>
      <c r="J78" s="30">
        <v>20</v>
      </c>
      <c r="K78" s="30">
        <v>120000</v>
      </c>
      <c r="L78" s="31">
        <v>2400000</v>
      </c>
      <c r="M78" s="1" t="s">
        <v>16</v>
      </c>
      <c r="N78" s="1" t="s">
        <v>17</v>
      </c>
      <c r="O78" s="1" t="s">
        <v>2057</v>
      </c>
      <c r="P78" s="1" t="s">
        <v>2056</v>
      </c>
      <c r="Q78" s="1" t="s">
        <v>636</v>
      </c>
      <c r="R78" s="1">
        <f t="shared" si="1"/>
        <v>3</v>
      </c>
      <c r="S78" s="4">
        <f>J78*K78*M78</f>
        <v>192000</v>
      </c>
    </row>
    <row r="79" spans="1:19" ht="43" hidden="1" customHeight="1">
      <c r="A79" s="1" t="s">
        <v>2280</v>
      </c>
      <c r="B79" s="1" t="s">
        <v>1412</v>
      </c>
      <c r="C79" s="29">
        <v>45898.896986157401</v>
      </c>
      <c r="D79" s="1" t="s">
        <v>3052</v>
      </c>
      <c r="E79" s="1" t="s">
        <v>3053</v>
      </c>
      <c r="F79" s="1">
        <v>48</v>
      </c>
      <c r="G79" s="12" t="s">
        <v>821</v>
      </c>
      <c r="H79" s="1" t="s">
        <v>821</v>
      </c>
      <c r="I79" s="1" t="s">
        <v>130</v>
      </c>
      <c r="J79" s="30">
        <v>10</v>
      </c>
      <c r="K79" s="30">
        <v>120000</v>
      </c>
      <c r="L79" s="31">
        <v>1200000</v>
      </c>
      <c r="M79" s="1" t="s">
        <v>16</v>
      </c>
      <c r="N79" s="1" t="s">
        <v>17</v>
      </c>
      <c r="O79" s="1" t="s">
        <v>2057</v>
      </c>
      <c r="P79" s="1" t="s">
        <v>2056</v>
      </c>
      <c r="Q79" s="1" t="s">
        <v>652</v>
      </c>
      <c r="R79" s="1">
        <f t="shared" si="1"/>
        <v>3</v>
      </c>
      <c r="S79" s="4">
        <f>J79*K79*M79</f>
        <v>96000</v>
      </c>
    </row>
    <row r="80" spans="1:19" ht="43" hidden="1" customHeight="1">
      <c r="A80" s="1" t="s">
        <v>2280</v>
      </c>
      <c r="B80" s="1" t="s">
        <v>1412</v>
      </c>
      <c r="C80" s="29">
        <v>45898.896986157401</v>
      </c>
      <c r="D80" s="1" t="s">
        <v>3052</v>
      </c>
      <c r="E80" s="1" t="s">
        <v>3053</v>
      </c>
      <c r="F80" s="1">
        <v>65</v>
      </c>
      <c r="G80" s="12" t="s">
        <v>821</v>
      </c>
      <c r="H80" s="1" t="s">
        <v>821</v>
      </c>
      <c r="I80" s="1" t="s">
        <v>130</v>
      </c>
      <c r="J80" s="30">
        <v>10</v>
      </c>
      <c r="K80" s="30">
        <v>110000</v>
      </c>
      <c r="L80" s="31">
        <v>1100000</v>
      </c>
      <c r="M80" s="1" t="s">
        <v>16</v>
      </c>
      <c r="N80" s="1" t="s">
        <v>17</v>
      </c>
      <c r="O80" s="1" t="s">
        <v>2057</v>
      </c>
      <c r="P80" s="1" t="s">
        <v>2056</v>
      </c>
      <c r="Q80" s="1" t="s">
        <v>652</v>
      </c>
      <c r="R80" s="1">
        <f t="shared" si="1"/>
        <v>3</v>
      </c>
      <c r="S80" s="4">
        <f>J80*K80*M80</f>
        <v>88000</v>
      </c>
    </row>
    <row r="81" spans="1:19" ht="43" hidden="1" customHeight="1">
      <c r="A81" s="1" t="s">
        <v>2280</v>
      </c>
      <c r="B81" s="1" t="s">
        <v>193</v>
      </c>
      <c r="C81" s="29">
        <v>45898.577999004599</v>
      </c>
      <c r="D81" s="1" t="s">
        <v>3058</v>
      </c>
      <c r="E81" s="1" t="s">
        <v>3059</v>
      </c>
      <c r="F81" s="1">
        <v>2</v>
      </c>
      <c r="G81" s="12" t="s">
        <v>821</v>
      </c>
      <c r="H81" s="1" t="s">
        <v>821</v>
      </c>
      <c r="I81" s="1" t="s">
        <v>130</v>
      </c>
      <c r="J81" s="30">
        <v>2</v>
      </c>
      <c r="K81" s="30">
        <v>120000</v>
      </c>
      <c r="L81" s="31">
        <v>240000</v>
      </c>
      <c r="M81" s="1" t="s">
        <v>16</v>
      </c>
      <c r="N81" s="1" t="s">
        <v>17</v>
      </c>
      <c r="O81" s="1" t="s">
        <v>2057</v>
      </c>
      <c r="P81" s="1" t="s">
        <v>2056</v>
      </c>
      <c r="Q81" s="1" t="s">
        <v>652</v>
      </c>
      <c r="R81" s="1">
        <f t="shared" si="1"/>
        <v>3</v>
      </c>
      <c r="S81" s="4">
        <f>J81*K81*M81</f>
        <v>19200</v>
      </c>
    </row>
    <row r="82" spans="1:19" ht="43" hidden="1" customHeight="1">
      <c r="A82" s="1" t="s">
        <v>2280</v>
      </c>
      <c r="B82" s="1" t="s">
        <v>1158</v>
      </c>
      <c r="C82" s="29">
        <v>45868.606624756903</v>
      </c>
      <c r="D82" s="1" t="s">
        <v>3052</v>
      </c>
      <c r="E82" s="1" t="s">
        <v>3053</v>
      </c>
      <c r="F82" s="1">
        <v>6</v>
      </c>
      <c r="G82" s="12" t="s">
        <v>821</v>
      </c>
      <c r="H82" s="1" t="s">
        <v>821</v>
      </c>
      <c r="I82" s="1" t="s">
        <v>130</v>
      </c>
      <c r="J82" s="30">
        <v>32</v>
      </c>
      <c r="K82" s="30">
        <v>120000</v>
      </c>
      <c r="L82" s="31">
        <v>3840000</v>
      </c>
      <c r="M82" s="1" t="s">
        <v>16</v>
      </c>
      <c r="N82" s="1" t="s">
        <v>17</v>
      </c>
      <c r="O82" s="1" t="s">
        <v>2057</v>
      </c>
      <c r="P82" s="1" t="s">
        <v>2056</v>
      </c>
      <c r="Q82" s="1" t="s">
        <v>800</v>
      </c>
      <c r="R82" s="1">
        <f t="shared" si="1"/>
        <v>3</v>
      </c>
      <c r="S82" s="4">
        <f>J82*K82*M82</f>
        <v>307200</v>
      </c>
    </row>
    <row r="83" spans="1:19" ht="43" hidden="1" customHeight="1">
      <c r="A83" s="1" t="s">
        <v>2280</v>
      </c>
      <c r="B83" s="1" t="s">
        <v>1420</v>
      </c>
      <c r="C83" s="29">
        <v>45866.7486208681</v>
      </c>
      <c r="D83" s="1" t="s">
        <v>3052</v>
      </c>
      <c r="E83" s="1" t="s">
        <v>3053</v>
      </c>
      <c r="F83" s="1">
        <v>15</v>
      </c>
      <c r="G83" s="12" t="s">
        <v>821</v>
      </c>
      <c r="H83" s="1" t="s">
        <v>821</v>
      </c>
      <c r="I83" s="1" t="s">
        <v>15</v>
      </c>
      <c r="J83" s="30">
        <v>20</v>
      </c>
      <c r="K83" s="30">
        <v>120000</v>
      </c>
      <c r="L83" s="31">
        <v>2400000</v>
      </c>
      <c r="M83" s="1" t="s">
        <v>16</v>
      </c>
      <c r="N83" s="1" t="s">
        <v>17</v>
      </c>
      <c r="O83" s="1" t="s">
        <v>2057</v>
      </c>
      <c r="P83" s="1" t="s">
        <v>2056</v>
      </c>
      <c r="Q83" s="1" t="s">
        <v>1763</v>
      </c>
      <c r="R83" s="1">
        <f t="shared" si="1"/>
        <v>3</v>
      </c>
      <c r="S83" s="4">
        <f>J83*K83*M83</f>
        <v>192000</v>
      </c>
    </row>
    <row r="84" spans="1:19" ht="43" hidden="1" customHeight="1">
      <c r="A84" s="1" t="s">
        <v>2280</v>
      </c>
      <c r="B84" s="1" t="s">
        <v>1422</v>
      </c>
      <c r="C84" s="29">
        <v>45864.4394789699</v>
      </c>
      <c r="D84" s="1" t="s">
        <v>3058</v>
      </c>
      <c r="E84" s="1" t="s">
        <v>3059</v>
      </c>
      <c r="F84" s="1">
        <v>7</v>
      </c>
      <c r="G84" s="12" t="s">
        <v>821</v>
      </c>
      <c r="H84" s="1" t="s">
        <v>821</v>
      </c>
      <c r="I84" s="1" t="s">
        <v>130</v>
      </c>
      <c r="J84" s="30">
        <v>4</v>
      </c>
      <c r="K84" s="30">
        <v>120000</v>
      </c>
      <c r="L84" s="31">
        <v>480000</v>
      </c>
      <c r="M84" s="1" t="s">
        <v>16</v>
      </c>
      <c r="N84" s="1" t="s">
        <v>17</v>
      </c>
      <c r="O84" s="1" t="s">
        <v>2057</v>
      </c>
      <c r="P84" s="1" t="s">
        <v>2056</v>
      </c>
      <c r="Q84" s="1" t="s">
        <v>1785</v>
      </c>
      <c r="R84" s="1">
        <f t="shared" si="1"/>
        <v>3</v>
      </c>
      <c r="S84" s="4">
        <f>J84*K84*M84</f>
        <v>38400</v>
      </c>
    </row>
    <row r="85" spans="1:19" ht="43" hidden="1" customHeight="1">
      <c r="A85" s="1" t="s">
        <v>2280</v>
      </c>
      <c r="B85" s="1" t="s">
        <v>120</v>
      </c>
      <c r="C85" s="29">
        <v>45838.621748888901</v>
      </c>
      <c r="D85" s="1" t="s">
        <v>3052</v>
      </c>
      <c r="E85" s="1" t="s">
        <v>3053</v>
      </c>
      <c r="F85" s="1">
        <v>4</v>
      </c>
      <c r="G85" s="12" t="s">
        <v>821</v>
      </c>
      <c r="H85" s="1" t="s">
        <v>821</v>
      </c>
      <c r="I85" s="1" t="s">
        <v>130</v>
      </c>
      <c r="J85" s="30">
        <v>36</v>
      </c>
      <c r="K85" s="30">
        <v>120000</v>
      </c>
      <c r="L85" s="31">
        <v>4320000</v>
      </c>
      <c r="M85" s="1" t="s">
        <v>16</v>
      </c>
      <c r="N85" s="1" t="s">
        <v>17</v>
      </c>
      <c r="O85" s="1" t="s">
        <v>2057</v>
      </c>
      <c r="P85" s="1" t="s">
        <v>2056</v>
      </c>
      <c r="Q85" s="1" t="s">
        <v>828</v>
      </c>
      <c r="R85" s="1">
        <f t="shared" si="1"/>
        <v>2</v>
      </c>
      <c r="S85" s="4">
        <f>J85*K85*M85</f>
        <v>345600</v>
      </c>
    </row>
    <row r="86" spans="1:19" ht="43" hidden="1" customHeight="1">
      <c r="A86" s="1" t="s">
        <v>2280</v>
      </c>
      <c r="B86" s="1" t="s">
        <v>152</v>
      </c>
      <c r="C86" s="29">
        <v>45836.413450243097</v>
      </c>
      <c r="D86" s="1" t="s">
        <v>3052</v>
      </c>
      <c r="E86" s="1" t="s">
        <v>3053</v>
      </c>
      <c r="F86" s="1">
        <v>19</v>
      </c>
      <c r="G86" s="12" t="s">
        <v>821</v>
      </c>
      <c r="H86" s="1" t="s">
        <v>821</v>
      </c>
      <c r="I86" s="1" t="s">
        <v>130</v>
      </c>
      <c r="J86" s="30">
        <v>30</v>
      </c>
      <c r="K86" s="30">
        <v>120000</v>
      </c>
      <c r="L86" s="31">
        <v>3600000</v>
      </c>
      <c r="M86" s="1" t="s">
        <v>16</v>
      </c>
      <c r="N86" s="1" t="s">
        <v>17</v>
      </c>
      <c r="O86" s="1" t="s">
        <v>2057</v>
      </c>
      <c r="P86" s="1" t="s">
        <v>2056</v>
      </c>
      <c r="Q86" s="1" t="s">
        <v>845</v>
      </c>
      <c r="R86" s="1">
        <f t="shared" si="1"/>
        <v>2</v>
      </c>
      <c r="S86" s="4">
        <f>J86*K86*M86</f>
        <v>288000</v>
      </c>
    </row>
    <row r="87" spans="1:19" ht="43" hidden="1" customHeight="1">
      <c r="A87" s="1" t="s">
        <v>2280</v>
      </c>
      <c r="B87" s="1" t="s">
        <v>1250</v>
      </c>
      <c r="C87" s="29">
        <v>45808.709169189802</v>
      </c>
      <c r="D87" s="1" t="s">
        <v>3052</v>
      </c>
      <c r="E87" s="1" t="s">
        <v>3053</v>
      </c>
      <c r="F87" s="1">
        <v>2</v>
      </c>
      <c r="G87" s="12" t="s">
        <v>821</v>
      </c>
      <c r="H87" s="1" t="s">
        <v>1644</v>
      </c>
      <c r="I87" s="1" t="s">
        <v>130</v>
      </c>
      <c r="J87" s="30">
        <v>130</v>
      </c>
      <c r="K87" s="30">
        <v>120000</v>
      </c>
      <c r="L87" s="31">
        <v>15600000</v>
      </c>
      <c r="M87" s="1" t="s">
        <v>16</v>
      </c>
      <c r="N87" s="1" t="s">
        <v>17</v>
      </c>
      <c r="O87" s="1" t="s">
        <v>2057</v>
      </c>
      <c r="P87" s="1" t="s">
        <v>2056</v>
      </c>
      <c r="Q87" s="1" t="s">
        <v>36</v>
      </c>
      <c r="R87" s="1">
        <f t="shared" si="1"/>
        <v>2</v>
      </c>
      <c r="S87" s="4">
        <f>J87*K87*M87</f>
        <v>1248000</v>
      </c>
    </row>
    <row r="88" spans="1:19" ht="43" hidden="1" customHeight="1">
      <c r="A88" s="1" t="s">
        <v>2280</v>
      </c>
      <c r="B88" s="1" t="s">
        <v>1462</v>
      </c>
      <c r="C88" s="29">
        <v>45928.944135983802</v>
      </c>
      <c r="D88" s="1" t="s">
        <v>3052</v>
      </c>
      <c r="E88" s="1" t="s">
        <v>3053</v>
      </c>
      <c r="F88" s="1">
        <v>56</v>
      </c>
      <c r="G88" s="12" t="s">
        <v>821</v>
      </c>
      <c r="H88" s="1" t="s">
        <v>1614</v>
      </c>
      <c r="I88" s="1" t="s">
        <v>130</v>
      </c>
      <c r="J88" s="30">
        <v>50</v>
      </c>
      <c r="K88" s="30">
        <v>110000</v>
      </c>
      <c r="L88" s="31">
        <v>5500000</v>
      </c>
      <c r="M88" s="1" t="s">
        <v>16</v>
      </c>
      <c r="N88" s="1" t="s">
        <v>17</v>
      </c>
      <c r="O88" s="1" t="s">
        <v>2057</v>
      </c>
      <c r="P88" s="1" t="s">
        <v>2056</v>
      </c>
      <c r="Q88" s="1" t="s">
        <v>546</v>
      </c>
      <c r="R88" s="1">
        <f t="shared" si="1"/>
        <v>3</v>
      </c>
      <c r="S88" s="4">
        <f>J88*K88*M88</f>
        <v>440000</v>
      </c>
    </row>
    <row r="89" spans="1:19" ht="43" hidden="1" customHeight="1">
      <c r="A89" s="1" t="s">
        <v>2280</v>
      </c>
      <c r="B89" s="1" t="s">
        <v>1462</v>
      </c>
      <c r="C89" s="29">
        <v>45928.944135983802</v>
      </c>
      <c r="D89" s="1" t="s">
        <v>3052</v>
      </c>
      <c r="E89" s="1" t="s">
        <v>3053</v>
      </c>
      <c r="F89" s="1">
        <v>18</v>
      </c>
      <c r="G89" s="12" t="s">
        <v>623</v>
      </c>
      <c r="H89" s="1" t="s">
        <v>1605</v>
      </c>
      <c r="I89" s="1" t="s">
        <v>130</v>
      </c>
      <c r="J89" s="30">
        <v>90</v>
      </c>
      <c r="K89" s="30">
        <v>110000</v>
      </c>
      <c r="L89" s="31">
        <v>9900000</v>
      </c>
      <c r="M89" s="1" t="s">
        <v>16</v>
      </c>
      <c r="N89" s="1" t="s">
        <v>17</v>
      </c>
      <c r="O89" s="1" t="s">
        <v>2057</v>
      </c>
      <c r="P89" s="1" t="s">
        <v>2056</v>
      </c>
      <c r="Q89" s="1" t="s">
        <v>546</v>
      </c>
      <c r="R89" s="1">
        <f t="shared" si="1"/>
        <v>3</v>
      </c>
      <c r="S89" s="4">
        <f>J89*K89*M89</f>
        <v>792000</v>
      </c>
    </row>
    <row r="90" spans="1:19" ht="43" hidden="1" customHeight="1">
      <c r="A90" s="1" t="s">
        <v>2280</v>
      </c>
      <c r="B90" s="1" t="s">
        <v>1467</v>
      </c>
      <c r="C90" s="29">
        <v>45928.732318564798</v>
      </c>
      <c r="D90" s="1" t="s">
        <v>3052</v>
      </c>
      <c r="E90" s="1" t="s">
        <v>3053</v>
      </c>
      <c r="F90" s="1">
        <v>1</v>
      </c>
      <c r="G90" s="12" t="s">
        <v>623</v>
      </c>
      <c r="H90" s="1" t="s">
        <v>1605</v>
      </c>
      <c r="I90" s="1" t="s">
        <v>130</v>
      </c>
      <c r="J90" s="30">
        <v>340</v>
      </c>
      <c r="K90" s="30">
        <v>110000</v>
      </c>
      <c r="L90" s="31">
        <v>37400000</v>
      </c>
      <c r="M90" s="1" t="s">
        <v>16</v>
      </c>
      <c r="N90" s="1" t="s">
        <v>17</v>
      </c>
      <c r="O90" s="1" t="s">
        <v>2057</v>
      </c>
      <c r="P90" s="1" t="s">
        <v>2056</v>
      </c>
      <c r="Q90" s="1" t="s">
        <v>546</v>
      </c>
      <c r="R90" s="1">
        <f t="shared" si="1"/>
        <v>3</v>
      </c>
      <c r="S90" s="4">
        <f>J90*K90*M90</f>
        <v>2992000</v>
      </c>
    </row>
    <row r="91" spans="1:19" ht="43" customHeight="1">
      <c r="A91" s="1" t="s">
        <v>2280</v>
      </c>
      <c r="B91" s="1" t="s">
        <v>120</v>
      </c>
      <c r="C91" s="29">
        <v>45838.621748888901</v>
      </c>
      <c r="D91" s="1" t="s">
        <v>3052</v>
      </c>
      <c r="E91" s="1" t="s">
        <v>3053</v>
      </c>
      <c r="F91" s="1">
        <v>5</v>
      </c>
      <c r="H91" s="1" t="s">
        <v>1821</v>
      </c>
      <c r="I91" s="1" t="s">
        <v>130</v>
      </c>
      <c r="J91" s="30">
        <v>300</v>
      </c>
      <c r="K91" s="30">
        <v>3000</v>
      </c>
      <c r="L91" s="31">
        <v>900000</v>
      </c>
      <c r="M91" s="1" t="s">
        <v>16</v>
      </c>
      <c r="N91" s="1" t="s">
        <v>17</v>
      </c>
      <c r="O91" s="1" t="s">
        <v>2057</v>
      </c>
      <c r="P91" s="1" t="s">
        <v>2056</v>
      </c>
      <c r="Q91" s="1" t="s">
        <v>828</v>
      </c>
      <c r="R91" s="1">
        <f t="shared" si="1"/>
        <v>2</v>
      </c>
      <c r="S91" s="4">
        <f>J91*K91*M91</f>
        <v>72000</v>
      </c>
    </row>
    <row r="92" spans="1:19" ht="43" customHeight="1">
      <c r="A92" s="1" t="s">
        <v>2280</v>
      </c>
      <c r="B92" s="1" t="s">
        <v>1420</v>
      </c>
      <c r="C92" s="29">
        <v>45866.7486208681</v>
      </c>
      <c r="D92" s="1" t="s">
        <v>3052</v>
      </c>
      <c r="E92" s="1" t="s">
        <v>3053</v>
      </c>
      <c r="F92" s="1">
        <v>5</v>
      </c>
      <c r="H92" s="1" t="s">
        <v>1776</v>
      </c>
      <c r="I92" s="1" t="s">
        <v>1259</v>
      </c>
      <c r="J92" s="30">
        <v>600</v>
      </c>
      <c r="K92" s="30">
        <v>3000</v>
      </c>
      <c r="L92" s="31">
        <v>1800000</v>
      </c>
      <c r="M92" s="1" t="s">
        <v>16</v>
      </c>
      <c r="N92" s="1" t="s">
        <v>17</v>
      </c>
      <c r="O92" s="1" t="s">
        <v>2057</v>
      </c>
      <c r="P92" s="1" t="s">
        <v>2056</v>
      </c>
      <c r="Q92" s="1" t="s">
        <v>1763</v>
      </c>
      <c r="R92" s="1">
        <f t="shared" si="1"/>
        <v>3</v>
      </c>
      <c r="S92" s="4">
        <f>J92*K92*M92</f>
        <v>144000</v>
      </c>
    </row>
    <row r="93" spans="1:19" ht="43" customHeight="1">
      <c r="A93" s="1" t="s">
        <v>2280</v>
      </c>
      <c r="B93" s="1" t="s">
        <v>13</v>
      </c>
      <c r="C93" s="29">
        <v>45776.499996342602</v>
      </c>
      <c r="D93" s="1" t="s">
        <v>3052</v>
      </c>
      <c r="E93" s="1" t="s">
        <v>3053</v>
      </c>
      <c r="F93" s="1">
        <v>27</v>
      </c>
      <c r="H93" s="1" t="s">
        <v>1941</v>
      </c>
      <c r="I93" s="1" t="s">
        <v>638</v>
      </c>
      <c r="J93" s="30">
        <v>5</v>
      </c>
      <c r="K93" s="30">
        <v>380000</v>
      </c>
      <c r="L93" s="31">
        <v>1900000</v>
      </c>
      <c r="M93" s="1" t="s">
        <v>16</v>
      </c>
      <c r="N93" s="1" t="s">
        <v>17</v>
      </c>
      <c r="O93" s="1" t="s">
        <v>2057</v>
      </c>
      <c r="P93" s="1" t="s">
        <v>2056</v>
      </c>
      <c r="Q93" s="1" t="s">
        <v>937</v>
      </c>
      <c r="R93" s="1">
        <f t="shared" si="1"/>
        <v>2</v>
      </c>
      <c r="S93" s="4">
        <f>J93*K93*M93</f>
        <v>152000</v>
      </c>
    </row>
    <row r="94" spans="1:19" ht="43" hidden="1" customHeight="1">
      <c r="A94" s="1" t="s">
        <v>2280</v>
      </c>
      <c r="B94" s="1" t="s">
        <v>152</v>
      </c>
      <c r="C94" s="29">
        <v>45836.413450243097</v>
      </c>
      <c r="D94" s="1" t="s">
        <v>3052</v>
      </c>
      <c r="E94" s="1" t="s">
        <v>3053</v>
      </c>
      <c r="F94" s="1">
        <v>2</v>
      </c>
      <c r="G94" s="32" t="s">
        <v>34</v>
      </c>
      <c r="H94" s="1" t="s">
        <v>1849</v>
      </c>
      <c r="I94" s="1" t="s">
        <v>62</v>
      </c>
      <c r="J94" s="30">
        <v>45</v>
      </c>
      <c r="K94" s="30">
        <v>30000</v>
      </c>
      <c r="L94" s="31">
        <v>1350000</v>
      </c>
      <c r="M94" s="1" t="s">
        <v>16</v>
      </c>
      <c r="N94" s="1" t="s">
        <v>17</v>
      </c>
      <c r="O94" s="1" t="s">
        <v>2057</v>
      </c>
      <c r="P94" s="1" t="s">
        <v>2056</v>
      </c>
      <c r="Q94" s="1" t="s">
        <v>845</v>
      </c>
      <c r="R94" s="1">
        <f t="shared" si="1"/>
        <v>2</v>
      </c>
      <c r="S94" s="4">
        <f>J94*K94*M94</f>
        <v>108000</v>
      </c>
    </row>
    <row r="95" spans="1:19" ht="43" customHeight="1">
      <c r="A95" s="1" t="s">
        <v>2280</v>
      </c>
      <c r="B95" s="1" t="s">
        <v>1158</v>
      </c>
      <c r="C95" s="29">
        <v>45868.606624756903</v>
      </c>
      <c r="D95" s="1" t="s">
        <v>3052</v>
      </c>
      <c r="E95" s="1" t="s">
        <v>3053</v>
      </c>
      <c r="F95" s="1">
        <v>23</v>
      </c>
      <c r="H95" s="1" t="s">
        <v>1756</v>
      </c>
      <c r="I95" s="1" t="s">
        <v>71</v>
      </c>
      <c r="J95" s="30">
        <v>100</v>
      </c>
      <c r="K95" s="30">
        <v>90000</v>
      </c>
      <c r="L95" s="31">
        <v>9000000</v>
      </c>
      <c r="M95" s="1" t="s">
        <v>16</v>
      </c>
      <c r="N95" s="1" t="s">
        <v>17</v>
      </c>
      <c r="O95" s="1" t="s">
        <v>2057</v>
      </c>
      <c r="P95" s="1" t="s">
        <v>2056</v>
      </c>
      <c r="Q95" s="1" t="s">
        <v>800</v>
      </c>
      <c r="R95" s="1">
        <f t="shared" si="1"/>
        <v>3</v>
      </c>
      <c r="S95" s="4">
        <f>J95*K95*M95</f>
        <v>720000</v>
      </c>
    </row>
    <row r="96" spans="1:19" ht="43" customHeight="1">
      <c r="A96" s="1" t="s">
        <v>2280</v>
      </c>
      <c r="B96" s="1" t="s">
        <v>1420</v>
      </c>
      <c r="C96" s="29">
        <v>45866.7486208681</v>
      </c>
      <c r="D96" s="1" t="s">
        <v>3052</v>
      </c>
      <c r="E96" s="1" t="s">
        <v>3053</v>
      </c>
      <c r="F96" s="1">
        <v>21</v>
      </c>
      <c r="H96" s="1" t="s">
        <v>1781</v>
      </c>
      <c r="I96" s="1" t="s">
        <v>62</v>
      </c>
      <c r="J96" s="30">
        <v>330.4</v>
      </c>
      <c r="K96" s="30">
        <v>21000</v>
      </c>
      <c r="L96" s="31">
        <v>6938400</v>
      </c>
      <c r="M96" s="1" t="s">
        <v>16</v>
      </c>
      <c r="N96" s="1" t="s">
        <v>17</v>
      </c>
      <c r="O96" s="1" t="s">
        <v>2057</v>
      </c>
      <c r="P96" s="1" t="s">
        <v>2056</v>
      </c>
      <c r="Q96" s="1" t="s">
        <v>1763</v>
      </c>
      <c r="R96" s="1">
        <f t="shared" si="1"/>
        <v>3</v>
      </c>
      <c r="S96" s="4">
        <f>J96*K96*M96</f>
        <v>555071.99999999988</v>
      </c>
    </row>
    <row r="97" spans="1:19" ht="43" customHeight="1">
      <c r="A97" s="1" t="s">
        <v>2280</v>
      </c>
      <c r="B97" s="1" t="s">
        <v>1281</v>
      </c>
      <c r="C97" s="29">
        <v>45826.432234166699</v>
      </c>
      <c r="D97" s="1" t="s">
        <v>3058</v>
      </c>
      <c r="E97" s="1" t="s">
        <v>3059</v>
      </c>
      <c r="F97" s="1">
        <v>3</v>
      </c>
      <c r="H97" s="1" t="s">
        <v>1781</v>
      </c>
      <c r="I97" s="1" t="s">
        <v>62</v>
      </c>
      <c r="J97" s="30">
        <v>51.8</v>
      </c>
      <c r="K97" s="30">
        <v>20000</v>
      </c>
      <c r="L97" s="31">
        <v>1036000</v>
      </c>
      <c r="M97" s="1" t="s">
        <v>16</v>
      </c>
      <c r="N97" s="1" t="s">
        <v>17</v>
      </c>
      <c r="O97" s="1" t="s">
        <v>2057</v>
      </c>
      <c r="P97" s="1" t="s">
        <v>2056</v>
      </c>
      <c r="Q97" s="1" t="s">
        <v>863</v>
      </c>
      <c r="R97" s="1">
        <f t="shared" si="1"/>
        <v>2</v>
      </c>
      <c r="S97" s="4">
        <f>J97*K97*M97</f>
        <v>82880</v>
      </c>
    </row>
    <row r="98" spans="1:19" ht="43" hidden="1" customHeight="1">
      <c r="A98" s="1" t="s">
        <v>2072</v>
      </c>
      <c r="B98" s="1" t="s">
        <v>1294</v>
      </c>
      <c r="C98" s="29">
        <v>46021.613942164397</v>
      </c>
      <c r="D98" s="1" t="s">
        <v>3052</v>
      </c>
      <c r="E98" s="1" t="s">
        <v>3053</v>
      </c>
      <c r="F98" s="1">
        <v>51</v>
      </c>
      <c r="G98" s="12" t="s">
        <v>1329</v>
      </c>
      <c r="H98" s="1" t="s">
        <v>1329</v>
      </c>
      <c r="I98" s="1" t="s">
        <v>130</v>
      </c>
      <c r="J98" s="30">
        <v>10</v>
      </c>
      <c r="K98" s="30">
        <v>120000</v>
      </c>
      <c r="L98" s="31">
        <v>1200000</v>
      </c>
      <c r="M98" s="1" t="s">
        <v>16</v>
      </c>
      <c r="N98" s="1" t="s">
        <v>17</v>
      </c>
      <c r="O98" s="1" t="s">
        <v>2057</v>
      </c>
      <c r="P98" s="1" t="s">
        <v>2056</v>
      </c>
      <c r="Q98" s="1" t="s">
        <v>1474</v>
      </c>
      <c r="R98" s="1">
        <f t="shared" si="1"/>
        <v>4</v>
      </c>
      <c r="S98" s="4">
        <f>J98*K98*M98</f>
        <v>96000</v>
      </c>
    </row>
    <row r="99" spans="1:19" ht="43" hidden="1" customHeight="1">
      <c r="A99" s="1" t="s">
        <v>2072</v>
      </c>
      <c r="B99" s="1" t="s">
        <v>146</v>
      </c>
      <c r="C99" s="29">
        <v>46020.386763703696</v>
      </c>
      <c r="D99" s="1" t="s">
        <v>3052</v>
      </c>
      <c r="E99" s="1" t="s">
        <v>3053</v>
      </c>
      <c r="F99" s="1">
        <v>12</v>
      </c>
      <c r="G99" s="12" t="s">
        <v>1329</v>
      </c>
      <c r="H99" s="1" t="s">
        <v>1329</v>
      </c>
      <c r="I99" s="1" t="s">
        <v>130</v>
      </c>
      <c r="J99" s="30">
        <v>4</v>
      </c>
      <c r="K99" s="30">
        <v>30000</v>
      </c>
      <c r="L99" s="31">
        <v>120000</v>
      </c>
      <c r="M99" s="1" t="s">
        <v>16</v>
      </c>
      <c r="N99" s="1" t="s">
        <v>17</v>
      </c>
      <c r="O99" s="1" t="s">
        <v>2057</v>
      </c>
      <c r="P99" s="1" t="s">
        <v>2056</v>
      </c>
      <c r="Q99" s="1" t="s">
        <v>275</v>
      </c>
      <c r="R99" s="1">
        <f t="shared" si="1"/>
        <v>4</v>
      </c>
      <c r="S99" s="4">
        <f>J99*K99*M99</f>
        <v>9600</v>
      </c>
    </row>
    <row r="100" spans="1:19" ht="43" hidden="1" customHeight="1">
      <c r="A100" s="1" t="s">
        <v>2280</v>
      </c>
      <c r="B100" s="1" t="s">
        <v>1400</v>
      </c>
      <c r="C100" s="29">
        <v>45990.721094398097</v>
      </c>
      <c r="D100" s="1" t="s">
        <v>3052</v>
      </c>
      <c r="E100" s="1" t="s">
        <v>3053</v>
      </c>
      <c r="F100" s="1">
        <v>67</v>
      </c>
      <c r="G100" s="12" t="s">
        <v>1329</v>
      </c>
      <c r="H100" s="1" t="s">
        <v>1329</v>
      </c>
      <c r="I100" s="1" t="s">
        <v>130</v>
      </c>
      <c r="J100" s="30">
        <v>5</v>
      </c>
      <c r="K100" s="30">
        <v>90000</v>
      </c>
      <c r="L100" s="31">
        <v>450000</v>
      </c>
      <c r="M100" s="1" t="s">
        <v>16</v>
      </c>
      <c r="N100" s="1" t="s">
        <v>17</v>
      </c>
      <c r="O100" s="1" t="s">
        <v>2057</v>
      </c>
      <c r="P100" s="1" t="s">
        <v>2056</v>
      </c>
      <c r="Q100" s="1" t="s">
        <v>1531</v>
      </c>
      <c r="R100" s="1">
        <f t="shared" si="1"/>
        <v>4</v>
      </c>
      <c r="S100" s="4">
        <f>J100*K100*M100</f>
        <v>36000</v>
      </c>
    </row>
    <row r="101" spans="1:19" ht="43" hidden="1" customHeight="1">
      <c r="A101" s="1" t="s">
        <v>2280</v>
      </c>
      <c r="B101" s="1" t="s">
        <v>326</v>
      </c>
      <c r="C101" s="29">
        <v>45960.658345080999</v>
      </c>
      <c r="D101" s="1" t="s">
        <v>3052</v>
      </c>
      <c r="E101" s="1" t="s">
        <v>3053</v>
      </c>
      <c r="F101" s="1">
        <v>28</v>
      </c>
      <c r="G101" s="32" t="s">
        <v>539</v>
      </c>
      <c r="H101" s="1" t="s">
        <v>539</v>
      </c>
      <c r="I101" s="1" t="s">
        <v>638</v>
      </c>
      <c r="J101" s="30">
        <v>2</v>
      </c>
      <c r="K101" s="30">
        <v>900000</v>
      </c>
      <c r="L101" s="31">
        <v>1800000</v>
      </c>
      <c r="M101" s="1" t="s">
        <v>16</v>
      </c>
      <c r="N101" s="1" t="s">
        <v>17</v>
      </c>
      <c r="O101" s="1" t="s">
        <v>2057</v>
      </c>
      <c r="P101" s="1" t="s">
        <v>2056</v>
      </c>
      <c r="Q101" s="1" t="s">
        <v>533</v>
      </c>
      <c r="R101" s="1">
        <f t="shared" si="1"/>
        <v>4</v>
      </c>
      <c r="S101" s="4">
        <f>J101*K101*M101</f>
        <v>144000</v>
      </c>
    </row>
    <row r="102" spans="1:19" ht="43" hidden="1" customHeight="1">
      <c r="A102" s="1" t="s">
        <v>2280</v>
      </c>
      <c r="B102" s="1" t="s">
        <v>1462</v>
      </c>
      <c r="C102" s="29">
        <v>45928.944135983802</v>
      </c>
      <c r="D102" s="1" t="s">
        <v>3052</v>
      </c>
      <c r="E102" s="1" t="s">
        <v>3053</v>
      </c>
      <c r="F102" s="1">
        <v>53</v>
      </c>
      <c r="G102" s="32" t="s">
        <v>539</v>
      </c>
      <c r="H102" s="1" t="s">
        <v>539</v>
      </c>
      <c r="I102" s="1" t="s">
        <v>638</v>
      </c>
      <c r="J102" s="30">
        <v>2</v>
      </c>
      <c r="K102" s="30">
        <v>900000</v>
      </c>
      <c r="L102" s="31">
        <v>1800000</v>
      </c>
      <c r="M102" s="1" t="s">
        <v>16</v>
      </c>
      <c r="N102" s="1" t="s">
        <v>17</v>
      </c>
      <c r="O102" s="1" t="s">
        <v>2057</v>
      </c>
      <c r="P102" s="1" t="s">
        <v>2056</v>
      </c>
      <c r="Q102" s="1" t="s">
        <v>546</v>
      </c>
      <c r="R102" s="1">
        <f t="shared" si="1"/>
        <v>3</v>
      </c>
      <c r="S102" s="4">
        <f>J102*K102*M102</f>
        <v>144000</v>
      </c>
    </row>
    <row r="103" spans="1:19" ht="43" hidden="1" customHeight="1">
      <c r="A103" s="1" t="s">
        <v>2280</v>
      </c>
      <c r="B103" s="1" t="s">
        <v>1467</v>
      </c>
      <c r="C103" s="29">
        <v>45928.732318564798</v>
      </c>
      <c r="D103" s="1" t="s">
        <v>3052</v>
      </c>
      <c r="E103" s="1" t="s">
        <v>3053</v>
      </c>
      <c r="F103" s="1">
        <v>6</v>
      </c>
      <c r="G103" s="32" t="s">
        <v>539</v>
      </c>
      <c r="H103" s="1" t="s">
        <v>539</v>
      </c>
      <c r="I103" s="1" t="s">
        <v>638</v>
      </c>
      <c r="J103" s="30">
        <v>4</v>
      </c>
      <c r="K103" s="30">
        <v>900000</v>
      </c>
      <c r="L103" s="31">
        <v>3600000</v>
      </c>
      <c r="M103" s="1" t="s">
        <v>16</v>
      </c>
      <c r="N103" s="1" t="s">
        <v>17</v>
      </c>
      <c r="O103" s="1" t="s">
        <v>2057</v>
      </c>
      <c r="P103" s="1" t="s">
        <v>2056</v>
      </c>
      <c r="Q103" s="1" t="s">
        <v>546</v>
      </c>
      <c r="R103" s="1">
        <f t="shared" si="1"/>
        <v>3</v>
      </c>
      <c r="S103" s="4">
        <f>J103*K103*M103</f>
        <v>288000</v>
      </c>
    </row>
    <row r="104" spans="1:19" ht="43" hidden="1" customHeight="1">
      <c r="A104" s="1" t="s">
        <v>2280</v>
      </c>
      <c r="B104" s="1" t="s">
        <v>1467</v>
      </c>
      <c r="C104" s="29">
        <v>45928.732318564798</v>
      </c>
      <c r="D104" s="1" t="s">
        <v>3052</v>
      </c>
      <c r="E104" s="1" t="s">
        <v>3053</v>
      </c>
      <c r="F104" s="1">
        <v>45</v>
      </c>
      <c r="G104" s="32" t="s">
        <v>34</v>
      </c>
      <c r="H104" s="1" t="s">
        <v>34</v>
      </c>
      <c r="I104" s="1" t="s">
        <v>62</v>
      </c>
      <c r="J104" s="30">
        <v>10</v>
      </c>
      <c r="K104" s="30">
        <v>40000</v>
      </c>
      <c r="L104" s="31">
        <v>400000</v>
      </c>
      <c r="M104" s="1" t="s">
        <v>16</v>
      </c>
      <c r="N104" s="1" t="s">
        <v>17</v>
      </c>
      <c r="O104" s="1" t="s">
        <v>2057</v>
      </c>
      <c r="P104" s="1" t="s">
        <v>2056</v>
      </c>
      <c r="Q104" s="1" t="s">
        <v>546</v>
      </c>
      <c r="R104" s="1">
        <f t="shared" si="1"/>
        <v>3</v>
      </c>
      <c r="S104" s="4">
        <f>J104*K104*M104</f>
        <v>32000</v>
      </c>
    </row>
    <row r="105" spans="1:19" ht="43" hidden="1" customHeight="1">
      <c r="A105" s="1" t="s">
        <v>2280</v>
      </c>
      <c r="B105" s="1" t="s">
        <v>1412</v>
      </c>
      <c r="C105" s="29">
        <v>45898.896986157401</v>
      </c>
      <c r="D105" s="1" t="s">
        <v>3052</v>
      </c>
      <c r="E105" s="1" t="s">
        <v>3053</v>
      </c>
      <c r="F105" s="1">
        <v>72</v>
      </c>
      <c r="G105" s="32" t="s">
        <v>34</v>
      </c>
      <c r="H105" s="1" t="s">
        <v>34</v>
      </c>
      <c r="I105" s="1" t="s">
        <v>62</v>
      </c>
      <c r="J105" s="30">
        <v>45</v>
      </c>
      <c r="K105" s="30">
        <v>40000</v>
      </c>
      <c r="L105" s="31">
        <v>1800000</v>
      </c>
      <c r="M105" s="1" t="s">
        <v>16</v>
      </c>
      <c r="N105" s="1" t="s">
        <v>17</v>
      </c>
      <c r="O105" s="1" t="s">
        <v>2057</v>
      </c>
      <c r="P105" s="1" t="s">
        <v>2056</v>
      </c>
      <c r="Q105" s="1" t="s">
        <v>652</v>
      </c>
      <c r="R105" s="1">
        <f t="shared" si="1"/>
        <v>3</v>
      </c>
      <c r="S105" s="4">
        <f>J105*K105*M105</f>
        <v>144000</v>
      </c>
    </row>
    <row r="106" spans="1:19" ht="43" hidden="1" customHeight="1">
      <c r="A106" s="1" t="s">
        <v>2280</v>
      </c>
      <c r="B106" s="1" t="s">
        <v>193</v>
      </c>
      <c r="C106" s="29">
        <v>45898.577999004599</v>
      </c>
      <c r="D106" s="1" t="s">
        <v>3058</v>
      </c>
      <c r="E106" s="1" t="s">
        <v>3059</v>
      </c>
      <c r="F106" s="1">
        <v>6</v>
      </c>
      <c r="G106" s="32" t="s">
        <v>34</v>
      </c>
      <c r="H106" s="1" t="s">
        <v>34</v>
      </c>
      <c r="I106" s="1" t="s">
        <v>62</v>
      </c>
      <c r="J106" s="30">
        <v>22.5</v>
      </c>
      <c r="K106" s="30">
        <v>40000</v>
      </c>
      <c r="L106" s="31">
        <v>900000</v>
      </c>
      <c r="M106" s="1" t="s">
        <v>16</v>
      </c>
      <c r="N106" s="1" t="s">
        <v>17</v>
      </c>
      <c r="O106" s="1" t="s">
        <v>2057</v>
      </c>
      <c r="P106" s="1" t="s">
        <v>2056</v>
      </c>
      <c r="Q106" s="1" t="s">
        <v>652</v>
      </c>
      <c r="R106" s="1">
        <f t="shared" si="1"/>
        <v>3</v>
      </c>
      <c r="S106" s="4">
        <f>J106*K106*M106</f>
        <v>72000</v>
      </c>
    </row>
    <row r="107" spans="1:19" ht="43" hidden="1" customHeight="1">
      <c r="A107" s="1" t="s">
        <v>2280</v>
      </c>
      <c r="B107" s="1" t="s">
        <v>1422</v>
      </c>
      <c r="C107" s="29">
        <v>45864.4394789699</v>
      </c>
      <c r="D107" s="1" t="s">
        <v>3058</v>
      </c>
      <c r="E107" s="1" t="s">
        <v>3059</v>
      </c>
      <c r="F107" s="1">
        <v>4</v>
      </c>
      <c r="G107" s="32" t="s">
        <v>34</v>
      </c>
      <c r="H107" s="1" t="s">
        <v>34</v>
      </c>
      <c r="I107" s="1" t="s">
        <v>62</v>
      </c>
      <c r="J107" s="30">
        <v>8.75</v>
      </c>
      <c r="K107" s="30">
        <v>40000</v>
      </c>
      <c r="L107" s="31">
        <v>350000</v>
      </c>
      <c r="M107" s="1" t="s">
        <v>16</v>
      </c>
      <c r="N107" s="1" t="s">
        <v>17</v>
      </c>
      <c r="O107" s="1" t="s">
        <v>2057</v>
      </c>
      <c r="P107" s="1" t="s">
        <v>2056</v>
      </c>
      <c r="Q107" s="1" t="s">
        <v>1785</v>
      </c>
      <c r="R107" s="1">
        <f t="shared" si="1"/>
        <v>3</v>
      </c>
      <c r="S107" s="4">
        <f>J107*K107*M107</f>
        <v>28000</v>
      </c>
    </row>
    <row r="108" spans="1:19" ht="43" hidden="1" customHeight="1">
      <c r="A108" s="1" t="s">
        <v>2280</v>
      </c>
      <c r="B108" s="1" t="s">
        <v>1281</v>
      </c>
      <c r="C108" s="29">
        <v>45826.432234166699</v>
      </c>
      <c r="D108" s="1" t="s">
        <v>3058</v>
      </c>
      <c r="E108" s="1" t="s">
        <v>3059</v>
      </c>
      <c r="F108" s="1">
        <v>1</v>
      </c>
      <c r="G108" s="32" t="s">
        <v>34</v>
      </c>
      <c r="H108" s="1" t="s">
        <v>34</v>
      </c>
      <c r="I108" s="1" t="s">
        <v>62</v>
      </c>
      <c r="J108" s="30">
        <v>22.5</v>
      </c>
      <c r="K108" s="30">
        <v>40000</v>
      </c>
      <c r="L108" s="31">
        <v>900000</v>
      </c>
      <c r="M108" s="1" t="s">
        <v>16</v>
      </c>
      <c r="N108" s="1" t="s">
        <v>17</v>
      </c>
      <c r="O108" s="1" t="s">
        <v>2057</v>
      </c>
      <c r="P108" s="1" t="s">
        <v>2056</v>
      </c>
      <c r="Q108" s="1" t="s">
        <v>863</v>
      </c>
      <c r="R108" s="1">
        <f t="shared" si="1"/>
        <v>2</v>
      </c>
      <c r="S108" s="4">
        <f>J108*K108*M108</f>
        <v>72000</v>
      </c>
    </row>
    <row r="109" spans="1:19" ht="43" hidden="1" customHeight="1">
      <c r="A109" s="1" t="s">
        <v>2280</v>
      </c>
      <c r="B109" s="1" t="s">
        <v>305</v>
      </c>
      <c r="C109" s="29">
        <v>45709.705238449103</v>
      </c>
      <c r="D109" s="1" t="s">
        <v>3052</v>
      </c>
      <c r="E109" s="1" t="s">
        <v>3053</v>
      </c>
      <c r="F109" s="1">
        <v>7</v>
      </c>
      <c r="G109" s="32" t="s">
        <v>2041</v>
      </c>
      <c r="H109" s="1" t="s">
        <v>2041</v>
      </c>
      <c r="I109" s="1" t="s">
        <v>71</v>
      </c>
      <c r="J109" s="30">
        <v>57</v>
      </c>
      <c r="K109" s="30">
        <v>89000</v>
      </c>
      <c r="L109" s="31">
        <v>5073000</v>
      </c>
      <c r="M109" s="1" t="s">
        <v>16</v>
      </c>
      <c r="N109" s="1" t="s">
        <v>17</v>
      </c>
      <c r="O109" s="1" t="s">
        <v>2057</v>
      </c>
      <c r="P109" s="1" t="s">
        <v>2056</v>
      </c>
      <c r="Q109" s="1" t="s">
        <v>2040</v>
      </c>
      <c r="R109" s="1">
        <f t="shared" si="1"/>
        <v>1</v>
      </c>
      <c r="S109" s="4">
        <f>J109*K109*M109</f>
        <v>405840</v>
      </c>
    </row>
    <row r="110" spans="1:19" ht="43" hidden="1" customHeight="1">
      <c r="A110" s="1" t="s">
        <v>2280</v>
      </c>
      <c r="B110" s="1" t="s">
        <v>137</v>
      </c>
      <c r="C110" s="29">
        <v>45868.572525138901</v>
      </c>
      <c r="D110" s="1" t="s">
        <v>3056</v>
      </c>
      <c r="E110" s="1" t="s">
        <v>3057</v>
      </c>
      <c r="F110" s="1">
        <v>8</v>
      </c>
      <c r="G110" s="12" t="s">
        <v>627</v>
      </c>
      <c r="H110" s="1" t="s">
        <v>1760</v>
      </c>
      <c r="I110" s="1" t="s">
        <v>130</v>
      </c>
      <c r="J110" s="30">
        <v>143</v>
      </c>
      <c r="K110" s="30">
        <v>18000</v>
      </c>
      <c r="L110" s="31">
        <v>2574000</v>
      </c>
      <c r="M110" s="1" t="s">
        <v>30</v>
      </c>
      <c r="N110" s="1" t="s">
        <v>17</v>
      </c>
      <c r="O110" s="1" t="s">
        <v>2057</v>
      </c>
      <c r="P110" s="1" t="s">
        <v>2056</v>
      </c>
      <c r="Q110" s="1" t="s">
        <v>800</v>
      </c>
      <c r="R110" s="1">
        <f t="shared" si="1"/>
        <v>3</v>
      </c>
      <c r="S110" s="4">
        <f>J110*K110*M110</f>
        <v>257400</v>
      </c>
    </row>
    <row r="111" spans="1:19" ht="43" hidden="1" customHeight="1">
      <c r="A111" s="1" t="s">
        <v>2280</v>
      </c>
      <c r="B111" s="1" t="s">
        <v>1143</v>
      </c>
      <c r="C111" s="29">
        <v>45926.638938830998</v>
      </c>
      <c r="D111" s="1" t="s">
        <v>3056</v>
      </c>
      <c r="E111" s="1" t="s">
        <v>3057</v>
      </c>
      <c r="F111" s="1">
        <v>4</v>
      </c>
      <c r="G111" s="12" t="s">
        <v>627</v>
      </c>
      <c r="H111" s="1" t="s">
        <v>541</v>
      </c>
      <c r="I111" s="1" t="s">
        <v>130</v>
      </c>
      <c r="J111" s="30">
        <v>200</v>
      </c>
      <c r="K111" s="30">
        <v>18000</v>
      </c>
      <c r="L111" s="31">
        <v>3600000</v>
      </c>
      <c r="M111" s="1" t="s">
        <v>30</v>
      </c>
      <c r="N111" s="1" t="s">
        <v>17</v>
      </c>
      <c r="O111" s="1" t="s">
        <v>2057</v>
      </c>
      <c r="P111" s="1" t="s">
        <v>2056</v>
      </c>
      <c r="Q111" s="1" t="s">
        <v>558</v>
      </c>
      <c r="R111" s="1">
        <f t="shared" si="1"/>
        <v>3</v>
      </c>
      <c r="S111" s="4">
        <f>J111*K111*M111</f>
        <v>360000</v>
      </c>
    </row>
    <row r="112" spans="1:19" ht="43" hidden="1" customHeight="1">
      <c r="A112" s="1" t="s">
        <v>2280</v>
      </c>
      <c r="B112" s="1" t="s">
        <v>1442</v>
      </c>
      <c r="C112" s="29">
        <v>45960.6594943866</v>
      </c>
      <c r="D112" s="1" t="s">
        <v>3052</v>
      </c>
      <c r="E112" s="1" t="s">
        <v>3053</v>
      </c>
      <c r="F112" s="1">
        <v>7</v>
      </c>
      <c r="G112" s="12" t="s">
        <v>1194</v>
      </c>
      <c r="H112" s="1" t="s">
        <v>1194</v>
      </c>
      <c r="I112" s="1" t="s">
        <v>130</v>
      </c>
      <c r="J112" s="30">
        <v>2100</v>
      </c>
      <c r="K112" s="30">
        <v>20000</v>
      </c>
      <c r="L112" s="31">
        <v>42000000</v>
      </c>
      <c r="M112" s="1" t="s">
        <v>30</v>
      </c>
      <c r="N112" s="1" t="s">
        <v>17</v>
      </c>
      <c r="O112" s="1" t="s">
        <v>2057</v>
      </c>
      <c r="P112" s="1" t="s">
        <v>2056</v>
      </c>
      <c r="Q112" s="1" t="s">
        <v>533</v>
      </c>
      <c r="R112" s="1">
        <f t="shared" si="1"/>
        <v>4</v>
      </c>
      <c r="S112" s="4">
        <f>J112*K112*M112</f>
        <v>4200000</v>
      </c>
    </row>
    <row r="113" spans="1:19" ht="43" hidden="1" customHeight="1">
      <c r="A113" s="1" t="s">
        <v>2280</v>
      </c>
      <c r="B113" s="1" t="s">
        <v>188</v>
      </c>
      <c r="C113" s="29">
        <v>45928.944600393501</v>
      </c>
      <c r="D113" s="1" t="s">
        <v>3052</v>
      </c>
      <c r="E113" s="1" t="s">
        <v>3053</v>
      </c>
      <c r="F113" s="1">
        <v>8</v>
      </c>
      <c r="G113" s="12" t="s">
        <v>1194</v>
      </c>
      <c r="H113" s="1" t="s">
        <v>1194</v>
      </c>
      <c r="I113" s="1" t="s">
        <v>130</v>
      </c>
      <c r="J113" s="30">
        <v>2750</v>
      </c>
      <c r="K113" s="30">
        <v>20000</v>
      </c>
      <c r="L113" s="31">
        <v>55000000</v>
      </c>
      <c r="M113" s="1" t="s">
        <v>30</v>
      </c>
      <c r="N113" s="1" t="s">
        <v>17</v>
      </c>
      <c r="O113" s="1" t="s">
        <v>2057</v>
      </c>
      <c r="P113" s="1" t="s">
        <v>2056</v>
      </c>
      <c r="Q113" s="1" t="s">
        <v>546</v>
      </c>
      <c r="R113" s="1">
        <f t="shared" si="1"/>
        <v>3</v>
      </c>
      <c r="S113" s="4">
        <f>J113*K113*M113</f>
        <v>5500000</v>
      </c>
    </row>
    <row r="114" spans="1:19" ht="43" hidden="1" customHeight="1">
      <c r="A114" s="1" t="s">
        <v>2280</v>
      </c>
      <c r="B114" s="1" t="s">
        <v>1419</v>
      </c>
      <c r="C114" s="29">
        <v>45866.749486990702</v>
      </c>
      <c r="D114" s="1" t="s">
        <v>3052</v>
      </c>
      <c r="E114" s="1" t="s">
        <v>3053</v>
      </c>
      <c r="F114" s="1">
        <v>18</v>
      </c>
      <c r="G114" s="12" t="s">
        <v>1194</v>
      </c>
      <c r="H114" s="1" t="s">
        <v>1194</v>
      </c>
      <c r="I114" s="1" t="s">
        <v>130</v>
      </c>
      <c r="J114" s="30">
        <v>1500</v>
      </c>
      <c r="K114" s="30">
        <v>20000</v>
      </c>
      <c r="L114" s="31">
        <v>30000000</v>
      </c>
      <c r="M114" s="1" t="s">
        <v>30</v>
      </c>
      <c r="N114" s="1" t="s">
        <v>17</v>
      </c>
      <c r="O114" s="1" t="s">
        <v>2057</v>
      </c>
      <c r="P114" s="1" t="s">
        <v>2056</v>
      </c>
      <c r="Q114" s="1" t="s">
        <v>1763</v>
      </c>
      <c r="R114" s="1">
        <f t="shared" si="1"/>
        <v>3</v>
      </c>
      <c r="S114" s="4">
        <f>J114*K114*M114</f>
        <v>3000000</v>
      </c>
    </row>
    <row r="115" spans="1:19" ht="43" hidden="1" customHeight="1">
      <c r="A115" s="1" t="s">
        <v>2280</v>
      </c>
      <c r="B115" s="1" t="s">
        <v>1421</v>
      </c>
      <c r="C115" s="29">
        <v>45864.4410266782</v>
      </c>
      <c r="D115" s="1" t="s">
        <v>3058</v>
      </c>
      <c r="E115" s="1" t="s">
        <v>3059</v>
      </c>
      <c r="F115" s="1">
        <v>1</v>
      </c>
      <c r="G115" s="12" t="s">
        <v>1194</v>
      </c>
      <c r="H115" s="1" t="s">
        <v>1194</v>
      </c>
      <c r="I115" s="1" t="s">
        <v>15</v>
      </c>
      <c r="J115" s="30">
        <v>900</v>
      </c>
      <c r="K115" s="30">
        <v>20909.09</v>
      </c>
      <c r="L115" s="31">
        <v>18818181</v>
      </c>
      <c r="M115" s="1" t="s">
        <v>30</v>
      </c>
      <c r="N115" s="1" t="s">
        <v>17</v>
      </c>
      <c r="O115" s="1" t="s">
        <v>2057</v>
      </c>
      <c r="P115" s="1" t="s">
        <v>2056</v>
      </c>
      <c r="Q115" s="1" t="s">
        <v>1785</v>
      </c>
      <c r="R115" s="1">
        <f t="shared" si="1"/>
        <v>3</v>
      </c>
      <c r="S115" s="4">
        <f>J115*K115*M115</f>
        <v>1881818.1</v>
      </c>
    </row>
    <row r="116" spans="1:19" ht="43" hidden="1" customHeight="1">
      <c r="A116" s="1" t="s">
        <v>2280</v>
      </c>
      <c r="B116" s="1" t="s">
        <v>178</v>
      </c>
      <c r="C116" s="29">
        <v>45843.566720439798</v>
      </c>
      <c r="D116" s="1" t="s">
        <v>3052</v>
      </c>
      <c r="E116" s="1" t="s">
        <v>3053</v>
      </c>
      <c r="F116" s="1">
        <v>3</v>
      </c>
      <c r="G116" s="12" t="s">
        <v>1194</v>
      </c>
      <c r="H116" s="1" t="s">
        <v>203</v>
      </c>
      <c r="I116" s="1" t="s">
        <v>130</v>
      </c>
      <c r="J116" s="30">
        <v>2700</v>
      </c>
      <c r="K116" s="30">
        <v>16500</v>
      </c>
      <c r="L116" s="31">
        <v>44550000</v>
      </c>
      <c r="M116" s="1" t="s">
        <v>30</v>
      </c>
      <c r="N116" s="1" t="s">
        <v>17</v>
      </c>
      <c r="O116" s="1" t="s">
        <v>2057</v>
      </c>
      <c r="P116" s="1" t="s">
        <v>2056</v>
      </c>
      <c r="Q116" s="1" t="s">
        <v>808</v>
      </c>
      <c r="R116" s="1">
        <f t="shared" si="1"/>
        <v>3</v>
      </c>
      <c r="S116" s="4">
        <f>J116*K116*M116</f>
        <v>4455000</v>
      </c>
    </row>
    <row r="117" spans="1:19" ht="43" hidden="1" customHeight="1">
      <c r="A117" s="1" t="s">
        <v>2280</v>
      </c>
      <c r="B117" s="1" t="s">
        <v>1276</v>
      </c>
      <c r="C117" s="29">
        <v>45831.391818900498</v>
      </c>
      <c r="D117" s="1" t="s">
        <v>3052</v>
      </c>
      <c r="E117" s="1" t="s">
        <v>3053</v>
      </c>
      <c r="F117" s="1">
        <v>3</v>
      </c>
      <c r="G117" s="12" t="s">
        <v>1194</v>
      </c>
      <c r="H117" s="1" t="s">
        <v>203</v>
      </c>
      <c r="I117" s="1" t="s">
        <v>15</v>
      </c>
      <c r="J117" s="30">
        <v>1000</v>
      </c>
      <c r="K117" s="30">
        <v>16500</v>
      </c>
      <c r="L117" s="31">
        <v>16500000</v>
      </c>
      <c r="M117" s="1" t="s">
        <v>30</v>
      </c>
      <c r="N117" s="1" t="s">
        <v>17</v>
      </c>
      <c r="O117" s="1" t="s">
        <v>2057</v>
      </c>
      <c r="P117" s="1" t="s">
        <v>2056</v>
      </c>
      <c r="Q117" s="1" t="s">
        <v>1856</v>
      </c>
      <c r="R117" s="1">
        <f t="shared" si="1"/>
        <v>2</v>
      </c>
      <c r="S117" s="4">
        <f>J117*K117*M117</f>
        <v>1650000</v>
      </c>
    </row>
    <row r="118" spans="1:19" ht="43" hidden="1" customHeight="1">
      <c r="A118" s="1" t="s">
        <v>2280</v>
      </c>
      <c r="B118" s="1" t="s">
        <v>442</v>
      </c>
      <c r="C118" s="29">
        <v>45817.574854166698</v>
      </c>
      <c r="D118" s="1" t="s">
        <v>3052</v>
      </c>
      <c r="E118" s="1" t="s">
        <v>3053</v>
      </c>
      <c r="F118" s="1">
        <v>1</v>
      </c>
      <c r="G118" s="12" t="s">
        <v>1194</v>
      </c>
      <c r="H118" s="1" t="s">
        <v>203</v>
      </c>
      <c r="I118" s="1" t="s">
        <v>15</v>
      </c>
      <c r="J118" s="30">
        <v>3000</v>
      </c>
      <c r="K118" s="30">
        <v>16200</v>
      </c>
      <c r="L118" s="31">
        <v>48600000</v>
      </c>
      <c r="M118" s="1" t="s">
        <v>30</v>
      </c>
      <c r="N118" s="1" t="s">
        <v>17</v>
      </c>
      <c r="O118" s="1" t="s">
        <v>2057</v>
      </c>
      <c r="P118" s="1" t="s">
        <v>2056</v>
      </c>
      <c r="Q118" s="1" t="s">
        <v>1860</v>
      </c>
      <c r="R118" s="1">
        <f t="shared" si="1"/>
        <v>2</v>
      </c>
      <c r="S118" s="4">
        <f>J118*K118*M118</f>
        <v>4860000</v>
      </c>
    </row>
    <row r="119" spans="1:19" ht="43" hidden="1" customHeight="1">
      <c r="A119" s="1" t="s">
        <v>2280</v>
      </c>
      <c r="B119" s="1" t="s">
        <v>1287</v>
      </c>
      <c r="C119" s="29">
        <v>45817.364373414399</v>
      </c>
      <c r="D119" s="1" t="s">
        <v>3072</v>
      </c>
      <c r="E119" s="1" t="s">
        <v>3073</v>
      </c>
      <c r="F119" s="1">
        <v>1</v>
      </c>
      <c r="G119" s="12" t="s">
        <v>1194</v>
      </c>
      <c r="H119" s="1" t="s">
        <v>1863</v>
      </c>
      <c r="I119" s="1" t="s">
        <v>15</v>
      </c>
      <c r="J119" s="30">
        <v>160</v>
      </c>
      <c r="K119" s="30">
        <v>20909.09</v>
      </c>
      <c r="L119" s="31">
        <v>3345454.4</v>
      </c>
      <c r="M119" s="1" t="s">
        <v>30</v>
      </c>
      <c r="N119" s="1" t="s">
        <v>17</v>
      </c>
      <c r="O119" s="1" t="s">
        <v>2057</v>
      </c>
      <c r="P119" s="1" t="s">
        <v>2056</v>
      </c>
      <c r="Q119" s="1" t="s">
        <v>1860</v>
      </c>
      <c r="R119" s="1">
        <f t="shared" si="1"/>
        <v>2</v>
      </c>
      <c r="S119" s="4">
        <f>J119*K119*M119</f>
        <v>334545.44</v>
      </c>
    </row>
    <row r="120" spans="1:19" ht="43" hidden="1" customHeight="1">
      <c r="A120" s="1" t="s">
        <v>2072</v>
      </c>
      <c r="B120" s="1" t="s">
        <v>1294</v>
      </c>
      <c r="C120" s="29">
        <v>46021.613942164397</v>
      </c>
      <c r="D120" s="1" t="s">
        <v>3052</v>
      </c>
      <c r="E120" s="1" t="s">
        <v>3053</v>
      </c>
      <c r="F120" s="1">
        <v>18</v>
      </c>
      <c r="G120" s="32" t="s">
        <v>248</v>
      </c>
      <c r="H120" s="1" t="s">
        <v>248</v>
      </c>
      <c r="I120" s="1" t="s">
        <v>62</v>
      </c>
      <c r="J120" s="30">
        <v>20</v>
      </c>
      <c r="K120" s="30">
        <v>40000</v>
      </c>
      <c r="L120" s="31">
        <v>800000</v>
      </c>
      <c r="M120" s="1" t="s">
        <v>16</v>
      </c>
      <c r="N120" s="1" t="s">
        <v>17</v>
      </c>
      <c r="O120" s="1" t="s">
        <v>2057</v>
      </c>
      <c r="P120" s="1" t="s">
        <v>2056</v>
      </c>
      <c r="Q120" s="1" t="s">
        <v>1474</v>
      </c>
      <c r="R120" s="1">
        <f t="shared" si="1"/>
        <v>4</v>
      </c>
      <c r="S120" s="4">
        <f>J120*K120*M120</f>
        <v>64000</v>
      </c>
    </row>
    <row r="121" spans="1:19" ht="43" customHeight="1">
      <c r="A121" s="1" t="s">
        <v>2280</v>
      </c>
      <c r="B121" s="1" t="s">
        <v>13</v>
      </c>
      <c r="C121" s="29">
        <v>45776.499996342602</v>
      </c>
      <c r="D121" s="1" t="s">
        <v>3052</v>
      </c>
      <c r="E121" s="1" t="s">
        <v>3053</v>
      </c>
      <c r="F121" s="1">
        <v>61</v>
      </c>
      <c r="H121" s="1" t="s">
        <v>1966</v>
      </c>
      <c r="I121" s="1" t="s">
        <v>638</v>
      </c>
      <c r="J121" s="30">
        <v>1</v>
      </c>
      <c r="K121" s="30">
        <v>900000</v>
      </c>
      <c r="L121" s="31">
        <v>900000</v>
      </c>
      <c r="M121" s="1" t="s">
        <v>16</v>
      </c>
      <c r="N121" s="1" t="s">
        <v>17</v>
      </c>
      <c r="O121" s="1" t="s">
        <v>2057</v>
      </c>
      <c r="P121" s="1" t="s">
        <v>2056</v>
      </c>
      <c r="Q121" s="1" t="s">
        <v>937</v>
      </c>
      <c r="R121" s="1">
        <f t="shared" si="1"/>
        <v>2</v>
      </c>
      <c r="S121" s="4">
        <f>J121*K121*M121</f>
        <v>72000</v>
      </c>
    </row>
    <row r="122" spans="1:19" ht="43" hidden="1" customHeight="1">
      <c r="A122" s="1" t="s">
        <v>2072</v>
      </c>
      <c r="B122" s="1" t="s">
        <v>146</v>
      </c>
      <c r="C122" s="29">
        <v>46020.386763703696</v>
      </c>
      <c r="D122" s="1" t="s">
        <v>3052</v>
      </c>
      <c r="E122" s="1" t="s">
        <v>3053</v>
      </c>
      <c r="F122" s="1">
        <v>25</v>
      </c>
      <c r="G122" s="32" t="s">
        <v>167</v>
      </c>
      <c r="H122" s="1" t="s">
        <v>167</v>
      </c>
      <c r="I122" s="1" t="s">
        <v>638</v>
      </c>
      <c r="J122" s="30">
        <v>7</v>
      </c>
      <c r="K122" s="30">
        <v>900000</v>
      </c>
      <c r="L122" s="31">
        <v>6300000</v>
      </c>
      <c r="M122" s="1" t="s">
        <v>16</v>
      </c>
      <c r="N122" s="1" t="s">
        <v>17</v>
      </c>
      <c r="O122" s="1" t="s">
        <v>2057</v>
      </c>
      <c r="P122" s="1" t="s">
        <v>2056</v>
      </c>
      <c r="Q122" s="1" t="s">
        <v>275</v>
      </c>
      <c r="R122" s="1">
        <f t="shared" si="1"/>
        <v>4</v>
      </c>
      <c r="S122" s="4">
        <f>J122*K122*M122</f>
        <v>504000</v>
      </c>
    </row>
    <row r="123" spans="1:19" ht="43" hidden="1" customHeight="1">
      <c r="A123" s="1" t="s">
        <v>2280</v>
      </c>
      <c r="B123" s="1" t="s">
        <v>1158</v>
      </c>
      <c r="C123" s="29">
        <v>45868.606624756903</v>
      </c>
      <c r="D123" s="1" t="s">
        <v>3052</v>
      </c>
      <c r="E123" s="1" t="s">
        <v>3053</v>
      </c>
      <c r="F123" s="1">
        <v>26</v>
      </c>
      <c r="G123" s="32" t="s">
        <v>167</v>
      </c>
      <c r="H123" s="1" t="s">
        <v>167</v>
      </c>
      <c r="I123" s="1" t="s">
        <v>638</v>
      </c>
      <c r="J123" s="30">
        <v>3</v>
      </c>
      <c r="K123" s="30">
        <v>900000</v>
      </c>
      <c r="L123" s="31">
        <v>2700000</v>
      </c>
      <c r="M123" s="1" t="s">
        <v>16</v>
      </c>
      <c r="N123" s="1" t="s">
        <v>17</v>
      </c>
      <c r="O123" s="1" t="s">
        <v>2057</v>
      </c>
      <c r="P123" s="1" t="s">
        <v>2056</v>
      </c>
      <c r="Q123" s="1" t="s">
        <v>800</v>
      </c>
      <c r="R123" s="1">
        <f t="shared" si="1"/>
        <v>3</v>
      </c>
      <c r="S123" s="4">
        <f>J123*K123*M123</f>
        <v>216000</v>
      </c>
    </row>
    <row r="124" spans="1:19" ht="43" hidden="1" customHeight="1">
      <c r="A124" s="1" t="s">
        <v>2280</v>
      </c>
      <c r="B124" s="1" t="s">
        <v>1420</v>
      </c>
      <c r="C124" s="29">
        <v>45866.7486208681</v>
      </c>
      <c r="D124" s="1" t="s">
        <v>3052</v>
      </c>
      <c r="E124" s="1" t="s">
        <v>3053</v>
      </c>
      <c r="F124" s="1">
        <v>1</v>
      </c>
      <c r="G124" s="32" t="s">
        <v>167</v>
      </c>
      <c r="H124" s="1" t="s">
        <v>167</v>
      </c>
      <c r="I124" s="1" t="s">
        <v>638</v>
      </c>
      <c r="J124" s="30">
        <v>9</v>
      </c>
      <c r="K124" s="30">
        <v>900000</v>
      </c>
      <c r="L124" s="31">
        <v>8100000</v>
      </c>
      <c r="M124" s="1" t="s">
        <v>16</v>
      </c>
      <c r="N124" s="1" t="s">
        <v>17</v>
      </c>
      <c r="O124" s="1" t="s">
        <v>2057</v>
      </c>
      <c r="P124" s="1" t="s">
        <v>2056</v>
      </c>
      <c r="Q124" s="1" t="s">
        <v>1763</v>
      </c>
      <c r="R124" s="1">
        <f t="shared" si="1"/>
        <v>3</v>
      </c>
      <c r="S124" s="4">
        <f>J124*K124*M124</f>
        <v>648000</v>
      </c>
    </row>
    <row r="125" spans="1:19" ht="43" hidden="1" customHeight="1">
      <c r="A125" s="1" t="s">
        <v>2280</v>
      </c>
      <c r="B125" s="1" t="s">
        <v>120</v>
      </c>
      <c r="C125" s="29">
        <v>45838.621748888901</v>
      </c>
      <c r="D125" s="1" t="s">
        <v>3052</v>
      </c>
      <c r="E125" s="1" t="s">
        <v>3053</v>
      </c>
      <c r="F125" s="1">
        <v>3</v>
      </c>
      <c r="G125" s="32" t="s">
        <v>167</v>
      </c>
      <c r="H125" s="1" t="s">
        <v>1820</v>
      </c>
      <c r="I125" s="1" t="s">
        <v>638</v>
      </c>
      <c r="J125" s="30">
        <v>4</v>
      </c>
      <c r="K125" s="30">
        <v>900000</v>
      </c>
      <c r="L125" s="31">
        <v>3600000</v>
      </c>
      <c r="M125" s="1" t="s">
        <v>16</v>
      </c>
      <c r="N125" s="1" t="s">
        <v>17</v>
      </c>
      <c r="O125" s="1" t="s">
        <v>2057</v>
      </c>
      <c r="P125" s="1" t="s">
        <v>2056</v>
      </c>
      <c r="Q125" s="1" t="s">
        <v>828</v>
      </c>
      <c r="R125" s="1">
        <f t="shared" si="1"/>
        <v>2</v>
      </c>
      <c r="S125" s="4">
        <f>J125*K125*M125</f>
        <v>288000</v>
      </c>
    </row>
    <row r="126" spans="1:19" ht="43" hidden="1" customHeight="1">
      <c r="A126" s="1" t="s">
        <v>2280</v>
      </c>
      <c r="B126" s="1" t="s">
        <v>152</v>
      </c>
      <c r="C126" s="29">
        <v>45836.413450243097</v>
      </c>
      <c r="D126" s="1" t="s">
        <v>3052</v>
      </c>
      <c r="E126" s="1" t="s">
        <v>3053</v>
      </c>
      <c r="F126" s="1">
        <v>8</v>
      </c>
      <c r="G126" s="32" t="s">
        <v>167</v>
      </c>
      <c r="H126" s="1" t="s">
        <v>1851</v>
      </c>
      <c r="I126" s="1" t="s">
        <v>638</v>
      </c>
      <c r="J126" s="30">
        <v>3</v>
      </c>
      <c r="K126" s="30">
        <v>900000</v>
      </c>
      <c r="L126" s="31">
        <v>2700000</v>
      </c>
      <c r="M126" s="1" t="s">
        <v>16</v>
      </c>
      <c r="N126" s="1" t="s">
        <v>17</v>
      </c>
      <c r="O126" s="1" t="s">
        <v>2057</v>
      </c>
      <c r="P126" s="1" t="s">
        <v>2056</v>
      </c>
      <c r="Q126" s="1" t="s">
        <v>845</v>
      </c>
      <c r="R126" s="1">
        <f t="shared" si="1"/>
        <v>2</v>
      </c>
      <c r="S126" s="4">
        <f>J126*K126*M126</f>
        <v>216000</v>
      </c>
    </row>
    <row r="127" spans="1:19" ht="43" hidden="1" customHeight="1">
      <c r="A127" s="1" t="s">
        <v>2280</v>
      </c>
      <c r="B127" s="1" t="s">
        <v>1402</v>
      </c>
      <c r="C127" s="29">
        <v>45990.382403298601</v>
      </c>
      <c r="D127" s="1" t="s">
        <v>3052</v>
      </c>
      <c r="E127" s="1" t="s">
        <v>3053</v>
      </c>
      <c r="F127" s="1">
        <v>8</v>
      </c>
      <c r="G127" s="12" t="s">
        <v>781</v>
      </c>
      <c r="H127" s="1" t="s">
        <v>781</v>
      </c>
      <c r="I127" s="1" t="s">
        <v>71</v>
      </c>
      <c r="J127" s="30">
        <v>13.6</v>
      </c>
      <c r="K127" s="30">
        <v>65000</v>
      </c>
      <c r="L127" s="31">
        <v>884000</v>
      </c>
      <c r="M127" s="1" t="s">
        <v>16</v>
      </c>
      <c r="N127" s="1" t="s">
        <v>17</v>
      </c>
      <c r="O127" s="1" t="s">
        <v>2057</v>
      </c>
      <c r="P127" s="1" t="s">
        <v>2056</v>
      </c>
      <c r="Q127" s="1" t="s">
        <v>1531</v>
      </c>
      <c r="R127" s="1">
        <f t="shared" si="1"/>
        <v>4</v>
      </c>
      <c r="S127" s="4">
        <f>J127*K127*M127</f>
        <v>70720</v>
      </c>
    </row>
    <row r="128" spans="1:19" ht="43" hidden="1" customHeight="1">
      <c r="A128" s="1" t="s">
        <v>2280</v>
      </c>
      <c r="B128" s="1" t="s">
        <v>1018</v>
      </c>
      <c r="C128" s="29">
        <v>45957.708490682897</v>
      </c>
      <c r="D128" s="1" t="s">
        <v>3058</v>
      </c>
      <c r="E128" s="1" t="s">
        <v>3059</v>
      </c>
      <c r="F128" s="1">
        <v>5</v>
      </c>
      <c r="G128" s="12" t="s">
        <v>781</v>
      </c>
      <c r="H128" s="1" t="s">
        <v>781</v>
      </c>
      <c r="I128" s="1" t="s">
        <v>71</v>
      </c>
      <c r="J128" s="30">
        <v>5.5</v>
      </c>
      <c r="K128" s="30">
        <v>60000</v>
      </c>
      <c r="L128" s="31">
        <v>330000</v>
      </c>
      <c r="M128" s="1" t="s">
        <v>16</v>
      </c>
      <c r="N128" s="1" t="s">
        <v>17</v>
      </c>
      <c r="O128" s="1" t="s">
        <v>2057</v>
      </c>
      <c r="P128" s="1" t="s">
        <v>2056</v>
      </c>
      <c r="Q128" s="1" t="s">
        <v>1583</v>
      </c>
      <c r="R128" s="1">
        <f t="shared" si="1"/>
        <v>4</v>
      </c>
      <c r="S128" s="4">
        <f>J128*K128*M128</f>
        <v>26400</v>
      </c>
    </row>
    <row r="129" spans="1:19" ht="43" hidden="1" customHeight="1">
      <c r="A129" s="1" t="s">
        <v>2280</v>
      </c>
      <c r="B129" s="1" t="s">
        <v>1462</v>
      </c>
      <c r="C129" s="29">
        <v>45928.944135983802</v>
      </c>
      <c r="D129" s="1" t="s">
        <v>3052</v>
      </c>
      <c r="E129" s="1" t="s">
        <v>3053</v>
      </c>
      <c r="F129" s="1">
        <v>47</v>
      </c>
      <c r="G129" s="12" t="s">
        <v>781</v>
      </c>
      <c r="H129" s="1" t="s">
        <v>781</v>
      </c>
      <c r="I129" s="1" t="s">
        <v>71</v>
      </c>
      <c r="J129" s="30">
        <v>1</v>
      </c>
      <c r="K129" s="30">
        <v>50000</v>
      </c>
      <c r="L129" s="31">
        <v>50000</v>
      </c>
      <c r="M129" s="1" t="s">
        <v>16</v>
      </c>
      <c r="N129" s="1" t="s">
        <v>17</v>
      </c>
      <c r="O129" s="1" t="s">
        <v>2057</v>
      </c>
      <c r="P129" s="1" t="s">
        <v>2056</v>
      </c>
      <c r="Q129" s="1" t="s">
        <v>546</v>
      </c>
      <c r="R129" s="1">
        <f t="shared" si="1"/>
        <v>3</v>
      </c>
      <c r="S129" s="4">
        <f>J129*K129*M129</f>
        <v>4000</v>
      </c>
    </row>
    <row r="130" spans="1:19" ht="43" hidden="1" customHeight="1">
      <c r="A130" s="1" t="s">
        <v>2280</v>
      </c>
      <c r="B130" s="1" t="s">
        <v>83</v>
      </c>
      <c r="C130" s="29">
        <v>45960.642424537</v>
      </c>
      <c r="D130" s="1" t="s">
        <v>3056</v>
      </c>
      <c r="E130" s="1" t="s">
        <v>3057</v>
      </c>
      <c r="F130" s="1">
        <v>2</v>
      </c>
      <c r="G130" s="12" t="s">
        <v>57</v>
      </c>
      <c r="H130" s="1" t="s">
        <v>57</v>
      </c>
      <c r="I130" s="1" t="s">
        <v>71</v>
      </c>
      <c r="J130" s="30">
        <v>60</v>
      </c>
      <c r="K130" s="30">
        <v>68000</v>
      </c>
      <c r="L130" s="31">
        <v>4080000</v>
      </c>
      <c r="M130" s="1" t="s">
        <v>16</v>
      </c>
      <c r="N130" s="1" t="s">
        <v>17</v>
      </c>
      <c r="O130" s="1" t="s">
        <v>2057</v>
      </c>
      <c r="P130" s="1" t="s">
        <v>2056</v>
      </c>
      <c r="Q130" s="1" t="s">
        <v>533</v>
      </c>
      <c r="R130" s="1">
        <f t="shared" si="1"/>
        <v>4</v>
      </c>
      <c r="S130" s="4">
        <f>J130*K130*M130</f>
        <v>326400</v>
      </c>
    </row>
    <row r="131" spans="1:19" ht="43" hidden="1" customHeight="1">
      <c r="A131" s="1" t="s">
        <v>2280</v>
      </c>
      <c r="B131" s="1" t="s">
        <v>1418</v>
      </c>
      <c r="C131" s="29">
        <v>45868.571573252302</v>
      </c>
      <c r="D131" s="1" t="s">
        <v>3056</v>
      </c>
      <c r="E131" s="1" t="s">
        <v>3057</v>
      </c>
      <c r="F131" s="1">
        <v>2</v>
      </c>
      <c r="G131" s="12" t="s">
        <v>1761</v>
      </c>
      <c r="H131" s="1" t="s">
        <v>1761</v>
      </c>
      <c r="I131" s="1" t="s">
        <v>71</v>
      </c>
      <c r="J131" s="30">
        <v>40</v>
      </c>
      <c r="K131" s="30">
        <v>80000</v>
      </c>
      <c r="L131" s="31">
        <v>3200000</v>
      </c>
      <c r="M131" s="1" t="s">
        <v>16</v>
      </c>
      <c r="N131" s="1" t="s">
        <v>17</v>
      </c>
      <c r="O131" s="1" t="s">
        <v>2057</v>
      </c>
      <c r="P131" s="1" t="s">
        <v>2056</v>
      </c>
      <c r="Q131" s="1" t="s">
        <v>800</v>
      </c>
      <c r="R131" s="1">
        <f t="shared" ref="R131:R194" si="2">ROUNDUP(MONTH(Q131)/3,0)</f>
        <v>3</v>
      </c>
      <c r="S131" s="4">
        <f>J131*K131*M131</f>
        <v>256000</v>
      </c>
    </row>
    <row r="132" spans="1:19" ht="43" hidden="1" customHeight="1">
      <c r="A132" s="1" t="s">
        <v>2280</v>
      </c>
      <c r="B132" s="1" t="s">
        <v>221</v>
      </c>
      <c r="C132" s="29">
        <v>45776.500553657403</v>
      </c>
      <c r="D132" s="1" t="s">
        <v>3052</v>
      </c>
      <c r="E132" s="1" t="s">
        <v>3053</v>
      </c>
      <c r="F132" s="1">
        <v>31</v>
      </c>
      <c r="G132" s="12" t="s">
        <v>2935</v>
      </c>
      <c r="H132" s="1" t="s">
        <v>1921</v>
      </c>
      <c r="I132" s="1" t="s">
        <v>638</v>
      </c>
      <c r="J132" s="30">
        <v>20</v>
      </c>
      <c r="K132" s="30">
        <v>10000</v>
      </c>
      <c r="L132" s="31">
        <v>200000</v>
      </c>
      <c r="M132" s="1" t="s">
        <v>30</v>
      </c>
      <c r="N132" s="1" t="s">
        <v>17</v>
      </c>
      <c r="O132" s="1" t="s">
        <v>2057</v>
      </c>
      <c r="P132" s="1" t="s">
        <v>2056</v>
      </c>
      <c r="Q132" s="1" t="s">
        <v>937</v>
      </c>
      <c r="R132" s="1">
        <f t="shared" si="2"/>
        <v>2</v>
      </c>
      <c r="S132" s="4">
        <f>J132*K132*M132</f>
        <v>20000</v>
      </c>
    </row>
    <row r="133" spans="1:19" ht="43" hidden="1" customHeight="1">
      <c r="A133" s="1" t="s">
        <v>2280</v>
      </c>
      <c r="B133" s="1" t="s">
        <v>1315</v>
      </c>
      <c r="C133" s="29">
        <v>45747.658940451402</v>
      </c>
      <c r="D133" s="1" t="s">
        <v>3071</v>
      </c>
      <c r="E133" s="1" t="s">
        <v>3053</v>
      </c>
      <c r="F133" s="1">
        <v>36</v>
      </c>
      <c r="G133" s="12" t="s">
        <v>2935</v>
      </c>
      <c r="H133" s="1" t="s">
        <v>1921</v>
      </c>
      <c r="I133" s="1" t="s">
        <v>638</v>
      </c>
      <c r="J133" s="30">
        <v>5</v>
      </c>
      <c r="K133" s="30">
        <v>10000</v>
      </c>
      <c r="L133" s="31">
        <v>50000</v>
      </c>
      <c r="M133" s="1" t="s">
        <v>30</v>
      </c>
      <c r="N133" s="1" t="s">
        <v>17</v>
      </c>
      <c r="O133" s="1" t="s">
        <v>2057</v>
      </c>
      <c r="P133" s="1" t="s">
        <v>2056</v>
      </c>
      <c r="Q133" s="1" t="s">
        <v>42</v>
      </c>
      <c r="R133" s="1">
        <f t="shared" si="2"/>
        <v>1</v>
      </c>
      <c r="S133" s="4">
        <f>J133*K133*M133</f>
        <v>5000</v>
      </c>
    </row>
    <row r="134" spans="1:19" ht="43" hidden="1" customHeight="1">
      <c r="A134" s="1" t="s">
        <v>2280</v>
      </c>
      <c r="B134" s="1" t="s">
        <v>1315</v>
      </c>
      <c r="C134" s="29">
        <v>45747.658940451402</v>
      </c>
      <c r="D134" s="1" t="s">
        <v>3071</v>
      </c>
      <c r="E134" s="1" t="s">
        <v>3053</v>
      </c>
      <c r="F134" s="1">
        <v>6</v>
      </c>
      <c r="G134" s="12" t="s">
        <v>2935</v>
      </c>
      <c r="H134" s="1" t="s">
        <v>2001</v>
      </c>
      <c r="I134" s="1" t="s">
        <v>638</v>
      </c>
      <c r="J134" s="30">
        <v>20</v>
      </c>
      <c r="K134" s="30">
        <v>12000</v>
      </c>
      <c r="L134" s="31">
        <v>240000</v>
      </c>
      <c r="M134" s="1" t="s">
        <v>30</v>
      </c>
      <c r="N134" s="1" t="s">
        <v>17</v>
      </c>
      <c r="O134" s="1" t="s">
        <v>2057</v>
      </c>
      <c r="P134" s="1" t="s">
        <v>2056</v>
      </c>
      <c r="Q134" s="1" t="s">
        <v>42</v>
      </c>
      <c r="R134" s="1">
        <f t="shared" si="2"/>
        <v>1</v>
      </c>
      <c r="S134" s="4">
        <f>J134*K134*M134</f>
        <v>24000</v>
      </c>
    </row>
    <row r="135" spans="1:19" ht="43" hidden="1" customHeight="1">
      <c r="A135" s="1" t="s">
        <v>2072</v>
      </c>
      <c r="B135" s="1" t="s">
        <v>1294</v>
      </c>
      <c r="C135" s="29">
        <v>46021.613942164397</v>
      </c>
      <c r="D135" s="1" t="s">
        <v>3052</v>
      </c>
      <c r="E135" s="1" t="s">
        <v>3053</v>
      </c>
      <c r="F135" s="1">
        <v>20</v>
      </c>
      <c r="G135" s="12" t="s">
        <v>485</v>
      </c>
      <c r="H135" s="1" t="s">
        <v>485</v>
      </c>
      <c r="I135" s="1" t="s">
        <v>638</v>
      </c>
      <c r="J135" s="30">
        <v>20</v>
      </c>
      <c r="K135" s="30">
        <v>10000</v>
      </c>
      <c r="L135" s="31">
        <v>200000</v>
      </c>
      <c r="M135" s="1" t="s">
        <v>16</v>
      </c>
      <c r="N135" s="1" t="s">
        <v>17</v>
      </c>
      <c r="O135" s="1" t="s">
        <v>2057</v>
      </c>
      <c r="P135" s="1" t="s">
        <v>2056</v>
      </c>
      <c r="Q135" s="1" t="s">
        <v>1474</v>
      </c>
      <c r="R135" s="1">
        <f t="shared" si="2"/>
        <v>4</v>
      </c>
      <c r="S135" s="4">
        <f>J135*K135*M135</f>
        <v>16000</v>
      </c>
    </row>
    <row r="136" spans="1:19" ht="43" hidden="1" customHeight="1">
      <c r="A136" s="1" t="s">
        <v>2072</v>
      </c>
      <c r="B136" s="1" t="s">
        <v>146</v>
      </c>
      <c r="C136" s="29">
        <v>46020.386763703696</v>
      </c>
      <c r="D136" s="1" t="s">
        <v>3052</v>
      </c>
      <c r="E136" s="1" t="s">
        <v>3053</v>
      </c>
      <c r="F136" s="1">
        <v>42</v>
      </c>
      <c r="G136" s="12" t="s">
        <v>485</v>
      </c>
      <c r="H136" s="1" t="s">
        <v>485</v>
      </c>
      <c r="I136" s="1" t="s">
        <v>638</v>
      </c>
      <c r="J136" s="30">
        <v>12</v>
      </c>
      <c r="K136" s="30">
        <v>30000</v>
      </c>
      <c r="L136" s="31">
        <v>360000</v>
      </c>
      <c r="M136" s="1" t="s">
        <v>16</v>
      </c>
      <c r="N136" s="1" t="s">
        <v>17</v>
      </c>
      <c r="O136" s="1" t="s">
        <v>2057</v>
      </c>
      <c r="P136" s="1" t="s">
        <v>2056</v>
      </c>
      <c r="Q136" s="1" t="s">
        <v>275</v>
      </c>
      <c r="R136" s="1">
        <f t="shared" si="2"/>
        <v>4</v>
      </c>
      <c r="S136" s="4">
        <f>J136*K136*M136</f>
        <v>28800</v>
      </c>
    </row>
    <row r="137" spans="1:19" ht="43" hidden="1" customHeight="1">
      <c r="A137" s="1" t="s">
        <v>2280</v>
      </c>
      <c r="B137" s="1" t="s">
        <v>1400</v>
      </c>
      <c r="C137" s="29">
        <v>45990.721094398097</v>
      </c>
      <c r="D137" s="1" t="s">
        <v>3052</v>
      </c>
      <c r="E137" s="1" t="s">
        <v>3053</v>
      </c>
      <c r="F137" s="1">
        <v>44</v>
      </c>
      <c r="G137" s="12" t="s">
        <v>485</v>
      </c>
      <c r="H137" s="1" t="s">
        <v>485</v>
      </c>
      <c r="I137" s="1" t="s">
        <v>638</v>
      </c>
      <c r="J137" s="30">
        <v>20</v>
      </c>
      <c r="K137" s="30">
        <v>30000</v>
      </c>
      <c r="L137" s="31">
        <v>600000</v>
      </c>
      <c r="M137" s="1" t="s">
        <v>16</v>
      </c>
      <c r="N137" s="1" t="s">
        <v>17</v>
      </c>
      <c r="O137" s="1" t="s">
        <v>2057</v>
      </c>
      <c r="P137" s="1" t="s">
        <v>2056</v>
      </c>
      <c r="Q137" s="1" t="s">
        <v>1531</v>
      </c>
      <c r="R137" s="1">
        <f t="shared" si="2"/>
        <v>4</v>
      </c>
      <c r="S137" s="4">
        <f>J137*K137*M137</f>
        <v>48000</v>
      </c>
    </row>
    <row r="138" spans="1:19" ht="43" hidden="1" customHeight="1">
      <c r="A138" s="1" t="s">
        <v>2280</v>
      </c>
      <c r="B138" s="1" t="s">
        <v>1400</v>
      </c>
      <c r="C138" s="29">
        <v>45990.721094398097</v>
      </c>
      <c r="D138" s="1" t="s">
        <v>3052</v>
      </c>
      <c r="E138" s="1" t="s">
        <v>3053</v>
      </c>
      <c r="F138" s="1">
        <v>61</v>
      </c>
      <c r="G138" s="12" t="s">
        <v>485</v>
      </c>
      <c r="H138" s="1" t="s">
        <v>485</v>
      </c>
      <c r="I138" s="1" t="s">
        <v>638</v>
      </c>
      <c r="J138" s="30">
        <v>2</v>
      </c>
      <c r="K138" s="30">
        <v>20000</v>
      </c>
      <c r="L138" s="31">
        <v>40000</v>
      </c>
      <c r="M138" s="1" t="s">
        <v>16</v>
      </c>
      <c r="N138" s="1" t="s">
        <v>17</v>
      </c>
      <c r="O138" s="1" t="s">
        <v>2057</v>
      </c>
      <c r="P138" s="1" t="s">
        <v>2056</v>
      </c>
      <c r="Q138" s="1" t="s">
        <v>1531</v>
      </c>
      <c r="R138" s="1">
        <f t="shared" si="2"/>
        <v>4</v>
      </c>
      <c r="S138" s="4">
        <f>J138*K138*M138</f>
        <v>3200</v>
      </c>
    </row>
    <row r="139" spans="1:19" ht="43" hidden="1" customHeight="1">
      <c r="A139" s="1" t="s">
        <v>2280</v>
      </c>
      <c r="B139" s="1" t="s">
        <v>326</v>
      </c>
      <c r="C139" s="29">
        <v>45960.658345080999</v>
      </c>
      <c r="D139" s="1" t="s">
        <v>3052</v>
      </c>
      <c r="E139" s="1" t="s">
        <v>3053</v>
      </c>
      <c r="F139" s="1">
        <v>2</v>
      </c>
      <c r="G139" s="12" t="s">
        <v>485</v>
      </c>
      <c r="H139" s="1" t="s">
        <v>485</v>
      </c>
      <c r="I139" s="1" t="s">
        <v>638</v>
      </c>
      <c r="J139" s="30">
        <v>24</v>
      </c>
      <c r="K139" s="30">
        <v>30000</v>
      </c>
      <c r="L139" s="31">
        <v>720000</v>
      </c>
      <c r="M139" s="1" t="s">
        <v>16</v>
      </c>
      <c r="N139" s="1" t="s">
        <v>17</v>
      </c>
      <c r="O139" s="1" t="s">
        <v>2057</v>
      </c>
      <c r="P139" s="1" t="s">
        <v>2056</v>
      </c>
      <c r="Q139" s="1" t="s">
        <v>533</v>
      </c>
      <c r="R139" s="1">
        <f t="shared" si="2"/>
        <v>4</v>
      </c>
      <c r="S139" s="4">
        <f>J139*K139*M139</f>
        <v>57600</v>
      </c>
    </row>
    <row r="140" spans="1:19" ht="43" hidden="1" customHeight="1">
      <c r="A140" s="1" t="s">
        <v>2280</v>
      </c>
      <c r="B140" s="1" t="s">
        <v>379</v>
      </c>
      <c r="C140" s="29">
        <v>45959.6544954282</v>
      </c>
      <c r="D140" s="1" t="s">
        <v>3052</v>
      </c>
      <c r="E140" s="1" t="s">
        <v>3053</v>
      </c>
      <c r="F140" s="1">
        <v>18</v>
      </c>
      <c r="G140" s="12" t="s">
        <v>485</v>
      </c>
      <c r="H140" s="1" t="s">
        <v>485</v>
      </c>
      <c r="I140" s="1" t="s">
        <v>638</v>
      </c>
      <c r="J140" s="30">
        <v>90</v>
      </c>
      <c r="K140" s="30">
        <v>6000</v>
      </c>
      <c r="L140" s="31">
        <v>540000</v>
      </c>
      <c r="M140" s="1" t="s">
        <v>16</v>
      </c>
      <c r="N140" s="1" t="s">
        <v>17</v>
      </c>
      <c r="O140" s="1" t="s">
        <v>2057</v>
      </c>
      <c r="P140" s="1" t="s">
        <v>2056</v>
      </c>
      <c r="Q140" s="1" t="s">
        <v>1578</v>
      </c>
      <c r="R140" s="1">
        <f t="shared" si="2"/>
        <v>4</v>
      </c>
      <c r="S140" s="4">
        <f>J140*K140*M140</f>
        <v>43200</v>
      </c>
    </row>
    <row r="141" spans="1:19" ht="43" hidden="1" customHeight="1">
      <c r="A141" s="1" t="s">
        <v>2280</v>
      </c>
      <c r="B141" s="1" t="s">
        <v>1398</v>
      </c>
      <c r="C141" s="29">
        <v>45996.640779340298</v>
      </c>
      <c r="D141" s="1" t="s">
        <v>3058</v>
      </c>
      <c r="E141" s="1" t="s">
        <v>3059</v>
      </c>
      <c r="F141" s="1">
        <v>3</v>
      </c>
      <c r="G141" s="12" t="s">
        <v>485</v>
      </c>
      <c r="H141" s="1" t="s">
        <v>1530</v>
      </c>
      <c r="I141" s="1" t="s">
        <v>638</v>
      </c>
      <c r="J141" s="30">
        <v>1</v>
      </c>
      <c r="K141" s="30">
        <v>20000</v>
      </c>
      <c r="L141" s="31">
        <v>20000</v>
      </c>
      <c r="M141" s="1" t="s">
        <v>16</v>
      </c>
      <c r="N141" s="1" t="s">
        <v>17</v>
      </c>
      <c r="O141" s="1" t="s">
        <v>2057</v>
      </c>
      <c r="P141" s="1" t="s">
        <v>2056</v>
      </c>
      <c r="Q141" s="1" t="s">
        <v>304</v>
      </c>
      <c r="R141" s="1">
        <f t="shared" si="2"/>
        <v>4</v>
      </c>
      <c r="S141" s="4">
        <f>J141*K141*M141</f>
        <v>1600</v>
      </c>
    </row>
    <row r="142" spans="1:19" ht="43" hidden="1" customHeight="1">
      <c r="A142" s="1" t="s">
        <v>2280</v>
      </c>
      <c r="B142" s="1" t="s">
        <v>1246</v>
      </c>
      <c r="C142" s="29">
        <v>45881.449284918999</v>
      </c>
      <c r="D142" s="1" t="s">
        <v>3054</v>
      </c>
      <c r="E142" s="1" t="s">
        <v>3055</v>
      </c>
      <c r="F142" s="1">
        <v>1</v>
      </c>
      <c r="G142" s="12" t="s">
        <v>1466</v>
      </c>
      <c r="H142" s="1" t="s">
        <v>1466</v>
      </c>
      <c r="I142" s="1" t="s">
        <v>1279</v>
      </c>
      <c r="J142" s="30">
        <v>2</v>
      </c>
      <c r="K142" s="30">
        <v>1935185</v>
      </c>
      <c r="L142" s="31">
        <v>3870370</v>
      </c>
      <c r="M142" s="1" t="s">
        <v>16</v>
      </c>
      <c r="N142" s="1" t="s">
        <v>17</v>
      </c>
      <c r="O142" s="1" t="s">
        <v>2057</v>
      </c>
      <c r="P142" s="1" t="s">
        <v>2056</v>
      </c>
      <c r="Q142" s="1" t="s">
        <v>1743</v>
      </c>
      <c r="R142" s="1">
        <f t="shared" si="2"/>
        <v>3</v>
      </c>
      <c r="S142" s="4">
        <f>J142*K142*M142</f>
        <v>309629.60000000003</v>
      </c>
    </row>
    <row r="143" spans="1:19" ht="43" hidden="1" customHeight="1">
      <c r="A143" s="1" t="s">
        <v>2280</v>
      </c>
      <c r="B143" s="1" t="s">
        <v>1412</v>
      </c>
      <c r="C143" s="29">
        <v>45898.896986157401</v>
      </c>
      <c r="D143" s="1" t="s">
        <v>3052</v>
      </c>
      <c r="E143" s="1" t="s">
        <v>3053</v>
      </c>
      <c r="F143" s="1">
        <v>43</v>
      </c>
      <c r="G143" s="32" t="s">
        <v>1159</v>
      </c>
      <c r="H143" s="1" t="s">
        <v>1159</v>
      </c>
      <c r="I143" s="1" t="s">
        <v>130</v>
      </c>
      <c r="J143" s="30">
        <v>600</v>
      </c>
      <c r="K143" s="30">
        <v>2500</v>
      </c>
      <c r="L143" s="31">
        <v>1500000</v>
      </c>
      <c r="M143" s="1" t="s">
        <v>16</v>
      </c>
      <c r="N143" s="1" t="s">
        <v>17</v>
      </c>
      <c r="O143" s="1" t="s">
        <v>2057</v>
      </c>
      <c r="P143" s="1" t="s">
        <v>2056</v>
      </c>
      <c r="Q143" s="1" t="s">
        <v>652</v>
      </c>
      <c r="R143" s="1">
        <f t="shared" si="2"/>
        <v>3</v>
      </c>
      <c r="S143" s="4">
        <f>J143*K143*M143</f>
        <v>120000</v>
      </c>
    </row>
    <row r="144" spans="1:19" ht="43" hidden="1" customHeight="1">
      <c r="A144" s="1" t="s">
        <v>2280</v>
      </c>
      <c r="B144" s="1" t="s">
        <v>1422</v>
      </c>
      <c r="C144" s="29">
        <v>45864.4394789699</v>
      </c>
      <c r="D144" s="1" t="s">
        <v>3058</v>
      </c>
      <c r="E144" s="1" t="s">
        <v>3059</v>
      </c>
      <c r="F144" s="1">
        <v>5</v>
      </c>
      <c r="G144" s="32" t="s">
        <v>1159</v>
      </c>
      <c r="H144" s="1" t="s">
        <v>1159</v>
      </c>
      <c r="I144" s="1" t="s">
        <v>130</v>
      </c>
      <c r="J144" s="30">
        <v>100</v>
      </c>
      <c r="K144" s="30">
        <v>12000</v>
      </c>
      <c r="L144" s="31">
        <v>1200000</v>
      </c>
      <c r="M144" s="1" t="s">
        <v>16</v>
      </c>
      <c r="N144" s="1" t="s">
        <v>17</v>
      </c>
      <c r="O144" s="1" t="s">
        <v>2057</v>
      </c>
      <c r="P144" s="1" t="s">
        <v>2056</v>
      </c>
      <c r="Q144" s="1" t="s">
        <v>1785</v>
      </c>
      <c r="R144" s="1">
        <f t="shared" si="2"/>
        <v>3</v>
      </c>
      <c r="S144" s="4">
        <f>J144*K144*M144</f>
        <v>96000</v>
      </c>
    </row>
    <row r="145" spans="1:19" ht="43" hidden="1" customHeight="1">
      <c r="A145" s="1" t="s">
        <v>2280</v>
      </c>
      <c r="B145" s="1" t="s">
        <v>1281</v>
      </c>
      <c r="C145" s="29">
        <v>45826.432234166699</v>
      </c>
      <c r="D145" s="1" t="s">
        <v>3058</v>
      </c>
      <c r="E145" s="1" t="s">
        <v>3059</v>
      </c>
      <c r="F145" s="1">
        <v>2</v>
      </c>
      <c r="G145" s="32" t="s">
        <v>1159</v>
      </c>
      <c r="H145" s="1" t="s">
        <v>1159</v>
      </c>
      <c r="I145" s="1" t="s">
        <v>130</v>
      </c>
      <c r="J145" s="30">
        <v>50</v>
      </c>
      <c r="K145" s="30">
        <v>12000</v>
      </c>
      <c r="L145" s="31">
        <v>600000</v>
      </c>
      <c r="M145" s="1" t="s">
        <v>16</v>
      </c>
      <c r="N145" s="1" t="s">
        <v>17</v>
      </c>
      <c r="O145" s="1" t="s">
        <v>2057</v>
      </c>
      <c r="P145" s="1" t="s">
        <v>2056</v>
      </c>
      <c r="Q145" s="1" t="s">
        <v>863</v>
      </c>
      <c r="R145" s="1">
        <f t="shared" si="2"/>
        <v>2</v>
      </c>
      <c r="S145" s="4">
        <f>J145*K145*M145</f>
        <v>48000</v>
      </c>
    </row>
    <row r="146" spans="1:19" ht="43" hidden="1" customHeight="1">
      <c r="A146" s="1" t="s">
        <v>2280</v>
      </c>
      <c r="B146" s="1" t="s">
        <v>213</v>
      </c>
      <c r="C146" s="29">
        <v>45817.356240347202</v>
      </c>
      <c r="D146" s="1" t="s">
        <v>3058</v>
      </c>
      <c r="E146" s="1" t="s">
        <v>3059</v>
      </c>
      <c r="F146" s="1">
        <v>2</v>
      </c>
      <c r="G146" s="32" t="s">
        <v>1159</v>
      </c>
      <c r="H146" s="1" t="s">
        <v>1159</v>
      </c>
      <c r="I146" s="1" t="s">
        <v>15</v>
      </c>
      <c r="J146" s="30">
        <v>80</v>
      </c>
      <c r="K146" s="30">
        <v>12000</v>
      </c>
      <c r="L146" s="31">
        <v>960000</v>
      </c>
      <c r="M146" s="1" t="s">
        <v>16</v>
      </c>
      <c r="N146" s="1" t="s">
        <v>17</v>
      </c>
      <c r="O146" s="1" t="s">
        <v>2057</v>
      </c>
      <c r="P146" s="1" t="s">
        <v>2056</v>
      </c>
      <c r="Q146" s="1" t="s">
        <v>1860</v>
      </c>
      <c r="R146" s="1">
        <f t="shared" si="2"/>
        <v>2</v>
      </c>
      <c r="S146" s="4">
        <f>J146*K146*M146</f>
        <v>76800</v>
      </c>
    </row>
    <row r="147" spans="1:19" ht="43" hidden="1" customHeight="1">
      <c r="A147" s="1" t="s">
        <v>2280</v>
      </c>
      <c r="B147" s="1" t="s">
        <v>13</v>
      </c>
      <c r="C147" s="29">
        <v>45776.499996342602</v>
      </c>
      <c r="D147" s="1" t="s">
        <v>3052</v>
      </c>
      <c r="E147" s="1" t="s">
        <v>3053</v>
      </c>
      <c r="F147" s="1">
        <v>17</v>
      </c>
      <c r="G147" s="32" t="s">
        <v>1159</v>
      </c>
      <c r="H147" s="1" t="s">
        <v>1159</v>
      </c>
      <c r="I147" s="1" t="s">
        <v>130</v>
      </c>
      <c r="J147" s="30">
        <v>500</v>
      </c>
      <c r="K147" s="30">
        <v>12000</v>
      </c>
      <c r="L147" s="31">
        <v>6000000</v>
      </c>
      <c r="M147" s="1" t="s">
        <v>16</v>
      </c>
      <c r="N147" s="1" t="s">
        <v>17</v>
      </c>
      <c r="O147" s="1" t="s">
        <v>2057</v>
      </c>
      <c r="P147" s="1" t="s">
        <v>2056</v>
      </c>
      <c r="Q147" s="1" t="s">
        <v>937</v>
      </c>
      <c r="R147" s="1">
        <f t="shared" si="2"/>
        <v>2</v>
      </c>
      <c r="S147" s="4">
        <f>J147*K147*M147</f>
        <v>480000</v>
      </c>
    </row>
    <row r="148" spans="1:19" ht="43" hidden="1" customHeight="1">
      <c r="A148" s="1" t="s">
        <v>2280</v>
      </c>
      <c r="B148" s="1" t="s">
        <v>1467</v>
      </c>
      <c r="C148" s="29">
        <v>45928.732318564798</v>
      </c>
      <c r="D148" s="1" t="s">
        <v>3052</v>
      </c>
      <c r="E148" s="1" t="s">
        <v>3053</v>
      </c>
      <c r="F148" s="1">
        <v>16</v>
      </c>
      <c r="G148" s="32" t="s">
        <v>1160</v>
      </c>
      <c r="H148" s="1" t="s">
        <v>1160</v>
      </c>
      <c r="I148" s="1" t="s">
        <v>130</v>
      </c>
      <c r="J148" s="30">
        <v>500</v>
      </c>
      <c r="K148" s="30">
        <v>2500</v>
      </c>
      <c r="L148" s="31">
        <v>1250000</v>
      </c>
      <c r="M148" s="1" t="s">
        <v>16</v>
      </c>
      <c r="N148" s="1" t="s">
        <v>17</v>
      </c>
      <c r="O148" s="1" t="s">
        <v>2057</v>
      </c>
      <c r="P148" s="1" t="s">
        <v>2056</v>
      </c>
      <c r="Q148" s="1" t="s">
        <v>546</v>
      </c>
      <c r="R148" s="1">
        <f t="shared" si="2"/>
        <v>3</v>
      </c>
      <c r="S148" s="4">
        <f>J148*K148*M148</f>
        <v>100000</v>
      </c>
    </row>
    <row r="149" spans="1:19" ht="43" hidden="1" customHeight="1">
      <c r="A149" s="1" t="s">
        <v>2280</v>
      </c>
      <c r="B149" s="1" t="s">
        <v>1295</v>
      </c>
      <c r="C149" s="29">
        <v>45807.7287575347</v>
      </c>
      <c r="D149" s="1" t="s">
        <v>3052</v>
      </c>
      <c r="E149" s="1" t="s">
        <v>3053</v>
      </c>
      <c r="F149" s="1">
        <v>12</v>
      </c>
      <c r="G149" s="32" t="s">
        <v>1160</v>
      </c>
      <c r="H149" s="1" t="s">
        <v>1160</v>
      </c>
      <c r="I149" s="1" t="s">
        <v>130</v>
      </c>
      <c r="J149" s="30">
        <v>200</v>
      </c>
      <c r="K149" s="30">
        <v>2500</v>
      </c>
      <c r="L149" s="31">
        <v>500000</v>
      </c>
      <c r="M149" s="1" t="s">
        <v>16</v>
      </c>
      <c r="N149" s="1" t="s">
        <v>17</v>
      </c>
      <c r="O149" s="1" t="s">
        <v>2057</v>
      </c>
      <c r="P149" s="1" t="s">
        <v>2056</v>
      </c>
      <c r="Q149" s="1" t="s">
        <v>925</v>
      </c>
      <c r="R149" s="1">
        <f t="shared" si="2"/>
        <v>2</v>
      </c>
      <c r="S149" s="4">
        <f>J149*K149*M149</f>
        <v>40000</v>
      </c>
    </row>
    <row r="150" spans="1:19" ht="43" hidden="1" customHeight="1">
      <c r="A150" s="1" t="s">
        <v>2280</v>
      </c>
      <c r="B150" s="1" t="s">
        <v>153</v>
      </c>
      <c r="C150" s="29">
        <v>45747.668173564802</v>
      </c>
      <c r="D150" s="1" t="s">
        <v>3071</v>
      </c>
      <c r="E150" s="1" t="s">
        <v>3053</v>
      </c>
      <c r="F150" s="1">
        <v>3</v>
      </c>
      <c r="G150" s="32" t="s">
        <v>1160</v>
      </c>
      <c r="H150" s="1" t="s">
        <v>1160</v>
      </c>
      <c r="I150" s="1" t="s">
        <v>130</v>
      </c>
      <c r="J150" s="30">
        <v>600</v>
      </c>
      <c r="K150" s="30">
        <v>2500</v>
      </c>
      <c r="L150" s="31">
        <v>1500000</v>
      </c>
      <c r="M150" s="1" t="s">
        <v>16</v>
      </c>
      <c r="N150" s="1" t="s">
        <v>17</v>
      </c>
      <c r="O150" s="1" t="s">
        <v>2057</v>
      </c>
      <c r="P150" s="1" t="s">
        <v>2056</v>
      </c>
      <c r="Q150" s="1" t="s">
        <v>42</v>
      </c>
      <c r="R150" s="1">
        <f t="shared" si="2"/>
        <v>1</v>
      </c>
      <c r="S150" s="4">
        <f>J150*K150*M150</f>
        <v>120000</v>
      </c>
    </row>
    <row r="151" spans="1:19" ht="43" customHeight="1">
      <c r="A151" s="1" t="s">
        <v>2280</v>
      </c>
      <c r="B151" s="1" t="s">
        <v>1294</v>
      </c>
      <c r="C151" s="29">
        <v>45808.709792268499</v>
      </c>
      <c r="D151" s="1" t="s">
        <v>3052</v>
      </c>
      <c r="E151" s="1" t="s">
        <v>3053</v>
      </c>
      <c r="F151" s="1">
        <v>4</v>
      </c>
      <c r="H151" s="1" t="s">
        <v>1870</v>
      </c>
      <c r="I151" s="1" t="s">
        <v>1342</v>
      </c>
      <c r="J151" s="30">
        <v>22</v>
      </c>
      <c r="K151" s="30">
        <v>35000</v>
      </c>
      <c r="L151" s="31">
        <v>770000</v>
      </c>
      <c r="M151" s="1" t="s">
        <v>30</v>
      </c>
      <c r="N151" s="1" t="s">
        <v>17</v>
      </c>
      <c r="O151" s="1" t="s">
        <v>2057</v>
      </c>
      <c r="P151" s="1" t="s">
        <v>2056</v>
      </c>
      <c r="Q151" s="1" t="s">
        <v>36</v>
      </c>
      <c r="R151" s="1">
        <f t="shared" si="2"/>
        <v>2</v>
      </c>
      <c r="S151" s="4">
        <f>J151*K151*M151</f>
        <v>77000</v>
      </c>
    </row>
    <row r="152" spans="1:19" ht="43" hidden="1" customHeight="1">
      <c r="A152" s="1" t="s">
        <v>2280</v>
      </c>
      <c r="B152" s="1" t="s">
        <v>120</v>
      </c>
      <c r="C152" s="29">
        <v>45838.621748888901</v>
      </c>
      <c r="D152" s="1" t="s">
        <v>3052</v>
      </c>
      <c r="E152" s="1" t="s">
        <v>3053</v>
      </c>
      <c r="F152" s="1">
        <v>1</v>
      </c>
      <c r="G152" s="12" t="s">
        <v>914</v>
      </c>
      <c r="H152" s="1" t="s">
        <v>914</v>
      </c>
      <c r="I152" s="1" t="s">
        <v>1818</v>
      </c>
      <c r="J152" s="30">
        <v>5</v>
      </c>
      <c r="K152" s="30">
        <v>400000</v>
      </c>
      <c r="L152" s="31">
        <v>2000000</v>
      </c>
      <c r="M152" s="1" t="s">
        <v>16</v>
      </c>
      <c r="N152" s="1" t="s">
        <v>17</v>
      </c>
      <c r="O152" s="1" t="s">
        <v>2057</v>
      </c>
      <c r="P152" s="1" t="s">
        <v>2056</v>
      </c>
      <c r="Q152" s="1" t="s">
        <v>828</v>
      </c>
      <c r="R152" s="1">
        <f t="shared" si="2"/>
        <v>2</v>
      </c>
      <c r="S152" s="4">
        <f>J152*K152*M152</f>
        <v>160000</v>
      </c>
    </row>
    <row r="153" spans="1:19" ht="43" hidden="1" customHeight="1">
      <c r="A153" s="1" t="s">
        <v>2280</v>
      </c>
      <c r="B153" s="1" t="s">
        <v>13</v>
      </c>
      <c r="C153" s="29">
        <v>45776.499996342602</v>
      </c>
      <c r="D153" s="1" t="s">
        <v>3052</v>
      </c>
      <c r="E153" s="1" t="s">
        <v>3053</v>
      </c>
      <c r="F153" s="1">
        <v>76</v>
      </c>
      <c r="G153" s="12" t="s">
        <v>914</v>
      </c>
      <c r="H153" s="1" t="s">
        <v>914</v>
      </c>
      <c r="I153" s="1" t="s">
        <v>1818</v>
      </c>
      <c r="J153" s="30">
        <v>4</v>
      </c>
      <c r="K153" s="30">
        <v>400000</v>
      </c>
      <c r="L153" s="31">
        <v>1600000</v>
      </c>
      <c r="M153" s="1" t="s">
        <v>16</v>
      </c>
      <c r="N153" s="1" t="s">
        <v>17</v>
      </c>
      <c r="O153" s="1" t="s">
        <v>2057</v>
      </c>
      <c r="P153" s="1" t="s">
        <v>2056</v>
      </c>
      <c r="Q153" s="1" t="s">
        <v>937</v>
      </c>
      <c r="R153" s="1">
        <f t="shared" si="2"/>
        <v>2</v>
      </c>
      <c r="S153" s="4">
        <f>J153*K153*M153</f>
        <v>128000</v>
      </c>
    </row>
    <row r="154" spans="1:19" ht="43" hidden="1" customHeight="1">
      <c r="A154" s="1" t="s">
        <v>2280</v>
      </c>
      <c r="B154" s="1" t="s">
        <v>1462</v>
      </c>
      <c r="C154" s="29">
        <v>45928.944135983802</v>
      </c>
      <c r="D154" s="1" t="s">
        <v>3052</v>
      </c>
      <c r="E154" s="1" t="s">
        <v>3053</v>
      </c>
      <c r="F154" s="1">
        <v>42</v>
      </c>
      <c r="G154" s="12" t="s">
        <v>2255</v>
      </c>
      <c r="H154" s="1" t="s">
        <v>564</v>
      </c>
      <c r="I154" s="1" t="s">
        <v>130</v>
      </c>
      <c r="J154" s="30">
        <v>4</v>
      </c>
      <c r="K154" s="30">
        <v>400000</v>
      </c>
      <c r="L154" s="31">
        <v>1600000</v>
      </c>
      <c r="M154" s="1" t="s">
        <v>16</v>
      </c>
      <c r="N154" s="1" t="s">
        <v>17</v>
      </c>
      <c r="O154" s="1" t="s">
        <v>2057</v>
      </c>
      <c r="P154" s="1" t="s">
        <v>2056</v>
      </c>
      <c r="Q154" s="1" t="s">
        <v>546</v>
      </c>
      <c r="R154" s="1">
        <f t="shared" si="2"/>
        <v>3</v>
      </c>
      <c r="S154" s="4">
        <f>J154*K154*M154</f>
        <v>128000</v>
      </c>
    </row>
    <row r="155" spans="1:19" ht="43" customHeight="1">
      <c r="A155" s="1" t="s">
        <v>2280</v>
      </c>
      <c r="B155" s="1" t="s">
        <v>13</v>
      </c>
      <c r="C155" s="29">
        <v>45776.499996342602</v>
      </c>
      <c r="D155" s="1" t="s">
        <v>3052</v>
      </c>
      <c r="E155" s="1" t="s">
        <v>3053</v>
      </c>
      <c r="F155" s="1">
        <v>74</v>
      </c>
      <c r="H155" s="1" t="s">
        <v>1975</v>
      </c>
      <c r="I155" s="1" t="s">
        <v>130</v>
      </c>
      <c r="J155" s="30">
        <v>10</v>
      </c>
      <c r="K155" s="30">
        <v>830000</v>
      </c>
      <c r="L155" s="31">
        <v>8300000</v>
      </c>
      <c r="M155" s="1" t="s">
        <v>16</v>
      </c>
      <c r="N155" s="1" t="s">
        <v>17</v>
      </c>
      <c r="O155" s="1" t="s">
        <v>2057</v>
      </c>
      <c r="P155" s="1" t="s">
        <v>2056</v>
      </c>
      <c r="Q155" s="1" t="s">
        <v>937</v>
      </c>
      <c r="R155" s="1">
        <f t="shared" si="2"/>
        <v>2</v>
      </c>
      <c r="S155" s="4">
        <f>J155*K155*M155</f>
        <v>664000</v>
      </c>
    </row>
    <row r="156" spans="1:19" ht="43" customHeight="1">
      <c r="A156" s="1" t="s">
        <v>2280</v>
      </c>
      <c r="B156" s="1" t="s">
        <v>13</v>
      </c>
      <c r="C156" s="29">
        <v>45776.499996342602</v>
      </c>
      <c r="D156" s="1" t="s">
        <v>3052</v>
      </c>
      <c r="E156" s="1" t="s">
        <v>3053</v>
      </c>
      <c r="F156" s="1">
        <v>8</v>
      </c>
      <c r="H156" s="1" t="s">
        <v>1927</v>
      </c>
      <c r="I156" s="1" t="s">
        <v>15</v>
      </c>
      <c r="J156" s="30">
        <v>6</v>
      </c>
      <c r="K156" s="30">
        <v>120000</v>
      </c>
      <c r="L156" s="31">
        <v>720000</v>
      </c>
      <c r="M156" s="1" t="s">
        <v>16</v>
      </c>
      <c r="N156" s="1" t="s">
        <v>17</v>
      </c>
      <c r="O156" s="1" t="s">
        <v>2057</v>
      </c>
      <c r="P156" s="1" t="s">
        <v>2056</v>
      </c>
      <c r="Q156" s="1" t="s">
        <v>937</v>
      </c>
      <c r="R156" s="1">
        <f t="shared" si="2"/>
        <v>2</v>
      </c>
      <c r="S156" s="4">
        <f>J156*K156*M156</f>
        <v>57600</v>
      </c>
    </row>
    <row r="157" spans="1:19" ht="43" hidden="1" customHeight="1">
      <c r="A157" s="1" t="s">
        <v>2280</v>
      </c>
      <c r="B157" s="1" t="s">
        <v>1315</v>
      </c>
      <c r="C157" s="29">
        <v>45747.658940451402</v>
      </c>
      <c r="D157" s="1" t="s">
        <v>3071</v>
      </c>
      <c r="E157" s="1" t="s">
        <v>3053</v>
      </c>
      <c r="F157" s="1">
        <v>24</v>
      </c>
      <c r="G157" s="12" t="s">
        <v>2942</v>
      </c>
      <c r="H157" s="1" t="s">
        <v>2017</v>
      </c>
      <c r="I157" s="1" t="s">
        <v>130</v>
      </c>
      <c r="J157" s="30">
        <v>5</v>
      </c>
      <c r="K157" s="30">
        <v>85000</v>
      </c>
      <c r="L157" s="31">
        <v>425000</v>
      </c>
      <c r="M157" s="1" t="s">
        <v>30</v>
      </c>
      <c r="N157" s="1" t="s">
        <v>17</v>
      </c>
      <c r="O157" s="1" t="s">
        <v>2057</v>
      </c>
      <c r="P157" s="1" t="s">
        <v>2056</v>
      </c>
      <c r="Q157" s="1" t="s">
        <v>42</v>
      </c>
      <c r="R157" s="1">
        <f t="shared" si="2"/>
        <v>1</v>
      </c>
      <c r="S157" s="4">
        <f>J157*K157*M157</f>
        <v>42500</v>
      </c>
    </row>
    <row r="158" spans="1:19" ht="43" customHeight="1">
      <c r="A158" s="1" t="s">
        <v>2280</v>
      </c>
      <c r="B158" s="1" t="s">
        <v>326</v>
      </c>
      <c r="C158" s="29">
        <v>45960.658345080999</v>
      </c>
      <c r="D158" s="1" t="s">
        <v>3052</v>
      </c>
      <c r="E158" s="1" t="s">
        <v>3053</v>
      </c>
      <c r="F158" s="1">
        <v>25</v>
      </c>
      <c r="H158" s="1" t="s">
        <v>1572</v>
      </c>
      <c r="I158" s="1" t="s">
        <v>130</v>
      </c>
      <c r="J158" s="30">
        <v>2</v>
      </c>
      <c r="K158" s="30">
        <v>180000</v>
      </c>
      <c r="L158" s="31">
        <v>360000</v>
      </c>
      <c r="M158" s="1" t="s">
        <v>16</v>
      </c>
      <c r="N158" s="1" t="s">
        <v>17</v>
      </c>
      <c r="O158" s="1" t="s">
        <v>2057</v>
      </c>
      <c r="P158" s="1" t="s">
        <v>2056</v>
      </c>
      <c r="Q158" s="1" t="s">
        <v>533</v>
      </c>
      <c r="R158" s="1">
        <f t="shared" si="2"/>
        <v>4</v>
      </c>
      <c r="S158" s="4">
        <f>J158*K158*M158</f>
        <v>28800</v>
      </c>
    </row>
    <row r="159" spans="1:19" ht="43" customHeight="1">
      <c r="A159" s="1" t="s">
        <v>2280</v>
      </c>
      <c r="B159" s="1" t="s">
        <v>326</v>
      </c>
      <c r="C159" s="29">
        <v>45960.658345080999</v>
      </c>
      <c r="D159" s="1" t="s">
        <v>3052</v>
      </c>
      <c r="E159" s="1" t="s">
        <v>3053</v>
      </c>
      <c r="F159" s="1">
        <v>24</v>
      </c>
      <c r="H159" s="1" t="s">
        <v>1571</v>
      </c>
      <c r="I159" s="1" t="s">
        <v>130</v>
      </c>
      <c r="J159" s="30">
        <v>2</v>
      </c>
      <c r="K159" s="30">
        <v>180000</v>
      </c>
      <c r="L159" s="31">
        <v>360000</v>
      </c>
      <c r="M159" s="1" t="s">
        <v>16</v>
      </c>
      <c r="N159" s="1" t="s">
        <v>17</v>
      </c>
      <c r="O159" s="1" t="s">
        <v>2057</v>
      </c>
      <c r="P159" s="1" t="s">
        <v>2056</v>
      </c>
      <c r="Q159" s="1" t="s">
        <v>533</v>
      </c>
      <c r="R159" s="1">
        <f t="shared" si="2"/>
        <v>4</v>
      </c>
      <c r="S159" s="4">
        <f>J159*K159*M159</f>
        <v>28800</v>
      </c>
    </row>
    <row r="160" spans="1:19" ht="43" hidden="1" customHeight="1">
      <c r="A160" s="1" t="s">
        <v>2280</v>
      </c>
      <c r="B160" s="1" t="s">
        <v>1412</v>
      </c>
      <c r="C160" s="29">
        <v>45898.896986157401</v>
      </c>
      <c r="D160" s="1" t="s">
        <v>3052</v>
      </c>
      <c r="E160" s="1" t="s">
        <v>3053</v>
      </c>
      <c r="F160" s="1">
        <v>26</v>
      </c>
      <c r="G160" s="12" t="s">
        <v>2874</v>
      </c>
      <c r="H160" s="1" t="s">
        <v>1680</v>
      </c>
      <c r="I160" s="1" t="s">
        <v>130</v>
      </c>
      <c r="J160" s="30">
        <v>1</v>
      </c>
      <c r="K160" s="30">
        <v>90000</v>
      </c>
      <c r="L160" s="31">
        <v>90000</v>
      </c>
      <c r="M160" s="1" t="s">
        <v>16</v>
      </c>
      <c r="N160" s="1" t="s">
        <v>17</v>
      </c>
      <c r="O160" s="1" t="s">
        <v>2057</v>
      </c>
      <c r="P160" s="1" t="s">
        <v>2056</v>
      </c>
      <c r="Q160" s="1" t="s">
        <v>652</v>
      </c>
      <c r="R160" s="1">
        <f t="shared" si="2"/>
        <v>3</v>
      </c>
      <c r="S160" s="4">
        <f>J160*K160*M160</f>
        <v>7200</v>
      </c>
    </row>
    <row r="161" spans="1:19" ht="43" hidden="1" customHeight="1">
      <c r="A161" s="1" t="s">
        <v>2280</v>
      </c>
      <c r="B161" s="1" t="s">
        <v>1467</v>
      </c>
      <c r="C161" s="29">
        <v>45928.732318564798</v>
      </c>
      <c r="D161" s="1" t="s">
        <v>3052</v>
      </c>
      <c r="E161" s="1" t="s">
        <v>3053</v>
      </c>
      <c r="F161" s="1">
        <v>74</v>
      </c>
      <c r="G161" s="12" t="s">
        <v>1424</v>
      </c>
      <c r="H161" s="1" t="s">
        <v>1424</v>
      </c>
      <c r="I161" s="1" t="s">
        <v>130</v>
      </c>
      <c r="J161" s="30">
        <v>1</v>
      </c>
      <c r="K161" s="30">
        <v>100000</v>
      </c>
      <c r="L161" s="31">
        <v>100000</v>
      </c>
      <c r="M161" s="1" t="s">
        <v>16</v>
      </c>
      <c r="N161" s="1" t="s">
        <v>17</v>
      </c>
      <c r="O161" s="1" t="s">
        <v>2057</v>
      </c>
      <c r="P161" s="1" t="s">
        <v>2056</v>
      </c>
      <c r="Q161" s="1" t="s">
        <v>546</v>
      </c>
      <c r="R161" s="1">
        <f t="shared" si="2"/>
        <v>3</v>
      </c>
      <c r="S161" s="4">
        <f>J161*K161*M161</f>
        <v>8000</v>
      </c>
    </row>
    <row r="162" spans="1:19" ht="43" hidden="1" customHeight="1">
      <c r="A162" s="1" t="s">
        <v>2280</v>
      </c>
      <c r="B162" s="1" t="s">
        <v>379</v>
      </c>
      <c r="C162" s="29">
        <v>45959.6544954282</v>
      </c>
      <c r="D162" s="1" t="s">
        <v>3052</v>
      </c>
      <c r="E162" s="1" t="s">
        <v>3053</v>
      </c>
      <c r="F162" s="1">
        <v>23</v>
      </c>
      <c r="G162" s="12" t="s">
        <v>1336</v>
      </c>
      <c r="H162" s="1" t="s">
        <v>1336</v>
      </c>
      <c r="I162" s="1" t="s">
        <v>130</v>
      </c>
      <c r="J162" s="30">
        <v>1</v>
      </c>
      <c r="K162" s="30">
        <v>150000</v>
      </c>
      <c r="L162" s="31">
        <v>150000</v>
      </c>
      <c r="M162" s="1" t="s">
        <v>16</v>
      </c>
      <c r="N162" s="1" t="s">
        <v>17</v>
      </c>
      <c r="O162" s="1" t="s">
        <v>2057</v>
      </c>
      <c r="P162" s="1" t="s">
        <v>2056</v>
      </c>
      <c r="Q162" s="1" t="s">
        <v>1578</v>
      </c>
      <c r="R162" s="1">
        <f t="shared" si="2"/>
        <v>4</v>
      </c>
      <c r="S162" s="4">
        <f>J162*K162*M162</f>
        <v>12000</v>
      </c>
    </row>
    <row r="163" spans="1:19" ht="43" hidden="1" customHeight="1">
      <c r="A163" s="1" t="s">
        <v>2280</v>
      </c>
      <c r="B163" s="1" t="s">
        <v>1420</v>
      </c>
      <c r="C163" s="29">
        <v>45866.7486208681</v>
      </c>
      <c r="D163" s="1" t="s">
        <v>3052</v>
      </c>
      <c r="E163" s="1" t="s">
        <v>3053</v>
      </c>
      <c r="F163" s="1">
        <v>29</v>
      </c>
      <c r="G163" s="12" t="s">
        <v>1336</v>
      </c>
      <c r="H163" s="1" t="s">
        <v>1336</v>
      </c>
      <c r="I163" s="1" t="s">
        <v>130</v>
      </c>
      <c r="J163" s="30">
        <v>2</v>
      </c>
      <c r="K163" s="30">
        <v>350000</v>
      </c>
      <c r="L163" s="31">
        <v>700000</v>
      </c>
      <c r="M163" s="1" t="s">
        <v>16</v>
      </c>
      <c r="N163" s="1" t="s">
        <v>17</v>
      </c>
      <c r="O163" s="1" t="s">
        <v>2057</v>
      </c>
      <c r="P163" s="1" t="s">
        <v>2056</v>
      </c>
      <c r="Q163" s="1" t="s">
        <v>1763</v>
      </c>
      <c r="R163" s="1">
        <f t="shared" si="2"/>
        <v>3</v>
      </c>
      <c r="S163" s="4">
        <f>J163*K163*M163</f>
        <v>56000</v>
      </c>
    </row>
    <row r="164" spans="1:19" ht="43" customHeight="1">
      <c r="A164" s="1" t="s">
        <v>2280</v>
      </c>
      <c r="B164" s="1" t="s">
        <v>1412</v>
      </c>
      <c r="C164" s="29">
        <v>45898.896986157401</v>
      </c>
      <c r="D164" s="1" t="s">
        <v>3052</v>
      </c>
      <c r="E164" s="1" t="s">
        <v>3053</v>
      </c>
      <c r="F164" s="1">
        <v>25</v>
      </c>
      <c r="H164" s="1" t="s">
        <v>1679</v>
      </c>
      <c r="I164" s="1" t="s">
        <v>130</v>
      </c>
      <c r="J164" s="30">
        <v>1</v>
      </c>
      <c r="K164" s="30">
        <v>120000</v>
      </c>
      <c r="L164" s="31">
        <v>120000</v>
      </c>
      <c r="M164" s="1" t="s">
        <v>16</v>
      </c>
      <c r="N164" s="1" t="s">
        <v>17</v>
      </c>
      <c r="O164" s="1" t="s">
        <v>2057</v>
      </c>
      <c r="P164" s="1" t="s">
        <v>2056</v>
      </c>
      <c r="Q164" s="1" t="s">
        <v>652</v>
      </c>
      <c r="R164" s="1">
        <f t="shared" si="2"/>
        <v>3</v>
      </c>
      <c r="S164" s="4">
        <f>J164*K164*M164</f>
        <v>9600</v>
      </c>
    </row>
    <row r="165" spans="1:19" ht="43" hidden="1" customHeight="1">
      <c r="A165" s="1" t="s">
        <v>2280</v>
      </c>
      <c r="B165" s="1" t="s">
        <v>13</v>
      </c>
      <c r="C165" s="29">
        <v>45776.499996342602</v>
      </c>
      <c r="D165" s="1" t="s">
        <v>3052</v>
      </c>
      <c r="E165" s="1" t="s">
        <v>3053</v>
      </c>
      <c r="F165" s="1">
        <v>59</v>
      </c>
      <c r="G165" s="12" t="s">
        <v>1379</v>
      </c>
      <c r="H165" s="1" t="s">
        <v>1379</v>
      </c>
      <c r="I165" s="1" t="s">
        <v>130</v>
      </c>
      <c r="J165" s="30">
        <v>1</v>
      </c>
      <c r="K165" s="30">
        <v>2400000</v>
      </c>
      <c r="L165" s="31">
        <v>2400000</v>
      </c>
      <c r="M165" s="1" t="s">
        <v>16</v>
      </c>
      <c r="N165" s="1" t="s">
        <v>17</v>
      </c>
      <c r="O165" s="1" t="s">
        <v>2057</v>
      </c>
      <c r="P165" s="1" t="s">
        <v>2056</v>
      </c>
      <c r="Q165" s="1" t="s">
        <v>937</v>
      </c>
      <c r="R165" s="1">
        <f t="shared" si="2"/>
        <v>2</v>
      </c>
      <c r="S165" s="4">
        <f>J165*K165*M165</f>
        <v>192000</v>
      </c>
    </row>
    <row r="166" spans="1:19" ht="43" customHeight="1">
      <c r="A166" s="1" t="s">
        <v>2280</v>
      </c>
      <c r="B166" s="1" t="s">
        <v>13</v>
      </c>
      <c r="C166" s="29">
        <v>45776.499996342602</v>
      </c>
      <c r="D166" s="1" t="s">
        <v>3052</v>
      </c>
      <c r="E166" s="1" t="s">
        <v>3053</v>
      </c>
      <c r="F166" s="1">
        <v>72</v>
      </c>
      <c r="H166" s="1" t="s">
        <v>1973</v>
      </c>
      <c r="I166" s="1" t="s">
        <v>130</v>
      </c>
      <c r="J166" s="30">
        <v>1</v>
      </c>
      <c r="K166" s="30">
        <v>110000</v>
      </c>
      <c r="L166" s="31">
        <v>110000</v>
      </c>
      <c r="M166" s="1" t="s">
        <v>16</v>
      </c>
      <c r="N166" s="1" t="s">
        <v>17</v>
      </c>
      <c r="O166" s="1" t="s">
        <v>2057</v>
      </c>
      <c r="P166" s="1" t="s">
        <v>2056</v>
      </c>
      <c r="Q166" s="1" t="s">
        <v>937</v>
      </c>
      <c r="R166" s="1">
        <f t="shared" si="2"/>
        <v>2</v>
      </c>
      <c r="S166" s="4">
        <f>J166*K166*M166</f>
        <v>8800</v>
      </c>
    </row>
    <row r="167" spans="1:19" ht="43" customHeight="1">
      <c r="A167" s="1" t="s">
        <v>2280</v>
      </c>
      <c r="B167" s="1" t="s">
        <v>221</v>
      </c>
      <c r="C167" s="29">
        <v>45776.500553657403</v>
      </c>
      <c r="D167" s="1" t="s">
        <v>3052</v>
      </c>
      <c r="E167" s="1" t="s">
        <v>3053</v>
      </c>
      <c r="F167" s="1">
        <v>27</v>
      </c>
      <c r="H167" s="1" t="s">
        <v>1918</v>
      </c>
      <c r="I167" s="1" t="s">
        <v>71</v>
      </c>
      <c r="J167" s="30">
        <v>200</v>
      </c>
      <c r="K167" s="30">
        <v>20000</v>
      </c>
      <c r="L167" s="31">
        <v>4000000</v>
      </c>
      <c r="M167" s="1" t="s">
        <v>30</v>
      </c>
      <c r="N167" s="1" t="s">
        <v>17</v>
      </c>
      <c r="O167" s="1" t="s">
        <v>2057</v>
      </c>
      <c r="P167" s="1" t="s">
        <v>2056</v>
      </c>
      <c r="Q167" s="1" t="s">
        <v>937</v>
      </c>
      <c r="R167" s="1">
        <f t="shared" si="2"/>
        <v>2</v>
      </c>
      <c r="S167" s="4">
        <f>J167*K167*M167</f>
        <v>400000</v>
      </c>
    </row>
    <row r="168" spans="1:19" ht="43" customHeight="1">
      <c r="A168" s="1" t="s">
        <v>2280</v>
      </c>
      <c r="B168" s="1" t="s">
        <v>1315</v>
      </c>
      <c r="C168" s="29">
        <v>45747.658940451402</v>
      </c>
      <c r="D168" s="1" t="s">
        <v>3071</v>
      </c>
      <c r="E168" s="1" t="s">
        <v>3053</v>
      </c>
      <c r="F168" s="1">
        <v>45</v>
      </c>
      <c r="H168" s="1" t="s">
        <v>2036</v>
      </c>
      <c r="I168" s="1" t="s">
        <v>71</v>
      </c>
      <c r="J168" s="30">
        <v>100</v>
      </c>
      <c r="K168" s="30">
        <v>35000</v>
      </c>
      <c r="L168" s="31">
        <v>3500000</v>
      </c>
      <c r="M168" s="1" t="s">
        <v>30</v>
      </c>
      <c r="N168" s="1" t="s">
        <v>17</v>
      </c>
      <c r="O168" s="1" t="s">
        <v>2057</v>
      </c>
      <c r="P168" s="1" t="s">
        <v>2056</v>
      </c>
      <c r="Q168" s="1" t="s">
        <v>42</v>
      </c>
      <c r="R168" s="1">
        <f t="shared" si="2"/>
        <v>1</v>
      </c>
      <c r="S168" s="4">
        <f>J168*K168*M168</f>
        <v>350000</v>
      </c>
    </row>
    <row r="169" spans="1:19" ht="43" hidden="1" customHeight="1">
      <c r="A169" s="1" t="s">
        <v>2280</v>
      </c>
      <c r="B169" s="1" t="s">
        <v>1193</v>
      </c>
      <c r="C169" s="29">
        <v>45989.802848981497</v>
      </c>
      <c r="D169" s="1" t="s">
        <v>3054</v>
      </c>
      <c r="E169" s="1" t="s">
        <v>3055</v>
      </c>
      <c r="F169" s="1">
        <v>2</v>
      </c>
      <c r="G169" s="12" t="s">
        <v>444</v>
      </c>
      <c r="H169" s="1" t="s">
        <v>444</v>
      </c>
      <c r="I169" s="1" t="s">
        <v>130</v>
      </c>
      <c r="J169" s="30">
        <v>18</v>
      </c>
      <c r="K169" s="30">
        <v>180000</v>
      </c>
      <c r="L169" s="31">
        <v>3240000</v>
      </c>
      <c r="M169" s="1" t="s">
        <v>16</v>
      </c>
      <c r="N169" s="1" t="s">
        <v>17</v>
      </c>
      <c r="O169" s="1" t="s">
        <v>2057</v>
      </c>
      <c r="P169" s="1" t="s">
        <v>2056</v>
      </c>
      <c r="Q169" s="1" t="s">
        <v>394</v>
      </c>
      <c r="R169" s="1">
        <f t="shared" si="2"/>
        <v>4</v>
      </c>
      <c r="S169" s="4">
        <f>J169*K169*M169</f>
        <v>259200</v>
      </c>
    </row>
    <row r="170" spans="1:19" ht="43" hidden="1" customHeight="1">
      <c r="A170" s="1" t="s">
        <v>2280</v>
      </c>
      <c r="B170" s="1" t="s">
        <v>1414</v>
      </c>
      <c r="C170" s="29">
        <v>45889.505948553197</v>
      </c>
      <c r="D170" s="1" t="s">
        <v>3054</v>
      </c>
      <c r="E170" s="1" t="s">
        <v>3055</v>
      </c>
      <c r="F170" s="1">
        <v>5</v>
      </c>
      <c r="G170" s="12" t="s">
        <v>444</v>
      </c>
      <c r="H170" s="1" t="s">
        <v>444</v>
      </c>
      <c r="I170" s="1" t="s">
        <v>130</v>
      </c>
      <c r="J170" s="30">
        <v>10</v>
      </c>
      <c r="K170" s="30">
        <v>180000</v>
      </c>
      <c r="L170" s="31">
        <v>1800000</v>
      </c>
      <c r="M170" s="1" t="s">
        <v>16</v>
      </c>
      <c r="N170" s="1" t="s">
        <v>17</v>
      </c>
      <c r="O170" s="1" t="s">
        <v>2057</v>
      </c>
      <c r="P170" s="1" t="s">
        <v>2056</v>
      </c>
      <c r="Q170" s="1" t="s">
        <v>674</v>
      </c>
      <c r="R170" s="1">
        <f t="shared" si="2"/>
        <v>3</v>
      </c>
      <c r="S170" s="4">
        <f>J170*K170*M170</f>
        <v>144000</v>
      </c>
    </row>
    <row r="171" spans="1:19" ht="43" hidden="1" customHeight="1">
      <c r="A171" s="1" t="s">
        <v>2280</v>
      </c>
      <c r="B171" s="1" t="s">
        <v>1158</v>
      </c>
      <c r="C171" s="29">
        <v>45868.606624756903</v>
      </c>
      <c r="D171" s="1" t="s">
        <v>3052</v>
      </c>
      <c r="E171" s="1" t="s">
        <v>3053</v>
      </c>
      <c r="F171" s="1">
        <v>5</v>
      </c>
      <c r="G171" s="12" t="s">
        <v>444</v>
      </c>
      <c r="H171" s="1" t="s">
        <v>444</v>
      </c>
      <c r="I171" s="1" t="s">
        <v>130</v>
      </c>
      <c r="J171" s="30">
        <v>13</v>
      </c>
      <c r="K171" s="30">
        <v>130000</v>
      </c>
      <c r="L171" s="31">
        <v>1690000</v>
      </c>
      <c r="M171" s="1" t="s">
        <v>16</v>
      </c>
      <c r="N171" s="1" t="s">
        <v>17</v>
      </c>
      <c r="O171" s="1" t="s">
        <v>2057</v>
      </c>
      <c r="P171" s="1" t="s">
        <v>2056</v>
      </c>
      <c r="Q171" s="1" t="s">
        <v>800</v>
      </c>
      <c r="R171" s="1">
        <f t="shared" si="2"/>
        <v>3</v>
      </c>
      <c r="S171" s="4">
        <f>J171*K171*M171</f>
        <v>135200</v>
      </c>
    </row>
    <row r="172" spans="1:19" ht="43" customHeight="1">
      <c r="A172" s="1" t="s">
        <v>2280</v>
      </c>
      <c r="B172" s="1" t="s">
        <v>221</v>
      </c>
      <c r="C172" s="29">
        <v>45776.500553657403</v>
      </c>
      <c r="D172" s="1" t="s">
        <v>3052</v>
      </c>
      <c r="E172" s="1" t="s">
        <v>3053</v>
      </c>
      <c r="F172" s="1">
        <v>30</v>
      </c>
      <c r="H172" s="1" t="s">
        <v>1920</v>
      </c>
      <c r="I172" s="1" t="s">
        <v>71</v>
      </c>
      <c r="J172" s="30">
        <v>100</v>
      </c>
      <c r="K172" s="30">
        <v>35000</v>
      </c>
      <c r="L172" s="31">
        <v>3500000</v>
      </c>
      <c r="M172" s="1" t="s">
        <v>30</v>
      </c>
      <c r="N172" s="1" t="s">
        <v>17</v>
      </c>
      <c r="O172" s="1" t="s">
        <v>2057</v>
      </c>
      <c r="P172" s="1" t="s">
        <v>2056</v>
      </c>
      <c r="Q172" s="1" t="s">
        <v>937</v>
      </c>
      <c r="R172" s="1">
        <f t="shared" si="2"/>
        <v>2</v>
      </c>
      <c r="S172" s="4">
        <f>J172*K172*M172</f>
        <v>350000</v>
      </c>
    </row>
    <row r="173" spans="1:19" ht="43" customHeight="1">
      <c r="A173" s="1" t="s">
        <v>2280</v>
      </c>
      <c r="B173" s="1" t="s">
        <v>221</v>
      </c>
      <c r="C173" s="29">
        <v>45776.500553657403</v>
      </c>
      <c r="D173" s="1" t="s">
        <v>3052</v>
      </c>
      <c r="E173" s="1" t="s">
        <v>3053</v>
      </c>
      <c r="F173" s="1">
        <v>29</v>
      </c>
      <c r="H173" s="1" t="s">
        <v>1919</v>
      </c>
      <c r="I173" s="1" t="s">
        <v>71</v>
      </c>
      <c r="J173" s="30">
        <v>200</v>
      </c>
      <c r="K173" s="30">
        <v>21000</v>
      </c>
      <c r="L173" s="31">
        <v>4200000</v>
      </c>
      <c r="M173" s="1" t="s">
        <v>30</v>
      </c>
      <c r="N173" s="1" t="s">
        <v>17</v>
      </c>
      <c r="O173" s="1" t="s">
        <v>2057</v>
      </c>
      <c r="P173" s="1" t="s">
        <v>2056</v>
      </c>
      <c r="Q173" s="1" t="s">
        <v>937</v>
      </c>
      <c r="R173" s="1">
        <f t="shared" si="2"/>
        <v>2</v>
      </c>
      <c r="S173" s="4">
        <f>J173*K173*M173</f>
        <v>420000</v>
      </c>
    </row>
    <row r="174" spans="1:19" ht="43" hidden="1" customHeight="1">
      <c r="A174" s="1" t="s">
        <v>2280</v>
      </c>
      <c r="B174" s="1" t="s">
        <v>1462</v>
      </c>
      <c r="C174" s="29">
        <v>45928.944135983802</v>
      </c>
      <c r="D174" s="1" t="s">
        <v>3052</v>
      </c>
      <c r="E174" s="1" t="s">
        <v>3053</v>
      </c>
      <c r="F174" s="1">
        <v>58</v>
      </c>
      <c r="G174" s="12" t="s">
        <v>626</v>
      </c>
      <c r="H174" s="1" t="s">
        <v>626</v>
      </c>
      <c r="I174" s="1" t="s">
        <v>71</v>
      </c>
      <c r="J174" s="30">
        <v>200</v>
      </c>
      <c r="K174" s="30">
        <v>16000</v>
      </c>
      <c r="L174" s="31">
        <v>3200000</v>
      </c>
      <c r="M174" s="1" t="s">
        <v>16</v>
      </c>
      <c r="N174" s="1" t="s">
        <v>17</v>
      </c>
      <c r="O174" s="1" t="s">
        <v>2057</v>
      </c>
      <c r="P174" s="1" t="s">
        <v>2056</v>
      </c>
      <c r="Q174" s="1" t="s">
        <v>546</v>
      </c>
      <c r="R174" s="1">
        <f t="shared" si="2"/>
        <v>3</v>
      </c>
      <c r="S174" s="4">
        <f>J174*K174*M174</f>
        <v>256000</v>
      </c>
    </row>
    <row r="175" spans="1:19" ht="43" hidden="1" customHeight="1">
      <c r="A175" s="1" t="s">
        <v>2280</v>
      </c>
      <c r="B175" s="1" t="s">
        <v>126</v>
      </c>
      <c r="C175" s="29">
        <v>45898.896719536999</v>
      </c>
      <c r="D175" s="1" t="s">
        <v>3052</v>
      </c>
      <c r="E175" s="1" t="s">
        <v>3053</v>
      </c>
      <c r="F175" s="1">
        <v>17</v>
      </c>
      <c r="G175" s="12" t="s">
        <v>659</v>
      </c>
      <c r="H175" s="1" t="s">
        <v>1719</v>
      </c>
      <c r="I175" s="1" t="s">
        <v>71</v>
      </c>
      <c r="J175" s="30">
        <v>220</v>
      </c>
      <c r="K175" s="30">
        <v>45000</v>
      </c>
      <c r="L175" s="31">
        <v>9900000</v>
      </c>
      <c r="M175" s="1" t="s">
        <v>30</v>
      </c>
      <c r="N175" s="1" t="s">
        <v>17</v>
      </c>
      <c r="O175" s="1" t="s">
        <v>2057</v>
      </c>
      <c r="P175" s="1" t="s">
        <v>2056</v>
      </c>
      <c r="Q175" s="1" t="s">
        <v>652</v>
      </c>
      <c r="R175" s="1">
        <f t="shared" si="2"/>
        <v>3</v>
      </c>
      <c r="S175" s="4">
        <f>J175*K175*M175</f>
        <v>990000</v>
      </c>
    </row>
    <row r="176" spans="1:19" ht="43" hidden="1" customHeight="1">
      <c r="A176" s="1" t="s">
        <v>2280</v>
      </c>
      <c r="B176" s="1" t="s">
        <v>717</v>
      </c>
      <c r="C176" s="29">
        <v>45807.729117129602</v>
      </c>
      <c r="D176" s="1" t="s">
        <v>3052</v>
      </c>
      <c r="E176" s="1" t="s">
        <v>3053</v>
      </c>
      <c r="F176" s="1">
        <v>16</v>
      </c>
      <c r="G176" s="12" t="s">
        <v>1464</v>
      </c>
      <c r="H176" s="1" t="s">
        <v>1464</v>
      </c>
      <c r="I176" s="1" t="s">
        <v>71</v>
      </c>
      <c r="J176" s="30">
        <v>500</v>
      </c>
      <c r="K176" s="30">
        <v>28000</v>
      </c>
      <c r="L176" s="31">
        <v>14000000</v>
      </c>
      <c r="M176" s="1" t="s">
        <v>30</v>
      </c>
      <c r="N176" s="1" t="s">
        <v>17</v>
      </c>
      <c r="O176" s="1" t="s">
        <v>2057</v>
      </c>
      <c r="P176" s="1" t="s">
        <v>2056</v>
      </c>
      <c r="Q176" s="1" t="s">
        <v>925</v>
      </c>
      <c r="R176" s="1">
        <f t="shared" si="2"/>
        <v>2</v>
      </c>
      <c r="S176" s="4">
        <f>J176*K176*M176</f>
        <v>1400000</v>
      </c>
    </row>
    <row r="177" spans="1:19" ht="43" hidden="1" customHeight="1">
      <c r="A177" s="1" t="s">
        <v>2280</v>
      </c>
      <c r="B177" s="1" t="s">
        <v>221</v>
      </c>
      <c r="C177" s="29">
        <v>45776.500553657403</v>
      </c>
      <c r="D177" s="1" t="s">
        <v>3052</v>
      </c>
      <c r="E177" s="1" t="s">
        <v>3053</v>
      </c>
      <c r="F177" s="1">
        <v>22</v>
      </c>
      <c r="G177" s="12" t="s">
        <v>1464</v>
      </c>
      <c r="H177" s="1" t="s">
        <v>1464</v>
      </c>
      <c r="I177" s="1" t="s">
        <v>71</v>
      </c>
      <c r="J177" s="30">
        <v>1000</v>
      </c>
      <c r="K177" s="30">
        <v>27000</v>
      </c>
      <c r="L177" s="31">
        <v>27000000</v>
      </c>
      <c r="M177" s="1" t="s">
        <v>30</v>
      </c>
      <c r="N177" s="1" t="s">
        <v>17</v>
      </c>
      <c r="O177" s="1" t="s">
        <v>2057</v>
      </c>
      <c r="P177" s="1" t="s">
        <v>2056</v>
      </c>
      <c r="Q177" s="1" t="s">
        <v>937</v>
      </c>
      <c r="R177" s="1">
        <f t="shared" si="2"/>
        <v>2</v>
      </c>
      <c r="S177" s="4">
        <f>J177*K177*M177</f>
        <v>2700000</v>
      </c>
    </row>
    <row r="178" spans="1:19" ht="43" hidden="1" customHeight="1">
      <c r="A178" s="1" t="s">
        <v>2072</v>
      </c>
      <c r="B178" s="1" t="s">
        <v>146</v>
      </c>
      <c r="C178" s="29">
        <v>46020.386763703696</v>
      </c>
      <c r="D178" s="1" t="s">
        <v>3052</v>
      </c>
      <c r="E178" s="1" t="s">
        <v>3053</v>
      </c>
      <c r="F178" s="1">
        <v>1</v>
      </c>
      <c r="G178" s="12" t="s">
        <v>446</v>
      </c>
      <c r="H178" s="1" t="s">
        <v>446</v>
      </c>
      <c r="I178" s="1" t="s">
        <v>130</v>
      </c>
      <c r="J178" s="30">
        <v>4</v>
      </c>
      <c r="K178" s="30">
        <v>325000</v>
      </c>
      <c r="L178" s="31">
        <v>1300000</v>
      </c>
      <c r="M178" s="1" t="s">
        <v>16</v>
      </c>
      <c r="N178" s="1" t="s">
        <v>17</v>
      </c>
      <c r="O178" s="1" t="s">
        <v>2057</v>
      </c>
      <c r="P178" s="1" t="s">
        <v>2056</v>
      </c>
      <c r="Q178" s="1" t="s">
        <v>275</v>
      </c>
      <c r="R178" s="1">
        <f t="shared" si="2"/>
        <v>4</v>
      </c>
      <c r="S178" s="4">
        <f>J178*K178*M178</f>
        <v>104000</v>
      </c>
    </row>
    <row r="179" spans="1:19" ht="43" hidden="1" customHeight="1">
      <c r="A179" s="1" t="s">
        <v>2072</v>
      </c>
      <c r="B179" s="1" t="s">
        <v>146</v>
      </c>
      <c r="C179" s="29">
        <v>46020.386763703696</v>
      </c>
      <c r="D179" s="1" t="s">
        <v>3052</v>
      </c>
      <c r="E179" s="1" t="s">
        <v>3053</v>
      </c>
      <c r="F179" s="1">
        <v>2</v>
      </c>
      <c r="G179" s="12" t="s">
        <v>445</v>
      </c>
      <c r="H179" s="1" t="s">
        <v>445</v>
      </c>
      <c r="I179" s="1" t="s">
        <v>130</v>
      </c>
      <c r="J179" s="30">
        <v>1</v>
      </c>
      <c r="K179" s="30">
        <v>392000</v>
      </c>
      <c r="L179" s="31">
        <v>392000</v>
      </c>
      <c r="M179" s="1" t="s">
        <v>16</v>
      </c>
      <c r="N179" s="1" t="s">
        <v>17</v>
      </c>
      <c r="O179" s="1" t="s">
        <v>2057</v>
      </c>
      <c r="P179" s="1" t="s">
        <v>2056</v>
      </c>
      <c r="Q179" s="1" t="s">
        <v>275</v>
      </c>
      <c r="R179" s="1">
        <f t="shared" si="2"/>
        <v>4</v>
      </c>
      <c r="S179" s="4">
        <f>J179*K179*M179</f>
        <v>31360</v>
      </c>
    </row>
    <row r="180" spans="1:19" ht="43" hidden="1" customHeight="1">
      <c r="A180" s="1" t="s">
        <v>2280</v>
      </c>
      <c r="B180" s="1" t="s">
        <v>1400</v>
      </c>
      <c r="C180" s="29">
        <v>45990.721094398097</v>
      </c>
      <c r="D180" s="1" t="s">
        <v>3052</v>
      </c>
      <c r="E180" s="1" t="s">
        <v>3053</v>
      </c>
      <c r="F180" s="1">
        <v>53</v>
      </c>
      <c r="G180" s="12" t="s">
        <v>780</v>
      </c>
      <c r="H180" s="1" t="s">
        <v>780</v>
      </c>
      <c r="I180" s="1" t="s">
        <v>130</v>
      </c>
      <c r="J180" s="30">
        <v>1</v>
      </c>
      <c r="K180" s="30">
        <v>650000</v>
      </c>
      <c r="L180" s="31">
        <v>650000</v>
      </c>
      <c r="M180" s="1" t="s">
        <v>16</v>
      </c>
      <c r="N180" s="1" t="s">
        <v>17</v>
      </c>
      <c r="O180" s="1" t="s">
        <v>2057</v>
      </c>
      <c r="P180" s="1" t="s">
        <v>2056</v>
      </c>
      <c r="Q180" s="1" t="s">
        <v>1531</v>
      </c>
      <c r="R180" s="1">
        <f t="shared" si="2"/>
        <v>4</v>
      </c>
      <c r="S180" s="4">
        <f>J180*K180*M180</f>
        <v>52000</v>
      </c>
    </row>
    <row r="181" spans="1:19" ht="43" hidden="1" customHeight="1">
      <c r="A181" s="1" t="s">
        <v>2280</v>
      </c>
      <c r="B181" s="1" t="s">
        <v>1417</v>
      </c>
      <c r="C181" s="29">
        <v>45868.607072511601</v>
      </c>
      <c r="D181" s="1" t="s">
        <v>3052</v>
      </c>
      <c r="E181" s="1" t="s">
        <v>3053</v>
      </c>
      <c r="F181" s="1">
        <v>21</v>
      </c>
      <c r="G181" s="12" t="s">
        <v>780</v>
      </c>
      <c r="H181" s="1" t="s">
        <v>780</v>
      </c>
      <c r="I181" s="1" t="s">
        <v>130</v>
      </c>
      <c r="J181" s="30">
        <v>1</v>
      </c>
      <c r="K181" s="30">
        <v>330000</v>
      </c>
      <c r="L181" s="31">
        <v>330000</v>
      </c>
      <c r="M181" s="1" t="s">
        <v>30</v>
      </c>
      <c r="N181" s="1" t="s">
        <v>17</v>
      </c>
      <c r="O181" s="1" t="s">
        <v>2057</v>
      </c>
      <c r="P181" s="1" t="s">
        <v>2056</v>
      </c>
      <c r="Q181" s="1" t="s">
        <v>800</v>
      </c>
      <c r="R181" s="1">
        <f t="shared" si="2"/>
        <v>3</v>
      </c>
      <c r="S181" s="4">
        <f>J181*K181*M181</f>
        <v>33000</v>
      </c>
    </row>
    <row r="182" spans="1:19" ht="43" customHeight="1">
      <c r="A182" s="1" t="s">
        <v>2280</v>
      </c>
      <c r="B182" s="1" t="s">
        <v>1315</v>
      </c>
      <c r="C182" s="29">
        <v>45747.658940451402</v>
      </c>
      <c r="D182" s="1" t="s">
        <v>3071</v>
      </c>
      <c r="E182" s="1" t="s">
        <v>3053</v>
      </c>
      <c r="F182" s="1">
        <v>10</v>
      </c>
      <c r="H182" s="1" t="s">
        <v>2005</v>
      </c>
      <c r="I182" s="1" t="s">
        <v>130</v>
      </c>
      <c r="J182" s="30">
        <v>24</v>
      </c>
      <c r="K182" s="30">
        <v>37000</v>
      </c>
      <c r="L182" s="31">
        <v>888000</v>
      </c>
      <c r="M182" s="1" t="s">
        <v>30</v>
      </c>
      <c r="N182" s="1" t="s">
        <v>17</v>
      </c>
      <c r="O182" s="1" t="s">
        <v>2057</v>
      </c>
      <c r="P182" s="1" t="s">
        <v>2056</v>
      </c>
      <c r="Q182" s="1" t="s">
        <v>42</v>
      </c>
      <c r="R182" s="1">
        <f t="shared" si="2"/>
        <v>1</v>
      </c>
      <c r="S182" s="4">
        <f>J182*K182*M182</f>
        <v>88800</v>
      </c>
    </row>
    <row r="183" spans="1:19" ht="43" customHeight="1">
      <c r="A183" s="1" t="s">
        <v>2280</v>
      </c>
      <c r="B183" s="1" t="s">
        <v>13</v>
      </c>
      <c r="C183" s="29">
        <v>45776.499996342602</v>
      </c>
      <c r="D183" s="1" t="s">
        <v>3052</v>
      </c>
      <c r="E183" s="1" t="s">
        <v>3053</v>
      </c>
      <c r="F183" s="1">
        <v>12</v>
      </c>
      <c r="H183" s="1" t="s">
        <v>1930</v>
      </c>
      <c r="I183" s="1" t="s">
        <v>15</v>
      </c>
      <c r="J183" s="30">
        <v>2</v>
      </c>
      <c r="K183" s="30">
        <v>85000</v>
      </c>
      <c r="L183" s="31">
        <v>170000</v>
      </c>
      <c r="M183" s="1" t="s">
        <v>16</v>
      </c>
      <c r="N183" s="1" t="s">
        <v>17</v>
      </c>
      <c r="O183" s="1" t="s">
        <v>2057</v>
      </c>
      <c r="P183" s="1" t="s">
        <v>2056</v>
      </c>
      <c r="Q183" s="1" t="s">
        <v>937</v>
      </c>
      <c r="R183" s="1">
        <f t="shared" si="2"/>
        <v>2</v>
      </c>
      <c r="S183" s="4">
        <f>J183*K183*M183</f>
        <v>13600</v>
      </c>
    </row>
    <row r="184" spans="1:19" ht="43" hidden="1" customHeight="1">
      <c r="A184" s="1" t="s">
        <v>2280</v>
      </c>
      <c r="B184" s="1" t="s">
        <v>1143</v>
      </c>
      <c r="C184" s="29">
        <v>45926.638938830998</v>
      </c>
      <c r="D184" s="1" t="s">
        <v>3056</v>
      </c>
      <c r="E184" s="1" t="s">
        <v>3057</v>
      </c>
      <c r="F184" s="1">
        <v>2</v>
      </c>
      <c r="G184" s="12" t="s">
        <v>1241</v>
      </c>
      <c r="H184" s="1" t="s">
        <v>1241</v>
      </c>
      <c r="I184" s="1" t="s">
        <v>173</v>
      </c>
      <c r="J184" s="30">
        <v>1</v>
      </c>
      <c r="K184" s="30">
        <v>200000</v>
      </c>
      <c r="L184" s="31">
        <v>200000</v>
      </c>
      <c r="M184" s="1" t="s">
        <v>30</v>
      </c>
      <c r="N184" s="1" t="s">
        <v>17</v>
      </c>
      <c r="O184" s="1" t="s">
        <v>2057</v>
      </c>
      <c r="P184" s="1" t="s">
        <v>2056</v>
      </c>
      <c r="Q184" s="1" t="s">
        <v>558</v>
      </c>
      <c r="R184" s="1">
        <f t="shared" si="2"/>
        <v>3</v>
      </c>
      <c r="S184" s="4">
        <f>J184*K184*M184</f>
        <v>20000</v>
      </c>
    </row>
    <row r="185" spans="1:19" ht="43" hidden="1" customHeight="1">
      <c r="A185" s="1" t="s">
        <v>2280</v>
      </c>
      <c r="B185" s="1" t="s">
        <v>1402</v>
      </c>
      <c r="C185" s="29">
        <v>45990.382403298601</v>
      </c>
      <c r="D185" s="1" t="s">
        <v>3052</v>
      </c>
      <c r="E185" s="1" t="s">
        <v>3053</v>
      </c>
      <c r="F185" s="1">
        <v>5</v>
      </c>
      <c r="G185" s="12" t="s">
        <v>1335</v>
      </c>
      <c r="H185" s="1" t="s">
        <v>779</v>
      </c>
      <c r="I185" s="1" t="s">
        <v>130</v>
      </c>
      <c r="J185" s="30">
        <v>60</v>
      </c>
      <c r="K185" s="30">
        <v>15000</v>
      </c>
      <c r="L185" s="31">
        <v>900000</v>
      </c>
      <c r="M185" s="1" t="s">
        <v>16</v>
      </c>
      <c r="N185" s="1" t="s">
        <v>17</v>
      </c>
      <c r="O185" s="1" t="s">
        <v>2057</v>
      </c>
      <c r="P185" s="1" t="s">
        <v>2056</v>
      </c>
      <c r="Q185" s="1" t="s">
        <v>1531</v>
      </c>
      <c r="R185" s="1">
        <f t="shared" si="2"/>
        <v>4</v>
      </c>
      <c r="S185" s="4">
        <f>J185*K185*M185</f>
        <v>72000</v>
      </c>
    </row>
    <row r="186" spans="1:19" ht="43" hidden="1" customHeight="1">
      <c r="A186" s="1" t="s">
        <v>2280</v>
      </c>
      <c r="B186" s="1" t="s">
        <v>1412</v>
      </c>
      <c r="C186" s="29">
        <v>45898.896986157401</v>
      </c>
      <c r="D186" s="1" t="s">
        <v>3052</v>
      </c>
      <c r="E186" s="1" t="s">
        <v>3053</v>
      </c>
      <c r="F186" s="1">
        <v>46</v>
      </c>
      <c r="G186" s="12" t="s">
        <v>1335</v>
      </c>
      <c r="H186" s="1" t="s">
        <v>779</v>
      </c>
      <c r="I186" s="1" t="s">
        <v>130</v>
      </c>
      <c r="J186" s="30">
        <v>15</v>
      </c>
      <c r="K186" s="30">
        <v>12000</v>
      </c>
      <c r="L186" s="31">
        <v>180000</v>
      </c>
      <c r="M186" s="1" t="s">
        <v>16</v>
      </c>
      <c r="N186" s="1" t="s">
        <v>17</v>
      </c>
      <c r="O186" s="1" t="s">
        <v>2057</v>
      </c>
      <c r="P186" s="1" t="s">
        <v>2056</v>
      </c>
      <c r="Q186" s="1" t="s">
        <v>652</v>
      </c>
      <c r="R186" s="1">
        <f t="shared" si="2"/>
        <v>3</v>
      </c>
      <c r="S186" s="4">
        <f>J186*K186*M186</f>
        <v>14400</v>
      </c>
    </row>
    <row r="187" spans="1:19" ht="43" hidden="1" customHeight="1">
      <c r="A187" s="1" t="s">
        <v>2072</v>
      </c>
      <c r="B187" s="1" t="s">
        <v>1294</v>
      </c>
      <c r="C187" s="29">
        <v>46021.613942164397</v>
      </c>
      <c r="D187" s="1" t="s">
        <v>3052</v>
      </c>
      <c r="E187" s="1" t="s">
        <v>3053</v>
      </c>
      <c r="F187" s="1">
        <v>41</v>
      </c>
      <c r="G187" s="12" t="s">
        <v>1335</v>
      </c>
      <c r="H187" s="1" t="s">
        <v>1335</v>
      </c>
      <c r="I187" s="1" t="s">
        <v>130</v>
      </c>
      <c r="J187" s="30">
        <v>20</v>
      </c>
      <c r="K187" s="30">
        <v>10000</v>
      </c>
      <c r="L187" s="31">
        <v>200000</v>
      </c>
      <c r="M187" s="1" t="s">
        <v>16</v>
      </c>
      <c r="N187" s="1" t="s">
        <v>17</v>
      </c>
      <c r="O187" s="1" t="s">
        <v>2057</v>
      </c>
      <c r="P187" s="1" t="s">
        <v>2056</v>
      </c>
      <c r="Q187" s="1" t="s">
        <v>1474</v>
      </c>
      <c r="R187" s="1">
        <f t="shared" si="2"/>
        <v>4</v>
      </c>
      <c r="S187" s="4">
        <f>J187*K187*M187</f>
        <v>16000</v>
      </c>
    </row>
    <row r="188" spans="1:19" ht="43" hidden="1" customHeight="1">
      <c r="A188" s="1" t="s">
        <v>2280</v>
      </c>
      <c r="B188" s="1" t="s">
        <v>1400</v>
      </c>
      <c r="C188" s="29">
        <v>45990.721094398097</v>
      </c>
      <c r="D188" s="1" t="s">
        <v>3052</v>
      </c>
      <c r="E188" s="1" t="s">
        <v>3053</v>
      </c>
      <c r="F188" s="1">
        <v>30</v>
      </c>
      <c r="G188" s="12" t="s">
        <v>1335</v>
      </c>
      <c r="H188" s="1" t="s">
        <v>1335</v>
      </c>
      <c r="I188" s="1" t="s">
        <v>130</v>
      </c>
      <c r="J188" s="30">
        <v>30</v>
      </c>
      <c r="K188" s="30">
        <v>25000</v>
      </c>
      <c r="L188" s="31">
        <v>750000</v>
      </c>
      <c r="M188" s="1" t="s">
        <v>16</v>
      </c>
      <c r="N188" s="1" t="s">
        <v>17</v>
      </c>
      <c r="O188" s="1" t="s">
        <v>2057</v>
      </c>
      <c r="P188" s="1" t="s">
        <v>2056</v>
      </c>
      <c r="Q188" s="1" t="s">
        <v>1531</v>
      </c>
      <c r="R188" s="1">
        <f t="shared" si="2"/>
        <v>4</v>
      </c>
      <c r="S188" s="4">
        <f>J188*K188*M188</f>
        <v>60000</v>
      </c>
    </row>
    <row r="189" spans="1:19" ht="43" hidden="1" customHeight="1">
      <c r="A189" s="1" t="s">
        <v>2280</v>
      </c>
      <c r="B189" s="1" t="s">
        <v>326</v>
      </c>
      <c r="C189" s="29">
        <v>45960.658345080999</v>
      </c>
      <c r="D189" s="1" t="s">
        <v>3052</v>
      </c>
      <c r="E189" s="1" t="s">
        <v>3053</v>
      </c>
      <c r="F189" s="1">
        <v>27</v>
      </c>
      <c r="G189" s="12" t="s">
        <v>1335</v>
      </c>
      <c r="H189" s="1" t="s">
        <v>1335</v>
      </c>
      <c r="I189" s="1" t="s">
        <v>130</v>
      </c>
      <c r="J189" s="30">
        <v>15</v>
      </c>
      <c r="K189" s="30">
        <v>15000</v>
      </c>
      <c r="L189" s="31">
        <v>225000</v>
      </c>
      <c r="M189" s="1" t="s">
        <v>16</v>
      </c>
      <c r="N189" s="1" t="s">
        <v>17</v>
      </c>
      <c r="O189" s="1" t="s">
        <v>2057</v>
      </c>
      <c r="P189" s="1" t="s">
        <v>2056</v>
      </c>
      <c r="Q189" s="1" t="s">
        <v>533</v>
      </c>
      <c r="R189" s="1">
        <f t="shared" si="2"/>
        <v>4</v>
      </c>
      <c r="S189" s="4">
        <f>J189*K189*M189</f>
        <v>18000</v>
      </c>
    </row>
    <row r="190" spans="1:19" ht="43" hidden="1" customHeight="1">
      <c r="A190" s="1" t="s">
        <v>2280</v>
      </c>
      <c r="B190" s="1" t="s">
        <v>379</v>
      </c>
      <c r="C190" s="29">
        <v>45959.6544954282</v>
      </c>
      <c r="D190" s="1" t="s">
        <v>3052</v>
      </c>
      <c r="E190" s="1" t="s">
        <v>3053</v>
      </c>
      <c r="F190" s="1">
        <v>14</v>
      </c>
      <c r="G190" s="12" t="s">
        <v>1335</v>
      </c>
      <c r="H190" s="1" t="s">
        <v>1335</v>
      </c>
      <c r="I190" s="1" t="s">
        <v>130</v>
      </c>
      <c r="J190" s="30">
        <v>40</v>
      </c>
      <c r="K190" s="30">
        <v>15000</v>
      </c>
      <c r="L190" s="31">
        <v>600000</v>
      </c>
      <c r="M190" s="1" t="s">
        <v>16</v>
      </c>
      <c r="N190" s="1" t="s">
        <v>17</v>
      </c>
      <c r="O190" s="1" t="s">
        <v>2057</v>
      </c>
      <c r="P190" s="1" t="s">
        <v>2056</v>
      </c>
      <c r="Q190" s="1" t="s">
        <v>1578</v>
      </c>
      <c r="R190" s="1">
        <f t="shared" si="2"/>
        <v>4</v>
      </c>
      <c r="S190" s="4">
        <f>J190*K190*M190</f>
        <v>48000</v>
      </c>
    </row>
    <row r="191" spans="1:19" ht="43" hidden="1" customHeight="1">
      <c r="A191" s="1" t="s">
        <v>2280</v>
      </c>
      <c r="B191" s="1" t="s">
        <v>1462</v>
      </c>
      <c r="C191" s="29">
        <v>45928.944135983802</v>
      </c>
      <c r="D191" s="1" t="s">
        <v>3052</v>
      </c>
      <c r="E191" s="1" t="s">
        <v>3053</v>
      </c>
      <c r="F191" s="1">
        <v>22</v>
      </c>
      <c r="G191" s="12" t="s">
        <v>1335</v>
      </c>
      <c r="H191" s="1" t="s">
        <v>1335</v>
      </c>
      <c r="I191" s="1" t="s">
        <v>130</v>
      </c>
      <c r="J191" s="30">
        <v>40</v>
      </c>
      <c r="K191" s="30">
        <v>15000</v>
      </c>
      <c r="L191" s="31">
        <v>600000</v>
      </c>
      <c r="M191" s="1" t="s">
        <v>16</v>
      </c>
      <c r="N191" s="1" t="s">
        <v>17</v>
      </c>
      <c r="O191" s="1" t="s">
        <v>2057</v>
      </c>
      <c r="P191" s="1" t="s">
        <v>2056</v>
      </c>
      <c r="Q191" s="1" t="s">
        <v>546</v>
      </c>
      <c r="R191" s="1">
        <f t="shared" si="2"/>
        <v>3</v>
      </c>
      <c r="S191" s="4">
        <f>J191*K191*M191</f>
        <v>48000</v>
      </c>
    </row>
    <row r="192" spans="1:19" ht="43" hidden="1" customHeight="1">
      <c r="A192" s="1" t="s">
        <v>2280</v>
      </c>
      <c r="B192" s="1" t="s">
        <v>1467</v>
      </c>
      <c r="C192" s="29">
        <v>45928.732318564798</v>
      </c>
      <c r="D192" s="1" t="s">
        <v>3052</v>
      </c>
      <c r="E192" s="1" t="s">
        <v>3053</v>
      </c>
      <c r="F192" s="1">
        <v>73</v>
      </c>
      <c r="G192" s="12" t="s">
        <v>1335</v>
      </c>
      <c r="H192" s="1" t="s">
        <v>1335</v>
      </c>
      <c r="I192" s="1" t="s">
        <v>130</v>
      </c>
      <c r="J192" s="30">
        <v>10</v>
      </c>
      <c r="K192" s="30">
        <v>12000</v>
      </c>
      <c r="L192" s="31">
        <v>120000</v>
      </c>
      <c r="M192" s="1" t="s">
        <v>16</v>
      </c>
      <c r="N192" s="1" t="s">
        <v>17</v>
      </c>
      <c r="O192" s="1" t="s">
        <v>2057</v>
      </c>
      <c r="P192" s="1" t="s">
        <v>2056</v>
      </c>
      <c r="Q192" s="1" t="s">
        <v>546</v>
      </c>
      <c r="R192" s="1">
        <f t="shared" si="2"/>
        <v>3</v>
      </c>
      <c r="S192" s="4">
        <f>J192*K192*M192</f>
        <v>9600</v>
      </c>
    </row>
    <row r="193" spans="1:19" ht="43" hidden="1" customHeight="1">
      <c r="A193" s="1" t="s">
        <v>2280</v>
      </c>
      <c r="B193" s="1" t="s">
        <v>91</v>
      </c>
      <c r="C193" s="29">
        <v>45899.644512638901</v>
      </c>
      <c r="D193" s="1" t="s">
        <v>3052</v>
      </c>
      <c r="E193" s="1" t="s">
        <v>3053</v>
      </c>
      <c r="F193" s="1">
        <v>2</v>
      </c>
      <c r="G193" s="12" t="s">
        <v>1335</v>
      </c>
      <c r="H193" s="1" t="s">
        <v>1335</v>
      </c>
      <c r="I193" s="1" t="s">
        <v>130</v>
      </c>
      <c r="J193" s="30">
        <v>13</v>
      </c>
      <c r="K193" s="30">
        <v>15000</v>
      </c>
      <c r="L193" s="31">
        <v>195000</v>
      </c>
      <c r="M193" s="1" t="s">
        <v>16</v>
      </c>
      <c r="N193" s="1" t="s">
        <v>17</v>
      </c>
      <c r="O193" s="1" t="s">
        <v>2057</v>
      </c>
      <c r="P193" s="1" t="s">
        <v>2056</v>
      </c>
      <c r="Q193" s="1" t="s">
        <v>636</v>
      </c>
      <c r="R193" s="1">
        <f t="shared" si="2"/>
        <v>3</v>
      </c>
      <c r="S193" s="4">
        <f>J193*K193*M193</f>
        <v>15600</v>
      </c>
    </row>
    <row r="194" spans="1:19" ht="43" hidden="1" customHeight="1">
      <c r="A194" s="1" t="s">
        <v>2280</v>
      </c>
      <c r="B194" s="1" t="s">
        <v>91</v>
      </c>
      <c r="C194" s="29">
        <v>45899.644512638901</v>
      </c>
      <c r="D194" s="1" t="s">
        <v>3052</v>
      </c>
      <c r="E194" s="1" t="s">
        <v>3053</v>
      </c>
      <c r="F194" s="1">
        <v>19</v>
      </c>
      <c r="G194" s="12" t="s">
        <v>1335</v>
      </c>
      <c r="H194" s="1" t="s">
        <v>1335</v>
      </c>
      <c r="I194" s="1" t="s">
        <v>130</v>
      </c>
      <c r="J194" s="30">
        <v>5</v>
      </c>
      <c r="K194" s="30">
        <v>8000</v>
      </c>
      <c r="L194" s="31">
        <v>40000</v>
      </c>
      <c r="M194" s="1" t="s">
        <v>16</v>
      </c>
      <c r="N194" s="1" t="s">
        <v>17</v>
      </c>
      <c r="O194" s="1" t="s">
        <v>2057</v>
      </c>
      <c r="P194" s="1" t="s">
        <v>2056</v>
      </c>
      <c r="Q194" s="1" t="s">
        <v>636</v>
      </c>
      <c r="R194" s="1">
        <f t="shared" si="2"/>
        <v>3</v>
      </c>
      <c r="S194" s="4">
        <f>J194*K194*M194</f>
        <v>3200</v>
      </c>
    </row>
    <row r="195" spans="1:19" ht="43" hidden="1" customHeight="1">
      <c r="A195" s="1" t="s">
        <v>2280</v>
      </c>
      <c r="B195" s="1" t="s">
        <v>1158</v>
      </c>
      <c r="C195" s="29">
        <v>45868.606624756903</v>
      </c>
      <c r="D195" s="1" t="s">
        <v>3052</v>
      </c>
      <c r="E195" s="1" t="s">
        <v>3053</v>
      </c>
      <c r="F195" s="1">
        <v>19</v>
      </c>
      <c r="G195" s="12" t="s">
        <v>1335</v>
      </c>
      <c r="H195" s="1" t="s">
        <v>1335</v>
      </c>
      <c r="I195" s="1" t="s">
        <v>130</v>
      </c>
      <c r="J195" s="30">
        <v>20</v>
      </c>
      <c r="K195" s="30">
        <v>9000</v>
      </c>
      <c r="L195" s="31">
        <v>180000</v>
      </c>
      <c r="M195" s="1" t="s">
        <v>16</v>
      </c>
      <c r="N195" s="1" t="s">
        <v>17</v>
      </c>
      <c r="O195" s="1" t="s">
        <v>2057</v>
      </c>
      <c r="P195" s="1" t="s">
        <v>2056</v>
      </c>
      <c r="Q195" s="1" t="s">
        <v>800</v>
      </c>
      <c r="R195" s="1">
        <f t="shared" ref="R195:R258" si="3">ROUNDUP(MONTH(Q195)/3,0)</f>
        <v>3</v>
      </c>
      <c r="S195" s="4">
        <f>J195*K195*M195</f>
        <v>14400</v>
      </c>
    </row>
    <row r="196" spans="1:19" ht="43" hidden="1" customHeight="1">
      <c r="A196" s="1" t="s">
        <v>2280</v>
      </c>
      <c r="B196" s="1" t="s">
        <v>1420</v>
      </c>
      <c r="C196" s="29">
        <v>45866.7486208681</v>
      </c>
      <c r="D196" s="1" t="s">
        <v>3052</v>
      </c>
      <c r="E196" s="1" t="s">
        <v>3053</v>
      </c>
      <c r="F196" s="1">
        <v>31</v>
      </c>
      <c r="G196" s="12" t="s">
        <v>1335</v>
      </c>
      <c r="H196" s="1" t="s">
        <v>1335</v>
      </c>
      <c r="I196" s="1" t="s">
        <v>130</v>
      </c>
      <c r="J196" s="30">
        <v>10</v>
      </c>
      <c r="K196" s="30">
        <v>10000</v>
      </c>
      <c r="L196" s="31">
        <v>100000</v>
      </c>
      <c r="M196" s="1" t="s">
        <v>16</v>
      </c>
      <c r="N196" s="1" t="s">
        <v>17</v>
      </c>
      <c r="O196" s="1" t="s">
        <v>2057</v>
      </c>
      <c r="P196" s="1" t="s">
        <v>2056</v>
      </c>
      <c r="Q196" s="1" t="s">
        <v>1763</v>
      </c>
      <c r="R196" s="1">
        <f t="shared" si="3"/>
        <v>3</v>
      </c>
      <c r="S196" s="4">
        <f>J196*K196*M196</f>
        <v>8000</v>
      </c>
    </row>
    <row r="197" spans="1:19" ht="43" hidden="1" customHeight="1">
      <c r="A197" s="1" t="s">
        <v>2280</v>
      </c>
      <c r="B197" s="1" t="s">
        <v>152</v>
      </c>
      <c r="C197" s="29">
        <v>45836.413450243097</v>
      </c>
      <c r="D197" s="1" t="s">
        <v>3052</v>
      </c>
      <c r="E197" s="1" t="s">
        <v>3053</v>
      </c>
      <c r="F197" s="1">
        <v>9</v>
      </c>
      <c r="G197" s="12" t="s">
        <v>1335</v>
      </c>
      <c r="H197" s="1" t="s">
        <v>1335</v>
      </c>
      <c r="I197" s="1" t="s">
        <v>130</v>
      </c>
      <c r="J197" s="30">
        <v>40</v>
      </c>
      <c r="K197" s="30">
        <v>5000</v>
      </c>
      <c r="L197" s="31">
        <v>200000</v>
      </c>
      <c r="M197" s="1" t="s">
        <v>16</v>
      </c>
      <c r="N197" s="1" t="s">
        <v>17</v>
      </c>
      <c r="O197" s="1" t="s">
        <v>2057</v>
      </c>
      <c r="P197" s="1" t="s">
        <v>2056</v>
      </c>
      <c r="Q197" s="1" t="s">
        <v>845</v>
      </c>
      <c r="R197" s="1">
        <f t="shared" si="3"/>
        <v>2</v>
      </c>
      <c r="S197" s="4">
        <f>J197*K197*M197</f>
        <v>16000</v>
      </c>
    </row>
    <row r="198" spans="1:19" ht="43" hidden="1" customHeight="1">
      <c r="A198" s="1" t="s">
        <v>2280</v>
      </c>
      <c r="B198" s="1" t="s">
        <v>1467</v>
      </c>
      <c r="C198" s="29">
        <v>45928.732318564798</v>
      </c>
      <c r="D198" s="1" t="s">
        <v>3052</v>
      </c>
      <c r="E198" s="1" t="s">
        <v>3053</v>
      </c>
      <c r="F198" s="1">
        <v>78</v>
      </c>
      <c r="G198" s="12" t="s">
        <v>777</v>
      </c>
      <c r="H198" s="1" t="s">
        <v>1633</v>
      </c>
      <c r="I198" s="1" t="s">
        <v>130</v>
      </c>
      <c r="J198" s="30">
        <v>125</v>
      </c>
      <c r="K198" s="30">
        <v>15000</v>
      </c>
      <c r="L198" s="31">
        <v>1875000</v>
      </c>
      <c r="M198" s="1" t="s">
        <v>16</v>
      </c>
      <c r="N198" s="1" t="s">
        <v>17</v>
      </c>
      <c r="O198" s="1" t="s">
        <v>2057</v>
      </c>
      <c r="P198" s="1" t="s">
        <v>2056</v>
      </c>
      <c r="Q198" s="1" t="s">
        <v>546</v>
      </c>
      <c r="R198" s="1">
        <f t="shared" si="3"/>
        <v>3</v>
      </c>
      <c r="S198" s="4">
        <f>J198*K198*M198</f>
        <v>150000</v>
      </c>
    </row>
    <row r="199" spans="1:19" ht="43" hidden="1" customHeight="1">
      <c r="A199" s="1" t="s">
        <v>2072</v>
      </c>
      <c r="B199" s="1" t="s">
        <v>1294</v>
      </c>
      <c r="C199" s="29">
        <v>46021.613942164397</v>
      </c>
      <c r="D199" s="1" t="s">
        <v>3052</v>
      </c>
      <c r="E199" s="1" t="s">
        <v>3053</v>
      </c>
      <c r="F199" s="1">
        <v>22</v>
      </c>
      <c r="G199" s="12" t="s">
        <v>777</v>
      </c>
      <c r="H199" s="1" t="s">
        <v>777</v>
      </c>
      <c r="I199" s="1" t="s">
        <v>130</v>
      </c>
      <c r="J199" s="30">
        <v>15</v>
      </c>
      <c r="K199" s="30">
        <v>15000</v>
      </c>
      <c r="L199" s="31">
        <v>225000</v>
      </c>
      <c r="M199" s="1" t="s">
        <v>16</v>
      </c>
      <c r="N199" s="1" t="s">
        <v>17</v>
      </c>
      <c r="O199" s="1" t="s">
        <v>2057</v>
      </c>
      <c r="P199" s="1" t="s">
        <v>2056</v>
      </c>
      <c r="Q199" s="1" t="s">
        <v>1474</v>
      </c>
      <c r="R199" s="1">
        <f t="shared" si="3"/>
        <v>4</v>
      </c>
      <c r="S199" s="4">
        <f>J199*K199*M199</f>
        <v>18000</v>
      </c>
    </row>
    <row r="200" spans="1:19" ht="43" hidden="1" customHeight="1">
      <c r="A200" s="1" t="s">
        <v>2280</v>
      </c>
      <c r="B200" s="1" t="s">
        <v>1402</v>
      </c>
      <c r="C200" s="29">
        <v>45990.382403298601</v>
      </c>
      <c r="D200" s="1" t="s">
        <v>3052</v>
      </c>
      <c r="E200" s="1" t="s">
        <v>3053</v>
      </c>
      <c r="F200" s="1">
        <v>19</v>
      </c>
      <c r="G200" s="12" t="s">
        <v>777</v>
      </c>
      <c r="H200" s="1" t="s">
        <v>777</v>
      </c>
      <c r="I200" s="1" t="s">
        <v>130</v>
      </c>
      <c r="J200" s="30">
        <v>20</v>
      </c>
      <c r="K200" s="30">
        <v>25000</v>
      </c>
      <c r="L200" s="31">
        <v>500000</v>
      </c>
      <c r="M200" s="1" t="s">
        <v>16</v>
      </c>
      <c r="N200" s="1" t="s">
        <v>17</v>
      </c>
      <c r="O200" s="1" t="s">
        <v>2057</v>
      </c>
      <c r="P200" s="1" t="s">
        <v>2056</v>
      </c>
      <c r="Q200" s="1" t="s">
        <v>1531</v>
      </c>
      <c r="R200" s="1">
        <f t="shared" si="3"/>
        <v>4</v>
      </c>
      <c r="S200" s="4">
        <f>J200*K200*M200</f>
        <v>40000</v>
      </c>
    </row>
    <row r="201" spans="1:19" ht="43" hidden="1" customHeight="1">
      <c r="A201" s="1" t="s">
        <v>2280</v>
      </c>
      <c r="B201" s="1" t="s">
        <v>326</v>
      </c>
      <c r="C201" s="29">
        <v>45960.658345080999</v>
      </c>
      <c r="D201" s="1" t="s">
        <v>3052</v>
      </c>
      <c r="E201" s="1" t="s">
        <v>3053</v>
      </c>
      <c r="F201" s="1">
        <v>9</v>
      </c>
      <c r="G201" s="12" t="s">
        <v>777</v>
      </c>
      <c r="H201" s="1" t="s">
        <v>777</v>
      </c>
      <c r="I201" s="1" t="s">
        <v>130</v>
      </c>
      <c r="J201" s="30">
        <v>5</v>
      </c>
      <c r="K201" s="30">
        <v>30000</v>
      </c>
      <c r="L201" s="31">
        <v>150000</v>
      </c>
      <c r="M201" s="1" t="s">
        <v>16</v>
      </c>
      <c r="N201" s="1" t="s">
        <v>17</v>
      </c>
      <c r="O201" s="1" t="s">
        <v>2057</v>
      </c>
      <c r="P201" s="1" t="s">
        <v>2056</v>
      </c>
      <c r="Q201" s="1" t="s">
        <v>533</v>
      </c>
      <c r="R201" s="1">
        <f t="shared" si="3"/>
        <v>4</v>
      </c>
      <c r="S201" s="4">
        <f>J201*K201*M201</f>
        <v>12000</v>
      </c>
    </row>
    <row r="202" spans="1:19" ht="43" hidden="1" customHeight="1">
      <c r="A202" s="1" t="s">
        <v>2280</v>
      </c>
      <c r="B202" s="1" t="s">
        <v>379</v>
      </c>
      <c r="C202" s="29">
        <v>45959.6544954282</v>
      </c>
      <c r="D202" s="1" t="s">
        <v>3052</v>
      </c>
      <c r="E202" s="1" t="s">
        <v>3053</v>
      </c>
      <c r="F202" s="1">
        <v>15</v>
      </c>
      <c r="G202" s="12" t="s">
        <v>777</v>
      </c>
      <c r="H202" s="1" t="s">
        <v>777</v>
      </c>
      <c r="I202" s="1" t="s">
        <v>130</v>
      </c>
      <c r="J202" s="30">
        <v>10</v>
      </c>
      <c r="K202" s="30">
        <v>25000</v>
      </c>
      <c r="L202" s="31">
        <v>250000</v>
      </c>
      <c r="M202" s="1" t="s">
        <v>16</v>
      </c>
      <c r="N202" s="1" t="s">
        <v>17</v>
      </c>
      <c r="O202" s="1" t="s">
        <v>2057</v>
      </c>
      <c r="P202" s="1" t="s">
        <v>2056</v>
      </c>
      <c r="Q202" s="1" t="s">
        <v>1578</v>
      </c>
      <c r="R202" s="1">
        <f t="shared" si="3"/>
        <v>4</v>
      </c>
      <c r="S202" s="4">
        <f>J202*K202*M202</f>
        <v>20000</v>
      </c>
    </row>
    <row r="203" spans="1:19" ht="43" hidden="1" customHeight="1">
      <c r="A203" s="1" t="s">
        <v>2280</v>
      </c>
      <c r="B203" s="1" t="s">
        <v>1462</v>
      </c>
      <c r="C203" s="29">
        <v>45928.944135983802</v>
      </c>
      <c r="D203" s="1" t="s">
        <v>3052</v>
      </c>
      <c r="E203" s="1" t="s">
        <v>3053</v>
      </c>
      <c r="F203" s="1">
        <v>6</v>
      </c>
      <c r="G203" s="12" t="s">
        <v>777</v>
      </c>
      <c r="H203" s="1" t="s">
        <v>777</v>
      </c>
      <c r="I203" s="1" t="s">
        <v>130</v>
      </c>
      <c r="J203" s="30">
        <v>20</v>
      </c>
      <c r="K203" s="30">
        <v>25000</v>
      </c>
      <c r="L203" s="31">
        <v>500000</v>
      </c>
      <c r="M203" s="1" t="s">
        <v>16</v>
      </c>
      <c r="N203" s="1" t="s">
        <v>17</v>
      </c>
      <c r="O203" s="1" t="s">
        <v>2057</v>
      </c>
      <c r="P203" s="1" t="s">
        <v>2056</v>
      </c>
      <c r="Q203" s="1" t="s">
        <v>546</v>
      </c>
      <c r="R203" s="1">
        <f t="shared" si="3"/>
        <v>3</v>
      </c>
      <c r="S203" s="4">
        <f>J203*K203*M203</f>
        <v>40000</v>
      </c>
    </row>
    <row r="204" spans="1:19" ht="43" hidden="1" customHeight="1">
      <c r="A204" s="1" t="s">
        <v>2280</v>
      </c>
      <c r="B204" s="1" t="s">
        <v>91</v>
      </c>
      <c r="C204" s="29">
        <v>45899.644512638901</v>
      </c>
      <c r="D204" s="1" t="s">
        <v>3052</v>
      </c>
      <c r="E204" s="1" t="s">
        <v>3053</v>
      </c>
      <c r="F204" s="1">
        <v>18</v>
      </c>
      <c r="G204" s="12" t="s">
        <v>777</v>
      </c>
      <c r="H204" s="1" t="s">
        <v>777</v>
      </c>
      <c r="I204" s="1" t="s">
        <v>130</v>
      </c>
      <c r="J204" s="30">
        <v>50</v>
      </c>
      <c r="K204" s="30">
        <v>15000</v>
      </c>
      <c r="L204" s="31">
        <v>750000</v>
      </c>
      <c r="M204" s="1" t="s">
        <v>16</v>
      </c>
      <c r="N204" s="1" t="s">
        <v>17</v>
      </c>
      <c r="O204" s="1" t="s">
        <v>2057</v>
      </c>
      <c r="P204" s="1" t="s">
        <v>2056</v>
      </c>
      <c r="Q204" s="1" t="s">
        <v>636</v>
      </c>
      <c r="R204" s="1">
        <f t="shared" si="3"/>
        <v>3</v>
      </c>
      <c r="S204" s="4">
        <f>J204*K204*M204</f>
        <v>60000</v>
      </c>
    </row>
    <row r="205" spans="1:19" ht="43" hidden="1" customHeight="1">
      <c r="A205" s="1" t="s">
        <v>2280</v>
      </c>
      <c r="B205" s="1" t="s">
        <v>1412</v>
      </c>
      <c r="C205" s="29">
        <v>45898.896986157401</v>
      </c>
      <c r="D205" s="1" t="s">
        <v>3052</v>
      </c>
      <c r="E205" s="1" t="s">
        <v>3053</v>
      </c>
      <c r="F205" s="1">
        <v>51</v>
      </c>
      <c r="G205" s="12" t="s">
        <v>777</v>
      </c>
      <c r="H205" s="1" t="s">
        <v>777</v>
      </c>
      <c r="I205" s="1" t="s">
        <v>130</v>
      </c>
      <c r="J205" s="30">
        <v>10</v>
      </c>
      <c r="K205" s="30">
        <v>15000</v>
      </c>
      <c r="L205" s="31">
        <v>150000</v>
      </c>
      <c r="M205" s="1" t="s">
        <v>16</v>
      </c>
      <c r="N205" s="1" t="s">
        <v>17</v>
      </c>
      <c r="O205" s="1" t="s">
        <v>2057</v>
      </c>
      <c r="P205" s="1" t="s">
        <v>2056</v>
      </c>
      <c r="Q205" s="1" t="s">
        <v>652</v>
      </c>
      <c r="R205" s="1">
        <f t="shared" si="3"/>
        <v>3</v>
      </c>
      <c r="S205" s="4">
        <f>J205*K205*M205</f>
        <v>12000</v>
      </c>
    </row>
    <row r="206" spans="1:19" ht="43" hidden="1" customHeight="1">
      <c r="A206" s="1" t="s">
        <v>2280</v>
      </c>
      <c r="B206" s="1" t="s">
        <v>748</v>
      </c>
      <c r="C206" s="29">
        <v>45883.489231527798</v>
      </c>
      <c r="D206" s="1" t="s">
        <v>3056</v>
      </c>
      <c r="E206" s="1" t="s">
        <v>3057</v>
      </c>
      <c r="F206" s="1">
        <v>1</v>
      </c>
      <c r="G206" s="12" t="s">
        <v>777</v>
      </c>
      <c r="H206" s="1" t="s">
        <v>777</v>
      </c>
      <c r="I206" s="1" t="s">
        <v>130</v>
      </c>
      <c r="J206" s="30">
        <v>2</v>
      </c>
      <c r="K206" s="30">
        <v>25000</v>
      </c>
      <c r="L206" s="31">
        <v>50000</v>
      </c>
      <c r="M206" s="1" t="s">
        <v>16</v>
      </c>
      <c r="N206" s="1" t="s">
        <v>17</v>
      </c>
      <c r="O206" s="1" t="s">
        <v>2057</v>
      </c>
      <c r="P206" s="1" t="s">
        <v>2056</v>
      </c>
      <c r="Q206" s="1" t="s">
        <v>678</v>
      </c>
      <c r="R206" s="1">
        <f t="shared" si="3"/>
        <v>3</v>
      </c>
      <c r="S206" s="4">
        <f>J206*K206*M206</f>
        <v>4000</v>
      </c>
    </row>
    <row r="207" spans="1:19" ht="43" hidden="1" customHeight="1">
      <c r="A207" s="1" t="s">
        <v>2280</v>
      </c>
      <c r="B207" s="1" t="s">
        <v>1158</v>
      </c>
      <c r="C207" s="29">
        <v>45868.606624756903</v>
      </c>
      <c r="D207" s="1" t="s">
        <v>3052</v>
      </c>
      <c r="E207" s="1" t="s">
        <v>3053</v>
      </c>
      <c r="F207" s="1">
        <v>24</v>
      </c>
      <c r="G207" s="12" t="s">
        <v>777</v>
      </c>
      <c r="H207" s="1" t="s">
        <v>777</v>
      </c>
      <c r="I207" s="1" t="s">
        <v>130</v>
      </c>
      <c r="J207" s="30">
        <v>1</v>
      </c>
      <c r="K207" s="30">
        <v>25000</v>
      </c>
      <c r="L207" s="31">
        <v>25000</v>
      </c>
      <c r="M207" s="1" t="s">
        <v>16</v>
      </c>
      <c r="N207" s="1" t="s">
        <v>17</v>
      </c>
      <c r="O207" s="1" t="s">
        <v>2057</v>
      </c>
      <c r="P207" s="1" t="s">
        <v>2056</v>
      </c>
      <c r="Q207" s="1" t="s">
        <v>800</v>
      </c>
      <c r="R207" s="1">
        <f t="shared" si="3"/>
        <v>3</v>
      </c>
      <c r="S207" s="4">
        <f>J207*K207*M207</f>
        <v>2000</v>
      </c>
    </row>
    <row r="208" spans="1:19" ht="43" hidden="1" customHeight="1">
      <c r="A208" s="1" t="s">
        <v>2280</v>
      </c>
      <c r="B208" s="1" t="s">
        <v>1420</v>
      </c>
      <c r="C208" s="29">
        <v>45866.7486208681</v>
      </c>
      <c r="D208" s="1" t="s">
        <v>3052</v>
      </c>
      <c r="E208" s="1" t="s">
        <v>3053</v>
      </c>
      <c r="F208" s="1">
        <v>35</v>
      </c>
      <c r="G208" s="12" t="s">
        <v>777</v>
      </c>
      <c r="H208" s="1" t="s">
        <v>777</v>
      </c>
      <c r="I208" s="1" t="s">
        <v>130</v>
      </c>
      <c r="J208" s="30">
        <v>1</v>
      </c>
      <c r="K208" s="30">
        <v>25000</v>
      </c>
      <c r="L208" s="31">
        <v>25000</v>
      </c>
      <c r="M208" s="1" t="s">
        <v>16</v>
      </c>
      <c r="N208" s="1" t="s">
        <v>17</v>
      </c>
      <c r="O208" s="1" t="s">
        <v>2057</v>
      </c>
      <c r="P208" s="1" t="s">
        <v>2056</v>
      </c>
      <c r="Q208" s="1" t="s">
        <v>1763</v>
      </c>
      <c r="R208" s="1">
        <f t="shared" si="3"/>
        <v>3</v>
      </c>
      <c r="S208" s="4">
        <f>J208*K208*M208</f>
        <v>2000</v>
      </c>
    </row>
    <row r="209" spans="1:19" ht="43" hidden="1" customHeight="1">
      <c r="A209" s="1" t="s">
        <v>2280</v>
      </c>
      <c r="B209" s="1" t="s">
        <v>120</v>
      </c>
      <c r="C209" s="29">
        <v>45838.621748888901</v>
      </c>
      <c r="D209" s="1" t="s">
        <v>3052</v>
      </c>
      <c r="E209" s="1" t="s">
        <v>3053</v>
      </c>
      <c r="F209" s="1">
        <v>28</v>
      </c>
      <c r="G209" s="12" t="s">
        <v>777</v>
      </c>
      <c r="H209" s="1" t="s">
        <v>777</v>
      </c>
      <c r="I209" s="1" t="s">
        <v>130</v>
      </c>
      <c r="J209" s="30">
        <v>4</v>
      </c>
      <c r="K209" s="30">
        <v>35000</v>
      </c>
      <c r="L209" s="31">
        <v>140000</v>
      </c>
      <c r="M209" s="1" t="s">
        <v>16</v>
      </c>
      <c r="N209" s="1" t="s">
        <v>17</v>
      </c>
      <c r="O209" s="1" t="s">
        <v>2057</v>
      </c>
      <c r="P209" s="1" t="s">
        <v>2056</v>
      </c>
      <c r="Q209" s="1" t="s">
        <v>828</v>
      </c>
      <c r="R209" s="1">
        <f t="shared" si="3"/>
        <v>2</v>
      </c>
      <c r="S209" s="4">
        <f>J209*K209*M209</f>
        <v>11200</v>
      </c>
    </row>
    <row r="210" spans="1:19" ht="43" hidden="1" customHeight="1">
      <c r="A210" s="1" t="s">
        <v>2280</v>
      </c>
      <c r="B210" s="1" t="s">
        <v>379</v>
      </c>
      <c r="C210" s="29">
        <v>45959.6544954282</v>
      </c>
      <c r="D210" s="1" t="s">
        <v>3052</v>
      </c>
      <c r="E210" s="1" t="s">
        <v>3053</v>
      </c>
      <c r="F210" s="1">
        <v>13</v>
      </c>
      <c r="G210" s="12" t="s">
        <v>519</v>
      </c>
      <c r="H210" s="1" t="s">
        <v>519</v>
      </c>
      <c r="I210" s="1" t="s">
        <v>130</v>
      </c>
      <c r="J210" s="30">
        <v>100</v>
      </c>
      <c r="K210" s="30">
        <v>12000</v>
      </c>
      <c r="L210" s="31">
        <v>1200000</v>
      </c>
      <c r="M210" s="1" t="s">
        <v>16</v>
      </c>
      <c r="N210" s="1" t="s">
        <v>17</v>
      </c>
      <c r="O210" s="1" t="s">
        <v>2057</v>
      </c>
      <c r="P210" s="1" t="s">
        <v>2056</v>
      </c>
      <c r="Q210" s="1" t="s">
        <v>1578</v>
      </c>
      <c r="R210" s="1">
        <f t="shared" si="3"/>
        <v>4</v>
      </c>
      <c r="S210" s="4">
        <f>J210*K210*M210</f>
        <v>96000</v>
      </c>
    </row>
    <row r="211" spans="1:19" ht="43" hidden="1" customHeight="1">
      <c r="A211" s="1" t="s">
        <v>2280</v>
      </c>
      <c r="B211" s="1" t="s">
        <v>1401</v>
      </c>
      <c r="C211" s="29">
        <v>45990.720828530102</v>
      </c>
      <c r="D211" s="1" t="s">
        <v>3052</v>
      </c>
      <c r="E211" s="1" t="s">
        <v>3053</v>
      </c>
      <c r="F211" s="1">
        <v>4</v>
      </c>
      <c r="G211" s="12" t="s">
        <v>300</v>
      </c>
      <c r="H211" s="1" t="s">
        <v>300</v>
      </c>
      <c r="I211" s="1" t="s">
        <v>130</v>
      </c>
      <c r="J211" s="30">
        <v>1000</v>
      </c>
      <c r="K211" s="30">
        <v>21000</v>
      </c>
      <c r="L211" s="31">
        <v>21000000</v>
      </c>
      <c r="M211" s="1" t="s">
        <v>30</v>
      </c>
      <c r="N211" s="1" t="s">
        <v>17</v>
      </c>
      <c r="O211" s="1" t="s">
        <v>2057</v>
      </c>
      <c r="P211" s="1" t="s">
        <v>2056</v>
      </c>
      <c r="Q211" s="1" t="s">
        <v>1531</v>
      </c>
      <c r="R211" s="1">
        <f t="shared" si="3"/>
        <v>4</v>
      </c>
      <c r="S211" s="4">
        <f>J211*K211*M211</f>
        <v>2100000</v>
      </c>
    </row>
    <row r="212" spans="1:19" ht="43" hidden="1" customHeight="1">
      <c r="A212" s="1" t="s">
        <v>2280</v>
      </c>
      <c r="B212" s="1" t="s">
        <v>1442</v>
      </c>
      <c r="C212" s="29">
        <v>45960.6594943866</v>
      </c>
      <c r="D212" s="1" t="s">
        <v>3052</v>
      </c>
      <c r="E212" s="1" t="s">
        <v>3053</v>
      </c>
      <c r="F212" s="1">
        <v>6</v>
      </c>
      <c r="G212" s="12" t="s">
        <v>300</v>
      </c>
      <c r="H212" s="1" t="s">
        <v>300</v>
      </c>
      <c r="I212" s="1" t="s">
        <v>130</v>
      </c>
      <c r="J212" s="30">
        <v>2500</v>
      </c>
      <c r="K212" s="30">
        <v>21000</v>
      </c>
      <c r="L212" s="31">
        <v>52500000</v>
      </c>
      <c r="M212" s="1" t="s">
        <v>30</v>
      </c>
      <c r="N212" s="1" t="s">
        <v>17</v>
      </c>
      <c r="O212" s="1" t="s">
        <v>2057</v>
      </c>
      <c r="P212" s="1" t="s">
        <v>2056</v>
      </c>
      <c r="Q212" s="1" t="s">
        <v>533</v>
      </c>
      <c r="R212" s="1">
        <f t="shared" si="3"/>
        <v>4</v>
      </c>
      <c r="S212" s="4">
        <f>J212*K212*M212</f>
        <v>5250000</v>
      </c>
    </row>
    <row r="213" spans="1:19" ht="43" hidden="1" customHeight="1">
      <c r="A213" s="1" t="s">
        <v>2280</v>
      </c>
      <c r="B213" s="1" t="s">
        <v>188</v>
      </c>
      <c r="C213" s="29">
        <v>45928.944600393501</v>
      </c>
      <c r="D213" s="1" t="s">
        <v>3052</v>
      </c>
      <c r="E213" s="1" t="s">
        <v>3053</v>
      </c>
      <c r="F213" s="1">
        <v>7</v>
      </c>
      <c r="G213" s="12" t="s">
        <v>300</v>
      </c>
      <c r="H213" s="1" t="s">
        <v>300</v>
      </c>
      <c r="I213" s="1" t="s">
        <v>130</v>
      </c>
      <c r="J213" s="30">
        <v>2720</v>
      </c>
      <c r="K213" s="30">
        <v>19500</v>
      </c>
      <c r="L213" s="31">
        <v>53040000</v>
      </c>
      <c r="M213" s="1" t="s">
        <v>30</v>
      </c>
      <c r="N213" s="1" t="s">
        <v>17</v>
      </c>
      <c r="O213" s="1" t="s">
        <v>2057</v>
      </c>
      <c r="P213" s="1" t="s">
        <v>2056</v>
      </c>
      <c r="Q213" s="1" t="s">
        <v>546</v>
      </c>
      <c r="R213" s="1">
        <f t="shared" si="3"/>
        <v>3</v>
      </c>
      <c r="S213" s="4">
        <f>J213*K213*M213</f>
        <v>5304000</v>
      </c>
    </row>
    <row r="214" spans="1:19" ht="43" hidden="1" customHeight="1">
      <c r="A214" s="1" t="s">
        <v>2280</v>
      </c>
      <c r="B214" s="1" t="s">
        <v>1472</v>
      </c>
      <c r="C214" s="29">
        <v>45899.6448496991</v>
      </c>
      <c r="D214" s="1" t="s">
        <v>3052</v>
      </c>
      <c r="E214" s="1" t="s">
        <v>3053</v>
      </c>
      <c r="F214" s="1">
        <v>9</v>
      </c>
      <c r="G214" s="12" t="s">
        <v>300</v>
      </c>
      <c r="H214" s="1" t="s">
        <v>300</v>
      </c>
      <c r="I214" s="1" t="s">
        <v>130</v>
      </c>
      <c r="J214" s="30">
        <v>10</v>
      </c>
      <c r="K214" s="30">
        <v>15000</v>
      </c>
      <c r="L214" s="31">
        <v>150000</v>
      </c>
      <c r="M214" s="1" t="s">
        <v>30</v>
      </c>
      <c r="N214" s="1" t="s">
        <v>17</v>
      </c>
      <c r="O214" s="1" t="s">
        <v>2057</v>
      </c>
      <c r="P214" s="1" t="s">
        <v>2056</v>
      </c>
      <c r="Q214" s="1" t="s">
        <v>636</v>
      </c>
      <c r="R214" s="1">
        <f t="shared" si="3"/>
        <v>3</v>
      </c>
      <c r="S214" s="4">
        <f>J214*K214*M214</f>
        <v>15000</v>
      </c>
    </row>
    <row r="215" spans="1:19" ht="43" hidden="1" customHeight="1">
      <c r="A215" s="1" t="s">
        <v>2280</v>
      </c>
      <c r="B215" s="1" t="s">
        <v>442</v>
      </c>
      <c r="C215" s="29">
        <v>45817.574854166698</v>
      </c>
      <c r="D215" s="1" t="s">
        <v>3052</v>
      </c>
      <c r="E215" s="1" t="s">
        <v>3053</v>
      </c>
      <c r="F215" s="1">
        <v>2</v>
      </c>
      <c r="G215" s="12" t="s">
        <v>300</v>
      </c>
      <c r="H215" s="1" t="s">
        <v>300</v>
      </c>
      <c r="I215" s="1" t="s">
        <v>15</v>
      </c>
      <c r="J215" s="30">
        <v>3000</v>
      </c>
      <c r="K215" s="30">
        <v>18300</v>
      </c>
      <c r="L215" s="31">
        <v>54900000</v>
      </c>
      <c r="M215" s="1" t="s">
        <v>30</v>
      </c>
      <c r="N215" s="1" t="s">
        <v>17</v>
      </c>
      <c r="O215" s="1" t="s">
        <v>2057</v>
      </c>
      <c r="P215" s="1" t="s">
        <v>2056</v>
      </c>
      <c r="Q215" s="1" t="s">
        <v>1860</v>
      </c>
      <c r="R215" s="1">
        <f t="shared" si="3"/>
        <v>2</v>
      </c>
      <c r="S215" s="4">
        <f>J215*K215*M215</f>
        <v>5490000</v>
      </c>
    </row>
    <row r="216" spans="1:19" ht="43" hidden="1" customHeight="1">
      <c r="A216" s="1" t="s">
        <v>2280</v>
      </c>
      <c r="B216" s="1" t="s">
        <v>717</v>
      </c>
      <c r="C216" s="29">
        <v>45807.729117129602</v>
      </c>
      <c r="D216" s="1" t="s">
        <v>3052</v>
      </c>
      <c r="E216" s="1" t="s">
        <v>3053</v>
      </c>
      <c r="F216" s="1">
        <v>7</v>
      </c>
      <c r="G216" s="12" t="s">
        <v>300</v>
      </c>
      <c r="H216" s="1" t="s">
        <v>300</v>
      </c>
      <c r="I216" s="1" t="s">
        <v>15</v>
      </c>
      <c r="J216" s="30">
        <v>3000</v>
      </c>
      <c r="K216" s="30">
        <v>19000</v>
      </c>
      <c r="L216" s="31">
        <v>57000000</v>
      </c>
      <c r="M216" s="1" t="s">
        <v>30</v>
      </c>
      <c r="N216" s="1" t="s">
        <v>17</v>
      </c>
      <c r="O216" s="1" t="s">
        <v>2057</v>
      </c>
      <c r="P216" s="1" t="s">
        <v>2056</v>
      </c>
      <c r="Q216" s="1" t="s">
        <v>925</v>
      </c>
      <c r="R216" s="1">
        <f t="shared" si="3"/>
        <v>2</v>
      </c>
      <c r="S216" s="4">
        <f>J216*K216*M216</f>
        <v>5700000</v>
      </c>
    </row>
    <row r="217" spans="1:19" ht="43" hidden="1" customHeight="1">
      <c r="A217" s="1" t="s">
        <v>2280</v>
      </c>
      <c r="B217" s="1" t="s">
        <v>119</v>
      </c>
      <c r="C217" s="29">
        <v>45751.363437766202</v>
      </c>
      <c r="D217" s="1" t="s">
        <v>3070</v>
      </c>
      <c r="E217" s="1" t="s">
        <v>3059</v>
      </c>
      <c r="F217" s="1">
        <v>3</v>
      </c>
      <c r="G217" s="2" t="s">
        <v>3074</v>
      </c>
      <c r="H217" s="1" t="s">
        <v>1986</v>
      </c>
      <c r="I217" s="1" t="s">
        <v>130</v>
      </c>
      <c r="J217" s="30">
        <v>100</v>
      </c>
      <c r="K217" s="30">
        <v>30000</v>
      </c>
      <c r="L217" s="31">
        <v>3000000</v>
      </c>
      <c r="M217" s="1" t="s">
        <v>16</v>
      </c>
      <c r="N217" s="1" t="s">
        <v>17</v>
      </c>
      <c r="O217" s="1" t="s">
        <v>2057</v>
      </c>
      <c r="P217" s="1" t="s">
        <v>2056</v>
      </c>
      <c r="Q217" s="1" t="s">
        <v>1032</v>
      </c>
      <c r="R217" s="1">
        <f t="shared" si="3"/>
        <v>2</v>
      </c>
      <c r="S217" s="4">
        <f>J217*K217*M217</f>
        <v>240000</v>
      </c>
    </row>
    <row r="218" spans="1:19" ht="43" hidden="1" customHeight="1">
      <c r="A218" s="1" t="s">
        <v>2280</v>
      </c>
      <c r="B218" s="1" t="s">
        <v>1467</v>
      </c>
      <c r="C218" s="29">
        <v>45928.732318564798</v>
      </c>
      <c r="D218" s="1" t="s">
        <v>3052</v>
      </c>
      <c r="E218" s="1" t="s">
        <v>3053</v>
      </c>
      <c r="F218" s="1">
        <v>54</v>
      </c>
      <c r="G218" s="12" t="s">
        <v>993</v>
      </c>
      <c r="H218" s="1" t="s">
        <v>1630</v>
      </c>
      <c r="I218" s="1" t="s">
        <v>130</v>
      </c>
      <c r="J218" s="30">
        <v>15</v>
      </c>
      <c r="K218" s="30">
        <v>20000</v>
      </c>
      <c r="L218" s="31">
        <v>300000</v>
      </c>
      <c r="M218" s="1" t="s">
        <v>16</v>
      </c>
      <c r="N218" s="1" t="s">
        <v>17</v>
      </c>
      <c r="O218" s="1" t="s">
        <v>2057</v>
      </c>
      <c r="P218" s="1" t="s">
        <v>2056</v>
      </c>
      <c r="Q218" s="1" t="s">
        <v>546</v>
      </c>
      <c r="R218" s="1">
        <f t="shared" si="3"/>
        <v>3</v>
      </c>
      <c r="S218" s="4">
        <f>J218*K218*M218</f>
        <v>24000</v>
      </c>
    </row>
    <row r="219" spans="1:19" ht="43" customHeight="1">
      <c r="A219" s="1" t="s">
        <v>2280</v>
      </c>
      <c r="B219" s="1" t="s">
        <v>1315</v>
      </c>
      <c r="C219" s="29">
        <v>45747.658940451402</v>
      </c>
      <c r="D219" s="1" t="s">
        <v>3071</v>
      </c>
      <c r="E219" s="1" t="s">
        <v>3053</v>
      </c>
      <c r="F219" s="1">
        <v>16</v>
      </c>
      <c r="H219" s="1" t="s">
        <v>2010</v>
      </c>
      <c r="I219" s="1" t="s">
        <v>1279</v>
      </c>
      <c r="J219" s="30">
        <v>4</v>
      </c>
      <c r="K219" s="30">
        <v>40000</v>
      </c>
      <c r="L219" s="31">
        <v>160000</v>
      </c>
      <c r="M219" s="1" t="s">
        <v>30</v>
      </c>
      <c r="N219" s="1" t="s">
        <v>17</v>
      </c>
      <c r="O219" s="1" t="s">
        <v>2057</v>
      </c>
      <c r="P219" s="1" t="s">
        <v>2056</v>
      </c>
      <c r="Q219" s="1" t="s">
        <v>42</v>
      </c>
      <c r="R219" s="1">
        <f t="shared" si="3"/>
        <v>1</v>
      </c>
      <c r="S219" s="4">
        <f>J219*K219*M219</f>
        <v>16000</v>
      </c>
    </row>
    <row r="220" spans="1:19" ht="43" customHeight="1">
      <c r="A220" s="1" t="s">
        <v>2280</v>
      </c>
      <c r="B220" s="1" t="s">
        <v>1315</v>
      </c>
      <c r="C220" s="29">
        <v>45747.658940451402</v>
      </c>
      <c r="D220" s="1" t="s">
        <v>3071</v>
      </c>
      <c r="E220" s="1" t="s">
        <v>3053</v>
      </c>
      <c r="F220" s="1">
        <v>44</v>
      </c>
      <c r="H220" s="1" t="s">
        <v>2035</v>
      </c>
      <c r="I220" s="1" t="s">
        <v>130</v>
      </c>
      <c r="J220" s="30">
        <v>100</v>
      </c>
      <c r="K220" s="30">
        <v>4000</v>
      </c>
      <c r="L220" s="31">
        <v>400000</v>
      </c>
      <c r="M220" s="1" t="s">
        <v>30</v>
      </c>
      <c r="N220" s="1" t="s">
        <v>17</v>
      </c>
      <c r="O220" s="1" t="s">
        <v>2057</v>
      </c>
      <c r="P220" s="1" t="s">
        <v>2056</v>
      </c>
      <c r="Q220" s="1" t="s">
        <v>42</v>
      </c>
      <c r="R220" s="1">
        <f t="shared" si="3"/>
        <v>1</v>
      </c>
      <c r="S220" s="4">
        <f>J220*K220*M220</f>
        <v>40000</v>
      </c>
    </row>
    <row r="221" spans="1:19" ht="43" customHeight="1">
      <c r="A221" s="1" t="s">
        <v>2280</v>
      </c>
      <c r="B221" s="1" t="s">
        <v>1315</v>
      </c>
      <c r="C221" s="29">
        <v>45747.658940451402</v>
      </c>
      <c r="D221" s="1" t="s">
        <v>3071</v>
      </c>
      <c r="E221" s="1" t="s">
        <v>3053</v>
      </c>
      <c r="F221" s="1">
        <v>31</v>
      </c>
      <c r="H221" s="1" t="s">
        <v>2024</v>
      </c>
      <c r="I221" s="1" t="s">
        <v>130</v>
      </c>
      <c r="J221" s="30">
        <v>100</v>
      </c>
      <c r="K221" s="30">
        <v>3000</v>
      </c>
      <c r="L221" s="31">
        <v>300000</v>
      </c>
      <c r="M221" s="1" t="s">
        <v>30</v>
      </c>
      <c r="N221" s="1" t="s">
        <v>17</v>
      </c>
      <c r="O221" s="1" t="s">
        <v>2057</v>
      </c>
      <c r="P221" s="1" t="s">
        <v>2056</v>
      </c>
      <c r="Q221" s="1" t="s">
        <v>42</v>
      </c>
      <c r="R221" s="1">
        <f t="shared" si="3"/>
        <v>1</v>
      </c>
      <c r="S221" s="4">
        <f>J221*K221*M221</f>
        <v>30000</v>
      </c>
    </row>
    <row r="222" spans="1:19" ht="43" hidden="1" customHeight="1">
      <c r="A222" s="1" t="s">
        <v>2280</v>
      </c>
      <c r="B222" s="1" t="s">
        <v>467</v>
      </c>
      <c r="C222" s="29">
        <v>45786.673403634297</v>
      </c>
      <c r="D222" s="1" t="s">
        <v>3063</v>
      </c>
      <c r="E222" s="1" t="s">
        <v>3062</v>
      </c>
      <c r="F222" s="1">
        <v>2</v>
      </c>
      <c r="G222" s="2" t="s">
        <v>2325</v>
      </c>
      <c r="H222" s="1" t="s">
        <v>1897</v>
      </c>
      <c r="I222" s="1" t="s">
        <v>164</v>
      </c>
      <c r="J222" s="30">
        <v>1</v>
      </c>
      <c r="K222" s="30">
        <v>4000000</v>
      </c>
      <c r="L222" s="31">
        <v>4000000</v>
      </c>
      <c r="M222" s="1" t="s">
        <v>16</v>
      </c>
      <c r="N222" s="1" t="s">
        <v>17</v>
      </c>
      <c r="O222" s="1" t="s">
        <v>2057</v>
      </c>
      <c r="P222" s="1" t="s">
        <v>2056</v>
      </c>
      <c r="Q222" s="1" t="s">
        <v>933</v>
      </c>
      <c r="R222" s="1">
        <f t="shared" si="3"/>
        <v>2</v>
      </c>
      <c r="S222" s="4">
        <f>J222*K222*M222</f>
        <v>320000</v>
      </c>
    </row>
    <row r="223" spans="1:19" ht="43" hidden="1" customHeight="1">
      <c r="A223" s="1" t="s">
        <v>2280</v>
      </c>
      <c r="B223" s="1" t="s">
        <v>1291</v>
      </c>
      <c r="C223" s="29">
        <v>45814.364218344897</v>
      </c>
      <c r="D223" s="1" t="s">
        <v>3063</v>
      </c>
      <c r="E223" s="1" t="s">
        <v>3062</v>
      </c>
      <c r="F223" s="1">
        <v>2</v>
      </c>
      <c r="G223" s="2" t="s">
        <v>2325</v>
      </c>
      <c r="H223" s="1" t="s">
        <v>1864</v>
      </c>
      <c r="I223" s="1" t="s">
        <v>164</v>
      </c>
      <c r="J223" s="30">
        <v>1</v>
      </c>
      <c r="K223" s="30">
        <v>3000000</v>
      </c>
      <c r="L223" s="31">
        <v>3000000</v>
      </c>
      <c r="M223" s="1" t="s">
        <v>16</v>
      </c>
      <c r="N223" s="1" t="s">
        <v>17</v>
      </c>
      <c r="O223" s="1" t="s">
        <v>2057</v>
      </c>
      <c r="P223" s="1" t="s">
        <v>2056</v>
      </c>
      <c r="Q223" s="1" t="s">
        <v>32</v>
      </c>
      <c r="R223" s="1">
        <f t="shared" si="3"/>
        <v>2</v>
      </c>
      <c r="S223" s="4">
        <f>J223*K223*M223</f>
        <v>240000</v>
      </c>
    </row>
    <row r="224" spans="1:19" ht="43" hidden="1" customHeight="1">
      <c r="A224" s="1" t="s">
        <v>2280</v>
      </c>
      <c r="B224" s="1" t="s">
        <v>115</v>
      </c>
      <c r="C224" s="29">
        <v>45917.5250512153</v>
      </c>
      <c r="D224" s="1" t="s">
        <v>3061</v>
      </c>
      <c r="E224" s="1" t="s">
        <v>3062</v>
      </c>
      <c r="F224" s="1">
        <v>2</v>
      </c>
      <c r="G224" s="2" t="s">
        <v>2325</v>
      </c>
      <c r="H224" s="1" t="s">
        <v>1651</v>
      </c>
      <c r="I224" s="1" t="s">
        <v>164</v>
      </c>
      <c r="J224" s="30">
        <v>1</v>
      </c>
      <c r="K224" s="30">
        <v>2700000</v>
      </c>
      <c r="L224" s="31">
        <v>2700000</v>
      </c>
      <c r="M224" s="1" t="s">
        <v>16</v>
      </c>
      <c r="N224" s="1" t="s">
        <v>17</v>
      </c>
      <c r="O224" s="1" t="s">
        <v>2057</v>
      </c>
      <c r="P224" s="1" t="s">
        <v>2056</v>
      </c>
      <c r="Q224" s="1" t="s">
        <v>598</v>
      </c>
      <c r="R224" s="1">
        <f t="shared" si="3"/>
        <v>3</v>
      </c>
      <c r="S224" s="4">
        <f>J224*K224*M224</f>
        <v>216000</v>
      </c>
    </row>
    <row r="225" spans="1:19" ht="43" hidden="1" customHeight="1">
      <c r="A225" s="1" t="s">
        <v>2280</v>
      </c>
      <c r="B225" s="1" t="s">
        <v>1460</v>
      </c>
      <c r="C225" s="29">
        <v>45933.374550393499</v>
      </c>
      <c r="D225" s="1" t="s">
        <v>3063</v>
      </c>
      <c r="E225" s="1" t="s">
        <v>3062</v>
      </c>
      <c r="F225" s="1">
        <v>2</v>
      </c>
      <c r="G225" s="2" t="s">
        <v>2325</v>
      </c>
      <c r="H225" s="1" t="s">
        <v>535</v>
      </c>
      <c r="I225" s="1" t="s">
        <v>1360</v>
      </c>
      <c r="J225" s="30">
        <v>1</v>
      </c>
      <c r="K225" s="30">
        <v>3000000</v>
      </c>
      <c r="L225" s="31">
        <v>3000000</v>
      </c>
      <c r="M225" s="1" t="s">
        <v>16</v>
      </c>
      <c r="N225" s="1" t="s">
        <v>17</v>
      </c>
      <c r="O225" s="1" t="s">
        <v>2057</v>
      </c>
      <c r="P225" s="1" t="s">
        <v>2056</v>
      </c>
      <c r="Q225" s="1" t="s">
        <v>1591</v>
      </c>
      <c r="R225" s="1">
        <f t="shared" si="3"/>
        <v>4</v>
      </c>
      <c r="S225" s="4">
        <f>J225*K225*M225</f>
        <v>240000</v>
      </c>
    </row>
    <row r="226" spans="1:19" ht="43" hidden="1" customHeight="1">
      <c r="A226" s="1" t="s">
        <v>2280</v>
      </c>
      <c r="B226" s="1" t="s">
        <v>209</v>
      </c>
      <c r="C226" s="29">
        <v>45852.4045961343</v>
      </c>
      <c r="D226" s="1" t="s">
        <v>3063</v>
      </c>
      <c r="E226" s="1" t="s">
        <v>3062</v>
      </c>
      <c r="F226" s="1">
        <v>3</v>
      </c>
      <c r="G226" s="2" t="s">
        <v>2325</v>
      </c>
      <c r="H226" s="1" t="s">
        <v>1801</v>
      </c>
      <c r="I226" s="1" t="s">
        <v>164</v>
      </c>
      <c r="J226" s="30">
        <v>1</v>
      </c>
      <c r="K226" s="30">
        <v>3000000</v>
      </c>
      <c r="L226" s="31">
        <v>3000000</v>
      </c>
      <c r="M226" s="1" t="s">
        <v>16</v>
      </c>
      <c r="N226" s="1" t="s">
        <v>17</v>
      </c>
      <c r="O226" s="1" t="s">
        <v>2057</v>
      </c>
      <c r="P226" s="1" t="s">
        <v>2056</v>
      </c>
      <c r="Q226" s="1" t="s">
        <v>1799</v>
      </c>
      <c r="R226" s="1">
        <f t="shared" si="3"/>
        <v>3</v>
      </c>
      <c r="S226" s="4">
        <f>J226*K226*M226</f>
        <v>240000</v>
      </c>
    </row>
    <row r="227" spans="1:19" ht="43" hidden="1" customHeight="1">
      <c r="A227" s="1" t="s">
        <v>2280</v>
      </c>
      <c r="B227" s="1" t="s">
        <v>209</v>
      </c>
      <c r="C227" s="29">
        <v>45852.4045961343</v>
      </c>
      <c r="D227" s="1" t="s">
        <v>3063</v>
      </c>
      <c r="E227" s="1" t="s">
        <v>3062</v>
      </c>
      <c r="F227" s="1">
        <v>2</v>
      </c>
      <c r="G227" s="2" t="s">
        <v>2325</v>
      </c>
      <c r="H227" s="1" t="s">
        <v>1800</v>
      </c>
      <c r="I227" s="1" t="s">
        <v>164</v>
      </c>
      <c r="J227" s="30">
        <v>1</v>
      </c>
      <c r="K227" s="30">
        <v>2700000</v>
      </c>
      <c r="L227" s="31">
        <v>2700000</v>
      </c>
      <c r="M227" s="1" t="s">
        <v>16</v>
      </c>
      <c r="N227" s="1" t="s">
        <v>17</v>
      </c>
      <c r="O227" s="1" t="s">
        <v>2057</v>
      </c>
      <c r="P227" s="1" t="s">
        <v>2056</v>
      </c>
      <c r="Q227" s="1" t="s">
        <v>1799</v>
      </c>
      <c r="R227" s="1">
        <f t="shared" si="3"/>
        <v>3</v>
      </c>
      <c r="S227" s="4">
        <f>J227*K227*M227</f>
        <v>216000</v>
      </c>
    </row>
    <row r="228" spans="1:19" ht="43" hidden="1" customHeight="1">
      <c r="A228" s="1" t="s">
        <v>2280</v>
      </c>
      <c r="B228" s="1" t="s">
        <v>1400</v>
      </c>
      <c r="C228" s="29">
        <v>45990.721094398097</v>
      </c>
      <c r="D228" s="1" t="s">
        <v>3052</v>
      </c>
      <c r="E228" s="1" t="s">
        <v>3053</v>
      </c>
      <c r="F228" s="1">
        <v>24</v>
      </c>
      <c r="G228" s="12" t="s">
        <v>319</v>
      </c>
      <c r="H228" s="1" t="s">
        <v>319</v>
      </c>
      <c r="I228" s="1" t="s">
        <v>130</v>
      </c>
      <c r="J228" s="30">
        <v>20</v>
      </c>
      <c r="K228" s="30">
        <v>20000</v>
      </c>
      <c r="L228" s="31">
        <v>400000</v>
      </c>
      <c r="M228" s="1" t="s">
        <v>16</v>
      </c>
      <c r="N228" s="1" t="s">
        <v>17</v>
      </c>
      <c r="O228" s="1" t="s">
        <v>2057</v>
      </c>
      <c r="P228" s="1" t="s">
        <v>2056</v>
      </c>
      <c r="Q228" s="1" t="s">
        <v>1531</v>
      </c>
      <c r="R228" s="1">
        <f t="shared" si="3"/>
        <v>4</v>
      </c>
      <c r="S228" s="4">
        <f>J228*K228*M228</f>
        <v>32000</v>
      </c>
    </row>
    <row r="229" spans="1:19" ht="43" hidden="1" customHeight="1">
      <c r="A229" s="1" t="s">
        <v>2072</v>
      </c>
      <c r="B229" s="1" t="s">
        <v>717</v>
      </c>
      <c r="C229" s="29">
        <v>46020.384472314799</v>
      </c>
      <c r="D229" s="1" t="s">
        <v>3052</v>
      </c>
      <c r="E229" s="1" t="s">
        <v>3053</v>
      </c>
      <c r="F229" s="1">
        <v>10</v>
      </c>
      <c r="G229" s="12" t="s">
        <v>1425</v>
      </c>
      <c r="H229" s="1" t="s">
        <v>1425</v>
      </c>
      <c r="I229" s="1" t="s">
        <v>1279</v>
      </c>
      <c r="J229" s="30">
        <v>1</v>
      </c>
      <c r="K229" s="30">
        <v>900000</v>
      </c>
      <c r="L229" s="31">
        <v>900000</v>
      </c>
      <c r="M229" s="1" t="s">
        <v>30</v>
      </c>
      <c r="N229" s="1" t="s">
        <v>17</v>
      </c>
      <c r="O229" s="1" t="s">
        <v>2057</v>
      </c>
      <c r="P229" s="1" t="s">
        <v>2056</v>
      </c>
      <c r="Q229" s="1" t="s">
        <v>275</v>
      </c>
      <c r="R229" s="1">
        <f t="shared" si="3"/>
        <v>4</v>
      </c>
      <c r="S229" s="4">
        <f>J229*K229*M229</f>
        <v>90000</v>
      </c>
    </row>
    <row r="230" spans="1:19" ht="43" hidden="1" customHeight="1">
      <c r="A230" s="1" t="s">
        <v>2072</v>
      </c>
      <c r="B230" s="1" t="s">
        <v>146</v>
      </c>
      <c r="C230" s="29">
        <v>46020.386763703696</v>
      </c>
      <c r="D230" s="1" t="s">
        <v>3052</v>
      </c>
      <c r="E230" s="1" t="s">
        <v>3053</v>
      </c>
      <c r="F230" s="1">
        <v>40</v>
      </c>
      <c r="G230" s="12" t="s">
        <v>155</v>
      </c>
      <c r="H230" s="1" t="s">
        <v>155</v>
      </c>
      <c r="I230" s="1" t="s">
        <v>45</v>
      </c>
      <c r="J230" s="30">
        <v>20</v>
      </c>
      <c r="K230" s="30">
        <v>75000</v>
      </c>
      <c r="L230" s="31">
        <v>1500000</v>
      </c>
      <c r="M230" s="1" t="s">
        <v>16</v>
      </c>
      <c r="N230" s="1" t="s">
        <v>17</v>
      </c>
      <c r="O230" s="1" t="s">
        <v>2057</v>
      </c>
      <c r="P230" s="1" t="s">
        <v>2056</v>
      </c>
      <c r="Q230" s="1" t="s">
        <v>275</v>
      </c>
      <c r="R230" s="1">
        <f t="shared" si="3"/>
        <v>4</v>
      </c>
      <c r="S230" s="4">
        <f>J230*K230*M230</f>
        <v>120000</v>
      </c>
    </row>
    <row r="231" spans="1:19" ht="43" hidden="1" customHeight="1">
      <c r="A231" s="1" t="s">
        <v>2280</v>
      </c>
      <c r="B231" s="1" t="s">
        <v>326</v>
      </c>
      <c r="C231" s="29">
        <v>45960.658345080999</v>
      </c>
      <c r="D231" s="1" t="s">
        <v>3052</v>
      </c>
      <c r="E231" s="1" t="s">
        <v>3053</v>
      </c>
      <c r="F231" s="1">
        <v>31</v>
      </c>
      <c r="G231" s="12" t="s">
        <v>155</v>
      </c>
      <c r="H231" s="1" t="s">
        <v>155</v>
      </c>
      <c r="I231" s="1" t="s">
        <v>45</v>
      </c>
      <c r="J231" s="30">
        <v>20</v>
      </c>
      <c r="K231" s="30">
        <v>50000</v>
      </c>
      <c r="L231" s="31">
        <v>1000000</v>
      </c>
      <c r="M231" s="1" t="s">
        <v>16</v>
      </c>
      <c r="N231" s="1" t="s">
        <v>17</v>
      </c>
      <c r="O231" s="1" t="s">
        <v>2057</v>
      </c>
      <c r="P231" s="1" t="s">
        <v>2056</v>
      </c>
      <c r="Q231" s="1" t="s">
        <v>533</v>
      </c>
      <c r="R231" s="1">
        <f t="shared" si="3"/>
        <v>4</v>
      </c>
      <c r="S231" s="4">
        <f>J231*K231*M231</f>
        <v>80000</v>
      </c>
    </row>
    <row r="232" spans="1:19" ht="43" hidden="1" customHeight="1">
      <c r="A232" s="1" t="s">
        <v>2280</v>
      </c>
      <c r="B232" s="1" t="s">
        <v>1421</v>
      </c>
      <c r="C232" s="29">
        <v>45864.4410266782</v>
      </c>
      <c r="D232" s="1" t="s">
        <v>3058</v>
      </c>
      <c r="E232" s="1" t="s">
        <v>3059</v>
      </c>
      <c r="F232" s="1">
        <v>7</v>
      </c>
      <c r="G232" s="12" t="s">
        <v>155</v>
      </c>
      <c r="H232" s="1" t="s">
        <v>155</v>
      </c>
      <c r="I232" s="1" t="s">
        <v>27</v>
      </c>
      <c r="J232" s="30">
        <v>20</v>
      </c>
      <c r="K232" s="30">
        <v>88000</v>
      </c>
      <c r="L232" s="31">
        <v>1760000</v>
      </c>
      <c r="M232" s="1" t="s">
        <v>30</v>
      </c>
      <c r="N232" s="1" t="s">
        <v>17</v>
      </c>
      <c r="O232" s="1" t="s">
        <v>2057</v>
      </c>
      <c r="P232" s="1" t="s">
        <v>2056</v>
      </c>
      <c r="Q232" s="1" t="s">
        <v>1785</v>
      </c>
      <c r="R232" s="1">
        <f t="shared" si="3"/>
        <v>3</v>
      </c>
      <c r="S232" s="4">
        <f>J232*K232*M232</f>
        <v>176000</v>
      </c>
    </row>
    <row r="233" spans="1:19" ht="43" hidden="1" customHeight="1">
      <c r="A233" s="1" t="s">
        <v>2280</v>
      </c>
      <c r="B233" s="1" t="s">
        <v>1432</v>
      </c>
      <c r="C233" s="29">
        <v>45966.660315763897</v>
      </c>
      <c r="D233" s="1" t="s">
        <v>3075</v>
      </c>
      <c r="E233" s="1" t="s">
        <v>3076</v>
      </c>
      <c r="F233" s="1">
        <v>3</v>
      </c>
      <c r="G233" s="12" t="s">
        <v>1333</v>
      </c>
      <c r="H233" s="1" t="s">
        <v>1564</v>
      </c>
      <c r="I233" s="1" t="s">
        <v>60</v>
      </c>
      <c r="J233" s="30">
        <v>6</v>
      </c>
      <c r="K233" s="30">
        <v>45000</v>
      </c>
      <c r="L233" s="31">
        <v>270000</v>
      </c>
      <c r="M233" s="1" t="s">
        <v>30</v>
      </c>
      <c r="N233" s="1" t="s">
        <v>17</v>
      </c>
      <c r="O233" s="1" t="s">
        <v>2057</v>
      </c>
      <c r="P233" s="1" t="s">
        <v>2056</v>
      </c>
      <c r="Q233" s="1" t="s">
        <v>400</v>
      </c>
      <c r="R233" s="1">
        <f t="shared" si="3"/>
        <v>4</v>
      </c>
      <c r="S233" s="4">
        <f>J233*K233*M233</f>
        <v>27000</v>
      </c>
    </row>
    <row r="234" spans="1:19" ht="43" hidden="1" customHeight="1">
      <c r="A234" s="1" t="s">
        <v>2280</v>
      </c>
      <c r="B234" s="1" t="s">
        <v>1404</v>
      </c>
      <c r="C234" s="29">
        <v>45990.3818009838</v>
      </c>
      <c r="D234" s="1" t="s">
        <v>3052</v>
      </c>
      <c r="E234" s="1" t="s">
        <v>3053</v>
      </c>
      <c r="F234" s="1">
        <v>4</v>
      </c>
      <c r="G234" s="12" t="s">
        <v>1555</v>
      </c>
      <c r="H234" s="1" t="s">
        <v>1555</v>
      </c>
      <c r="I234" s="1" t="s">
        <v>683</v>
      </c>
      <c r="J234" s="30">
        <v>5</v>
      </c>
      <c r="K234" s="30">
        <v>80000</v>
      </c>
      <c r="L234" s="31">
        <v>400000</v>
      </c>
      <c r="M234" s="1" t="s">
        <v>30</v>
      </c>
      <c r="N234" s="1" t="s">
        <v>17</v>
      </c>
      <c r="O234" s="1" t="s">
        <v>2057</v>
      </c>
      <c r="P234" s="1" t="s">
        <v>2056</v>
      </c>
      <c r="Q234" s="1" t="s">
        <v>1531</v>
      </c>
      <c r="R234" s="1">
        <f t="shared" si="3"/>
        <v>4</v>
      </c>
      <c r="S234" s="4">
        <f>J234*K234*M234</f>
        <v>40000</v>
      </c>
    </row>
    <row r="235" spans="1:19" ht="43" hidden="1" customHeight="1">
      <c r="A235" s="1" t="s">
        <v>2280</v>
      </c>
      <c r="B235" s="1" t="s">
        <v>188</v>
      </c>
      <c r="C235" s="29">
        <v>45928.944600393501</v>
      </c>
      <c r="D235" s="1" t="s">
        <v>3052</v>
      </c>
      <c r="E235" s="1" t="s">
        <v>3053</v>
      </c>
      <c r="F235" s="1">
        <v>13</v>
      </c>
      <c r="G235" s="12" t="s">
        <v>1555</v>
      </c>
      <c r="H235" s="1" t="s">
        <v>1555</v>
      </c>
      <c r="I235" s="1" t="s">
        <v>683</v>
      </c>
      <c r="J235" s="30">
        <v>18</v>
      </c>
      <c r="K235" s="30">
        <v>80000</v>
      </c>
      <c r="L235" s="31">
        <v>1440000</v>
      </c>
      <c r="M235" s="1" t="s">
        <v>30</v>
      </c>
      <c r="N235" s="1" t="s">
        <v>17</v>
      </c>
      <c r="O235" s="1" t="s">
        <v>2057</v>
      </c>
      <c r="P235" s="1" t="s">
        <v>2056</v>
      </c>
      <c r="Q235" s="1" t="s">
        <v>546</v>
      </c>
      <c r="R235" s="1">
        <f t="shared" si="3"/>
        <v>3</v>
      </c>
      <c r="S235" s="4">
        <f>J235*K235*M235</f>
        <v>144000</v>
      </c>
    </row>
    <row r="236" spans="1:19" ht="43" hidden="1" customHeight="1">
      <c r="A236" s="1" t="s">
        <v>2280</v>
      </c>
      <c r="B236" s="1" t="s">
        <v>1034</v>
      </c>
      <c r="C236" s="29">
        <v>45928.7317327778</v>
      </c>
      <c r="D236" s="1" t="s">
        <v>3052</v>
      </c>
      <c r="E236" s="1" t="s">
        <v>3053</v>
      </c>
      <c r="F236" s="1">
        <v>5</v>
      </c>
      <c r="G236" s="12" t="s">
        <v>1555</v>
      </c>
      <c r="H236" s="1" t="s">
        <v>1555</v>
      </c>
      <c r="I236" s="1" t="s">
        <v>683</v>
      </c>
      <c r="J236" s="30">
        <v>1</v>
      </c>
      <c r="K236" s="30">
        <v>90000</v>
      </c>
      <c r="L236" s="31">
        <v>90000</v>
      </c>
      <c r="M236" s="1" t="s">
        <v>30</v>
      </c>
      <c r="N236" s="1" t="s">
        <v>17</v>
      </c>
      <c r="O236" s="1" t="s">
        <v>2057</v>
      </c>
      <c r="P236" s="1" t="s">
        <v>2056</v>
      </c>
      <c r="Q236" s="1" t="s">
        <v>546</v>
      </c>
      <c r="R236" s="1">
        <f t="shared" si="3"/>
        <v>3</v>
      </c>
      <c r="S236" s="4">
        <f>J236*K236*M236</f>
        <v>9000</v>
      </c>
    </row>
    <row r="237" spans="1:19" ht="43" hidden="1" customHeight="1">
      <c r="A237" s="1" t="s">
        <v>2280</v>
      </c>
      <c r="B237" s="1" t="s">
        <v>1262</v>
      </c>
      <c r="C237" s="29">
        <v>45838.622051655097</v>
      </c>
      <c r="D237" s="1" t="s">
        <v>3052</v>
      </c>
      <c r="E237" s="1" t="s">
        <v>3053</v>
      </c>
      <c r="F237" s="1">
        <v>20</v>
      </c>
      <c r="G237" s="12" t="s">
        <v>1555</v>
      </c>
      <c r="H237" s="1" t="s">
        <v>1555</v>
      </c>
      <c r="I237" s="1" t="s">
        <v>683</v>
      </c>
      <c r="J237" s="30">
        <v>3</v>
      </c>
      <c r="K237" s="30">
        <v>55000</v>
      </c>
      <c r="L237" s="31">
        <v>165000</v>
      </c>
      <c r="M237" s="1" t="s">
        <v>30</v>
      </c>
      <c r="N237" s="1" t="s">
        <v>17</v>
      </c>
      <c r="O237" s="1" t="s">
        <v>2057</v>
      </c>
      <c r="P237" s="1" t="s">
        <v>2056</v>
      </c>
      <c r="Q237" s="1" t="s">
        <v>828</v>
      </c>
      <c r="R237" s="1">
        <f t="shared" si="3"/>
        <v>2</v>
      </c>
      <c r="S237" s="4">
        <f>J237*K237*M237</f>
        <v>16500</v>
      </c>
    </row>
    <row r="238" spans="1:19" ht="43" hidden="1" customHeight="1">
      <c r="A238" s="1" t="s">
        <v>2280</v>
      </c>
      <c r="B238" s="1" t="s">
        <v>882</v>
      </c>
      <c r="C238" s="29">
        <v>45989.803104988401</v>
      </c>
      <c r="D238" s="1" t="s">
        <v>3054</v>
      </c>
      <c r="E238" s="1" t="s">
        <v>3055</v>
      </c>
      <c r="F238" s="1">
        <v>6</v>
      </c>
      <c r="G238" s="12" t="s">
        <v>1333</v>
      </c>
      <c r="H238" s="1" t="s">
        <v>1333</v>
      </c>
      <c r="I238" s="1" t="s">
        <v>683</v>
      </c>
      <c r="J238" s="30">
        <v>15</v>
      </c>
      <c r="K238" s="30">
        <v>50000</v>
      </c>
      <c r="L238" s="31">
        <v>750000</v>
      </c>
      <c r="M238" s="1" t="s">
        <v>30</v>
      </c>
      <c r="N238" s="1" t="s">
        <v>17</v>
      </c>
      <c r="O238" s="1" t="s">
        <v>2057</v>
      </c>
      <c r="P238" s="1" t="s">
        <v>2056</v>
      </c>
      <c r="Q238" s="1" t="s">
        <v>394</v>
      </c>
      <c r="R238" s="1">
        <f t="shared" si="3"/>
        <v>4</v>
      </c>
      <c r="S238" s="4">
        <f>J238*K238*M238</f>
        <v>75000</v>
      </c>
    </row>
    <row r="239" spans="1:19" ht="43" hidden="1" customHeight="1">
      <c r="A239" s="1" t="s">
        <v>2280</v>
      </c>
      <c r="B239" s="1" t="s">
        <v>188</v>
      </c>
      <c r="C239" s="29">
        <v>45928.944600393501</v>
      </c>
      <c r="D239" s="1" t="s">
        <v>3052</v>
      </c>
      <c r="E239" s="1" t="s">
        <v>3053</v>
      </c>
      <c r="F239" s="1">
        <v>24</v>
      </c>
      <c r="G239" s="12" t="s">
        <v>1333</v>
      </c>
      <c r="H239" s="1" t="s">
        <v>1333</v>
      </c>
      <c r="I239" s="1" t="s">
        <v>683</v>
      </c>
      <c r="J239" s="30">
        <v>4</v>
      </c>
      <c r="K239" s="30">
        <v>50000</v>
      </c>
      <c r="L239" s="31">
        <v>200000</v>
      </c>
      <c r="M239" s="1" t="s">
        <v>30</v>
      </c>
      <c r="N239" s="1" t="s">
        <v>17</v>
      </c>
      <c r="O239" s="1" t="s">
        <v>2057</v>
      </c>
      <c r="P239" s="1" t="s">
        <v>2056</v>
      </c>
      <c r="Q239" s="1" t="s">
        <v>546</v>
      </c>
      <c r="R239" s="1">
        <f t="shared" si="3"/>
        <v>3</v>
      </c>
      <c r="S239" s="4">
        <f>J239*K239*M239</f>
        <v>20000</v>
      </c>
    </row>
    <row r="240" spans="1:19" ht="43" hidden="1" customHeight="1">
      <c r="A240" s="1" t="s">
        <v>2280</v>
      </c>
      <c r="B240" s="1" t="s">
        <v>1417</v>
      </c>
      <c r="C240" s="29">
        <v>45868.607072511601</v>
      </c>
      <c r="D240" s="1" t="s">
        <v>3052</v>
      </c>
      <c r="E240" s="1" t="s">
        <v>3053</v>
      </c>
      <c r="F240" s="1">
        <v>24</v>
      </c>
      <c r="G240" s="12" t="s">
        <v>1333</v>
      </c>
      <c r="H240" s="1" t="s">
        <v>1333</v>
      </c>
      <c r="I240" s="1" t="s">
        <v>683</v>
      </c>
      <c r="J240" s="30">
        <v>18</v>
      </c>
      <c r="K240" s="30">
        <v>40000</v>
      </c>
      <c r="L240" s="31">
        <v>720000</v>
      </c>
      <c r="M240" s="1" t="s">
        <v>30</v>
      </c>
      <c r="N240" s="1" t="s">
        <v>17</v>
      </c>
      <c r="O240" s="1" t="s">
        <v>2057</v>
      </c>
      <c r="P240" s="1" t="s">
        <v>2056</v>
      </c>
      <c r="Q240" s="1" t="s">
        <v>800</v>
      </c>
      <c r="R240" s="1">
        <f t="shared" si="3"/>
        <v>3</v>
      </c>
      <c r="S240" s="4">
        <f>J240*K240*M240</f>
        <v>72000</v>
      </c>
    </row>
    <row r="241" spans="1:19" ht="43" hidden="1" customHeight="1">
      <c r="A241" s="1" t="s">
        <v>2280</v>
      </c>
      <c r="B241" s="1" t="s">
        <v>1419</v>
      </c>
      <c r="C241" s="29">
        <v>45866.749486990702</v>
      </c>
      <c r="D241" s="1" t="s">
        <v>3052</v>
      </c>
      <c r="E241" s="1" t="s">
        <v>3053</v>
      </c>
      <c r="F241" s="1">
        <v>28</v>
      </c>
      <c r="G241" s="12" t="s">
        <v>1333</v>
      </c>
      <c r="H241" s="1" t="s">
        <v>1333</v>
      </c>
      <c r="I241" s="1" t="s">
        <v>683</v>
      </c>
      <c r="J241" s="30">
        <v>2</v>
      </c>
      <c r="K241" s="30">
        <v>50000</v>
      </c>
      <c r="L241" s="31">
        <v>100000</v>
      </c>
      <c r="M241" s="1" t="s">
        <v>30</v>
      </c>
      <c r="N241" s="1" t="s">
        <v>17</v>
      </c>
      <c r="O241" s="1" t="s">
        <v>2057</v>
      </c>
      <c r="P241" s="1" t="s">
        <v>2056</v>
      </c>
      <c r="Q241" s="1" t="s">
        <v>1763</v>
      </c>
      <c r="R241" s="1">
        <f t="shared" si="3"/>
        <v>3</v>
      </c>
      <c r="S241" s="4">
        <f>J241*K241*M241</f>
        <v>10000</v>
      </c>
    </row>
    <row r="242" spans="1:19" ht="43" hidden="1" customHeight="1">
      <c r="A242" s="1" t="s">
        <v>2280</v>
      </c>
      <c r="B242" s="1" t="s">
        <v>717</v>
      </c>
      <c r="C242" s="29">
        <v>45807.729117129602</v>
      </c>
      <c r="D242" s="1" t="s">
        <v>3052</v>
      </c>
      <c r="E242" s="1" t="s">
        <v>3053</v>
      </c>
      <c r="F242" s="1">
        <v>2</v>
      </c>
      <c r="G242" s="12" t="s">
        <v>1333</v>
      </c>
      <c r="H242" s="1" t="s">
        <v>1333</v>
      </c>
      <c r="I242" s="1" t="s">
        <v>60</v>
      </c>
      <c r="J242" s="30">
        <v>1</v>
      </c>
      <c r="K242" s="30">
        <v>50000</v>
      </c>
      <c r="L242" s="31">
        <v>50000</v>
      </c>
      <c r="M242" s="1" t="s">
        <v>30</v>
      </c>
      <c r="N242" s="1" t="s">
        <v>17</v>
      </c>
      <c r="O242" s="1" t="s">
        <v>2057</v>
      </c>
      <c r="P242" s="1" t="s">
        <v>2056</v>
      </c>
      <c r="Q242" s="1" t="s">
        <v>925</v>
      </c>
      <c r="R242" s="1">
        <f t="shared" si="3"/>
        <v>2</v>
      </c>
      <c r="S242" s="4">
        <f>J242*K242*M242</f>
        <v>5000</v>
      </c>
    </row>
    <row r="243" spans="1:19" ht="43" hidden="1" customHeight="1">
      <c r="A243" s="1" t="s">
        <v>2072</v>
      </c>
      <c r="B243" s="1" t="s">
        <v>1294</v>
      </c>
      <c r="C243" s="29">
        <v>46021.613942164397</v>
      </c>
      <c r="D243" s="1" t="s">
        <v>3052</v>
      </c>
      <c r="E243" s="1" t="s">
        <v>3053</v>
      </c>
      <c r="F243" s="1">
        <v>53</v>
      </c>
      <c r="G243" s="12" t="s">
        <v>2136</v>
      </c>
      <c r="H243" s="1" t="s">
        <v>1488</v>
      </c>
      <c r="I243" s="1" t="s">
        <v>616</v>
      </c>
      <c r="J243" s="30">
        <v>20</v>
      </c>
      <c r="K243" s="30">
        <v>300000</v>
      </c>
      <c r="L243" s="31">
        <v>6000000</v>
      </c>
      <c r="M243" s="1" t="s">
        <v>16</v>
      </c>
      <c r="N243" s="1" t="s">
        <v>17</v>
      </c>
      <c r="O243" s="1" t="s">
        <v>2057</v>
      </c>
      <c r="P243" s="1" t="s">
        <v>2056</v>
      </c>
      <c r="Q243" s="1" t="s">
        <v>1474</v>
      </c>
      <c r="R243" s="1">
        <f t="shared" si="3"/>
        <v>4</v>
      </c>
      <c r="S243" s="4">
        <f>J243*K243*M243</f>
        <v>480000</v>
      </c>
    </row>
    <row r="244" spans="1:19" ht="43" hidden="1" customHeight="1">
      <c r="A244" s="1" t="s">
        <v>2280</v>
      </c>
      <c r="B244" s="1" t="s">
        <v>1398</v>
      </c>
      <c r="C244" s="29">
        <v>45996.640779340298</v>
      </c>
      <c r="D244" s="1" t="s">
        <v>3058</v>
      </c>
      <c r="E244" s="1" t="s">
        <v>3059</v>
      </c>
      <c r="F244" s="1">
        <v>6</v>
      </c>
      <c r="G244" s="12" t="s">
        <v>2136</v>
      </c>
      <c r="H244" s="1" t="s">
        <v>1488</v>
      </c>
      <c r="I244" s="1" t="s">
        <v>616</v>
      </c>
      <c r="J244" s="30">
        <v>2</v>
      </c>
      <c r="K244" s="30">
        <v>330000</v>
      </c>
      <c r="L244" s="31">
        <v>660000</v>
      </c>
      <c r="M244" s="1" t="s">
        <v>16</v>
      </c>
      <c r="N244" s="1" t="s">
        <v>17</v>
      </c>
      <c r="O244" s="1" t="s">
        <v>2057</v>
      </c>
      <c r="P244" s="1" t="s">
        <v>2056</v>
      </c>
      <c r="Q244" s="1" t="s">
        <v>304</v>
      </c>
      <c r="R244" s="1">
        <f t="shared" si="3"/>
        <v>4</v>
      </c>
      <c r="S244" s="4">
        <f>J244*K244*M244</f>
        <v>52800</v>
      </c>
    </row>
    <row r="245" spans="1:19" ht="43" hidden="1" customHeight="1">
      <c r="A245" s="1" t="s">
        <v>2280</v>
      </c>
      <c r="B245" s="1" t="s">
        <v>1420</v>
      </c>
      <c r="C245" s="29">
        <v>45866.7486208681</v>
      </c>
      <c r="D245" s="1" t="s">
        <v>3052</v>
      </c>
      <c r="E245" s="1" t="s">
        <v>3053</v>
      </c>
      <c r="F245" s="1">
        <v>4</v>
      </c>
      <c r="G245" s="12" t="s">
        <v>2136</v>
      </c>
      <c r="H245" s="1" t="s">
        <v>1488</v>
      </c>
      <c r="I245" s="1" t="s">
        <v>1279</v>
      </c>
      <c r="J245" s="30">
        <v>13</v>
      </c>
      <c r="K245" s="30">
        <v>310000</v>
      </c>
      <c r="L245" s="31">
        <v>4030000</v>
      </c>
      <c r="M245" s="1" t="s">
        <v>16</v>
      </c>
      <c r="N245" s="1" t="s">
        <v>17</v>
      </c>
      <c r="O245" s="1" t="s">
        <v>2057</v>
      </c>
      <c r="P245" s="1" t="s">
        <v>2056</v>
      </c>
      <c r="Q245" s="1" t="s">
        <v>1763</v>
      </c>
      <c r="R245" s="1">
        <f t="shared" si="3"/>
        <v>3</v>
      </c>
      <c r="S245" s="4">
        <f>J245*K245*M245</f>
        <v>322400</v>
      </c>
    </row>
    <row r="246" spans="1:19" ht="43" hidden="1" customHeight="1">
      <c r="A246" s="1" t="s">
        <v>2280</v>
      </c>
      <c r="B246" s="1" t="s">
        <v>193</v>
      </c>
      <c r="C246" s="29">
        <v>45898.577999004599</v>
      </c>
      <c r="D246" s="1" t="s">
        <v>3058</v>
      </c>
      <c r="E246" s="1" t="s">
        <v>3059</v>
      </c>
      <c r="F246" s="1">
        <v>3</v>
      </c>
      <c r="G246" s="12" t="s">
        <v>2136</v>
      </c>
      <c r="H246" s="1" t="s">
        <v>1727</v>
      </c>
      <c r="I246" s="1" t="s">
        <v>616</v>
      </c>
      <c r="J246" s="30">
        <v>2</v>
      </c>
      <c r="K246" s="30">
        <v>335000</v>
      </c>
      <c r="L246" s="31">
        <v>670000</v>
      </c>
      <c r="M246" s="1" t="s">
        <v>16</v>
      </c>
      <c r="N246" s="1" t="s">
        <v>17</v>
      </c>
      <c r="O246" s="1" t="s">
        <v>2057</v>
      </c>
      <c r="P246" s="1" t="s">
        <v>2056</v>
      </c>
      <c r="Q246" s="1" t="s">
        <v>652</v>
      </c>
      <c r="R246" s="1">
        <f t="shared" si="3"/>
        <v>3</v>
      </c>
      <c r="S246" s="4">
        <f>J246*K246*M246</f>
        <v>53600</v>
      </c>
    </row>
    <row r="247" spans="1:19" ht="43" hidden="1" customHeight="1">
      <c r="A247" s="1" t="s">
        <v>2280</v>
      </c>
      <c r="B247" s="1" t="s">
        <v>1398</v>
      </c>
      <c r="C247" s="29">
        <v>45996.640779340298</v>
      </c>
      <c r="D247" s="1" t="s">
        <v>3058</v>
      </c>
      <c r="E247" s="1" t="s">
        <v>3059</v>
      </c>
      <c r="F247" s="1">
        <v>1</v>
      </c>
      <c r="G247" s="12" t="s">
        <v>1529</v>
      </c>
      <c r="H247" s="1" t="s">
        <v>1529</v>
      </c>
      <c r="I247" s="1" t="s">
        <v>511</v>
      </c>
      <c r="J247" s="30">
        <v>4</v>
      </c>
      <c r="K247" s="30">
        <v>330000</v>
      </c>
      <c r="L247" s="31">
        <v>1320000</v>
      </c>
      <c r="M247" s="1" t="s">
        <v>16</v>
      </c>
      <c r="N247" s="1" t="s">
        <v>17</v>
      </c>
      <c r="O247" s="1" t="s">
        <v>2057</v>
      </c>
      <c r="P247" s="1" t="s">
        <v>2056</v>
      </c>
      <c r="Q247" s="1" t="s">
        <v>304</v>
      </c>
      <c r="R247" s="1">
        <f t="shared" si="3"/>
        <v>4</v>
      </c>
      <c r="S247" s="4">
        <f>J247*K247*M247</f>
        <v>105600</v>
      </c>
    </row>
    <row r="248" spans="1:19" ht="43" customHeight="1">
      <c r="A248" s="1" t="s">
        <v>2280</v>
      </c>
      <c r="B248" s="1" t="s">
        <v>1412</v>
      </c>
      <c r="C248" s="29">
        <v>45898.896986157401</v>
      </c>
      <c r="D248" s="1" t="s">
        <v>3052</v>
      </c>
      <c r="E248" s="1" t="s">
        <v>3053</v>
      </c>
      <c r="F248" s="1">
        <v>10</v>
      </c>
      <c r="H248" s="1" t="s">
        <v>1666</v>
      </c>
      <c r="I248" s="1" t="s">
        <v>130</v>
      </c>
      <c r="J248" s="30">
        <v>1</v>
      </c>
      <c r="K248" s="30">
        <v>450000</v>
      </c>
      <c r="L248" s="31">
        <v>450000</v>
      </c>
      <c r="M248" s="1" t="s">
        <v>16</v>
      </c>
      <c r="N248" s="1" t="s">
        <v>17</v>
      </c>
      <c r="O248" s="1" t="s">
        <v>2057</v>
      </c>
      <c r="P248" s="1" t="s">
        <v>2056</v>
      </c>
      <c r="Q248" s="1" t="s">
        <v>652</v>
      </c>
      <c r="R248" s="1">
        <f t="shared" si="3"/>
        <v>3</v>
      </c>
      <c r="S248" s="4">
        <f>J248*K248*M248</f>
        <v>36000</v>
      </c>
    </row>
    <row r="249" spans="1:19" ht="43" hidden="1" customHeight="1">
      <c r="A249" s="1" t="s">
        <v>2280</v>
      </c>
      <c r="B249" s="1" t="s">
        <v>1400</v>
      </c>
      <c r="C249" s="29">
        <v>45990.721094398097</v>
      </c>
      <c r="D249" s="1" t="s">
        <v>3052</v>
      </c>
      <c r="E249" s="1" t="s">
        <v>3053</v>
      </c>
      <c r="F249" s="1">
        <v>22</v>
      </c>
      <c r="G249" s="12" t="s">
        <v>521</v>
      </c>
      <c r="H249" s="1" t="s">
        <v>521</v>
      </c>
      <c r="I249" s="1" t="s">
        <v>130</v>
      </c>
      <c r="J249" s="30">
        <v>5</v>
      </c>
      <c r="K249" s="30">
        <v>130000</v>
      </c>
      <c r="L249" s="31">
        <v>650000</v>
      </c>
      <c r="M249" s="1" t="s">
        <v>16</v>
      </c>
      <c r="N249" s="1" t="s">
        <v>17</v>
      </c>
      <c r="O249" s="1" t="s">
        <v>2057</v>
      </c>
      <c r="P249" s="1" t="s">
        <v>2056</v>
      </c>
      <c r="Q249" s="1" t="s">
        <v>1531</v>
      </c>
      <c r="R249" s="1">
        <f t="shared" si="3"/>
        <v>4</v>
      </c>
      <c r="S249" s="4">
        <f>J249*K249*M249</f>
        <v>52000</v>
      </c>
    </row>
    <row r="250" spans="1:19" ht="43" hidden="1" customHeight="1">
      <c r="A250" s="1" t="s">
        <v>2072</v>
      </c>
      <c r="B250" s="1" t="s">
        <v>146</v>
      </c>
      <c r="C250" s="29">
        <v>46020.386763703696</v>
      </c>
      <c r="D250" s="1" t="s">
        <v>3052</v>
      </c>
      <c r="E250" s="1" t="s">
        <v>3053</v>
      </c>
      <c r="F250" s="1">
        <v>38</v>
      </c>
      <c r="G250" s="12" t="s">
        <v>1354</v>
      </c>
      <c r="H250" s="1" t="s">
        <v>1354</v>
      </c>
      <c r="I250" s="1" t="s">
        <v>130</v>
      </c>
      <c r="J250" s="30">
        <v>200</v>
      </c>
      <c r="K250" s="30">
        <v>2500</v>
      </c>
      <c r="L250" s="31">
        <v>500000</v>
      </c>
      <c r="M250" s="1" t="s">
        <v>16</v>
      </c>
      <c r="N250" s="1" t="s">
        <v>17</v>
      </c>
      <c r="O250" s="1" t="s">
        <v>2057</v>
      </c>
      <c r="P250" s="1" t="s">
        <v>2056</v>
      </c>
      <c r="Q250" s="1" t="s">
        <v>275</v>
      </c>
      <c r="R250" s="1">
        <f t="shared" si="3"/>
        <v>4</v>
      </c>
      <c r="S250" s="4">
        <f>J250*K250*M250</f>
        <v>40000</v>
      </c>
    </row>
    <row r="251" spans="1:19" ht="43" hidden="1" customHeight="1">
      <c r="A251" s="1" t="s">
        <v>2280</v>
      </c>
      <c r="B251" s="1" t="s">
        <v>1400</v>
      </c>
      <c r="C251" s="29">
        <v>45990.721094398097</v>
      </c>
      <c r="D251" s="1" t="s">
        <v>3052</v>
      </c>
      <c r="E251" s="1" t="s">
        <v>3053</v>
      </c>
      <c r="F251" s="1">
        <v>64</v>
      </c>
      <c r="G251" s="12" t="s">
        <v>1354</v>
      </c>
      <c r="H251" s="1" t="s">
        <v>1354</v>
      </c>
      <c r="I251" s="1" t="s">
        <v>130</v>
      </c>
      <c r="J251" s="30">
        <v>500</v>
      </c>
      <c r="K251" s="30">
        <v>2500</v>
      </c>
      <c r="L251" s="31">
        <v>1250000</v>
      </c>
      <c r="M251" s="1" t="s">
        <v>16</v>
      </c>
      <c r="N251" s="1" t="s">
        <v>17</v>
      </c>
      <c r="O251" s="1" t="s">
        <v>2057</v>
      </c>
      <c r="P251" s="1" t="s">
        <v>2056</v>
      </c>
      <c r="Q251" s="1" t="s">
        <v>1531</v>
      </c>
      <c r="R251" s="1">
        <f t="shared" si="3"/>
        <v>4</v>
      </c>
      <c r="S251" s="4">
        <f>J251*K251*M251</f>
        <v>100000</v>
      </c>
    </row>
    <row r="252" spans="1:19" ht="43" hidden="1" customHeight="1">
      <c r="A252" s="1" t="s">
        <v>2280</v>
      </c>
      <c r="B252" s="1" t="s">
        <v>1402</v>
      </c>
      <c r="C252" s="29">
        <v>45990.382403298601</v>
      </c>
      <c r="D252" s="1" t="s">
        <v>3052</v>
      </c>
      <c r="E252" s="1" t="s">
        <v>3053</v>
      </c>
      <c r="F252" s="1">
        <v>22</v>
      </c>
      <c r="G252" s="12" t="s">
        <v>1354</v>
      </c>
      <c r="H252" s="1" t="s">
        <v>1354</v>
      </c>
      <c r="I252" s="1" t="s">
        <v>130</v>
      </c>
      <c r="J252" s="30">
        <v>20</v>
      </c>
      <c r="K252" s="30">
        <v>35000</v>
      </c>
      <c r="L252" s="31">
        <v>700000</v>
      </c>
      <c r="M252" s="1" t="s">
        <v>16</v>
      </c>
      <c r="N252" s="1" t="s">
        <v>17</v>
      </c>
      <c r="O252" s="1" t="s">
        <v>2057</v>
      </c>
      <c r="P252" s="1" t="s">
        <v>2056</v>
      </c>
      <c r="Q252" s="1" t="s">
        <v>1531</v>
      </c>
      <c r="R252" s="1">
        <f t="shared" si="3"/>
        <v>4</v>
      </c>
      <c r="S252" s="4">
        <f>J252*K252*M252</f>
        <v>56000</v>
      </c>
    </row>
    <row r="253" spans="1:19" ht="43" customHeight="1">
      <c r="A253" s="1" t="s">
        <v>2280</v>
      </c>
      <c r="B253" s="1" t="s">
        <v>13</v>
      </c>
      <c r="C253" s="29">
        <v>45776.499996342602</v>
      </c>
      <c r="D253" s="1" t="s">
        <v>3052</v>
      </c>
      <c r="E253" s="1" t="s">
        <v>3053</v>
      </c>
      <c r="F253" s="1">
        <v>55</v>
      </c>
      <c r="H253" s="1" t="s">
        <v>1962</v>
      </c>
      <c r="I253" s="1" t="s">
        <v>130</v>
      </c>
      <c r="J253" s="30">
        <v>10</v>
      </c>
      <c r="K253" s="30">
        <v>25000</v>
      </c>
      <c r="L253" s="31">
        <v>250000</v>
      </c>
      <c r="M253" s="1" t="s">
        <v>16</v>
      </c>
      <c r="N253" s="1" t="s">
        <v>17</v>
      </c>
      <c r="O253" s="1" t="s">
        <v>2057</v>
      </c>
      <c r="P253" s="1" t="s">
        <v>2056</v>
      </c>
      <c r="Q253" s="1" t="s">
        <v>937</v>
      </c>
      <c r="R253" s="1">
        <f t="shared" si="3"/>
        <v>2</v>
      </c>
      <c r="S253" s="4">
        <f>J253*K253*M253</f>
        <v>20000</v>
      </c>
    </row>
    <row r="254" spans="1:19" ht="43" customHeight="1">
      <c r="A254" s="1" t="s">
        <v>2280</v>
      </c>
      <c r="B254" s="1" t="s">
        <v>13</v>
      </c>
      <c r="C254" s="29">
        <v>45776.499996342602</v>
      </c>
      <c r="D254" s="1" t="s">
        <v>3052</v>
      </c>
      <c r="E254" s="1" t="s">
        <v>3053</v>
      </c>
      <c r="F254" s="1">
        <v>54</v>
      </c>
      <c r="H254" s="1" t="s">
        <v>1961</v>
      </c>
      <c r="I254" s="1" t="s">
        <v>130</v>
      </c>
      <c r="J254" s="30">
        <v>30</v>
      </c>
      <c r="K254" s="30">
        <v>25000</v>
      </c>
      <c r="L254" s="31">
        <v>750000</v>
      </c>
      <c r="M254" s="1" t="s">
        <v>16</v>
      </c>
      <c r="N254" s="1" t="s">
        <v>17</v>
      </c>
      <c r="O254" s="1" t="s">
        <v>2057</v>
      </c>
      <c r="P254" s="1" t="s">
        <v>2056</v>
      </c>
      <c r="Q254" s="1" t="s">
        <v>937</v>
      </c>
      <c r="R254" s="1">
        <f t="shared" si="3"/>
        <v>2</v>
      </c>
      <c r="S254" s="4">
        <f>J254*K254*M254</f>
        <v>60000</v>
      </c>
    </row>
    <row r="255" spans="1:19" ht="43" customHeight="1">
      <c r="A255" s="1" t="s">
        <v>2280</v>
      </c>
      <c r="B255" s="1" t="s">
        <v>13</v>
      </c>
      <c r="C255" s="29">
        <v>45776.499996342602</v>
      </c>
      <c r="D255" s="1" t="s">
        <v>3052</v>
      </c>
      <c r="E255" s="1" t="s">
        <v>3053</v>
      </c>
      <c r="F255" s="1">
        <v>9</v>
      </c>
      <c r="H255" s="1" t="s">
        <v>1928</v>
      </c>
      <c r="I255" s="1" t="s">
        <v>15</v>
      </c>
      <c r="J255" s="30">
        <v>6</v>
      </c>
      <c r="K255" s="30">
        <v>10000</v>
      </c>
      <c r="L255" s="31">
        <v>60000</v>
      </c>
      <c r="M255" s="1" t="s">
        <v>16</v>
      </c>
      <c r="N255" s="1" t="s">
        <v>17</v>
      </c>
      <c r="O255" s="1" t="s">
        <v>2057</v>
      </c>
      <c r="P255" s="1" t="s">
        <v>2056</v>
      </c>
      <c r="Q255" s="1" t="s">
        <v>937</v>
      </c>
      <c r="R255" s="1">
        <f t="shared" si="3"/>
        <v>2</v>
      </c>
      <c r="S255" s="4">
        <f>J255*K255*M255</f>
        <v>4800</v>
      </c>
    </row>
    <row r="256" spans="1:19" ht="43" hidden="1" customHeight="1">
      <c r="A256" s="1" t="s">
        <v>2280</v>
      </c>
      <c r="B256" s="1" t="s">
        <v>136</v>
      </c>
      <c r="C256" s="29">
        <v>45709.704236689802</v>
      </c>
      <c r="D256" s="1" t="s">
        <v>3052</v>
      </c>
      <c r="E256" s="1" t="s">
        <v>3053</v>
      </c>
      <c r="F256" s="1">
        <v>3</v>
      </c>
      <c r="G256" s="12" t="s">
        <v>2043</v>
      </c>
      <c r="H256" s="1" t="s">
        <v>2043</v>
      </c>
      <c r="I256" s="1" t="s">
        <v>130</v>
      </c>
      <c r="J256" s="30">
        <v>8</v>
      </c>
      <c r="K256" s="30">
        <v>2000</v>
      </c>
      <c r="L256" s="31">
        <v>16000</v>
      </c>
      <c r="M256" s="1" t="s">
        <v>30</v>
      </c>
      <c r="N256" s="1" t="s">
        <v>17</v>
      </c>
      <c r="O256" s="1" t="s">
        <v>2057</v>
      </c>
      <c r="P256" s="1" t="s">
        <v>2056</v>
      </c>
      <c r="Q256" s="1" t="s">
        <v>2040</v>
      </c>
      <c r="R256" s="1">
        <f t="shared" si="3"/>
        <v>1</v>
      </c>
      <c r="S256" s="4">
        <f>J256*K256*M256</f>
        <v>1600</v>
      </c>
    </row>
    <row r="257" spans="1:19" ht="43" customHeight="1">
      <c r="A257" s="1" t="s">
        <v>2280</v>
      </c>
      <c r="B257" s="1" t="s">
        <v>221</v>
      </c>
      <c r="C257" s="29">
        <v>45776.500553657403</v>
      </c>
      <c r="D257" s="1" t="s">
        <v>3052</v>
      </c>
      <c r="E257" s="1" t="s">
        <v>3053</v>
      </c>
      <c r="F257" s="1">
        <v>18</v>
      </c>
      <c r="H257" s="1" t="s">
        <v>1912</v>
      </c>
      <c r="I257" s="1" t="s">
        <v>130</v>
      </c>
      <c r="J257" s="30">
        <v>1</v>
      </c>
      <c r="K257" s="30">
        <v>25000</v>
      </c>
      <c r="L257" s="31">
        <v>25000</v>
      </c>
      <c r="M257" s="1" t="s">
        <v>30</v>
      </c>
      <c r="N257" s="1" t="s">
        <v>17</v>
      </c>
      <c r="O257" s="1" t="s">
        <v>2057</v>
      </c>
      <c r="P257" s="1" t="s">
        <v>2056</v>
      </c>
      <c r="Q257" s="1" t="s">
        <v>937</v>
      </c>
      <c r="R257" s="1">
        <f t="shared" si="3"/>
        <v>2</v>
      </c>
      <c r="S257" s="4">
        <f>J257*K257*M257</f>
        <v>2500</v>
      </c>
    </row>
    <row r="258" spans="1:19" ht="43" customHeight="1">
      <c r="A258" s="1" t="s">
        <v>2280</v>
      </c>
      <c r="B258" s="1" t="s">
        <v>221</v>
      </c>
      <c r="C258" s="29">
        <v>45776.500553657403</v>
      </c>
      <c r="D258" s="1" t="s">
        <v>3052</v>
      </c>
      <c r="E258" s="1" t="s">
        <v>3053</v>
      </c>
      <c r="F258" s="1">
        <v>4</v>
      </c>
      <c r="H258" s="1" t="s">
        <v>1904</v>
      </c>
      <c r="I258" s="1" t="s">
        <v>71</v>
      </c>
      <c r="J258" s="30">
        <v>20</v>
      </c>
      <c r="K258" s="30">
        <v>50000</v>
      </c>
      <c r="L258" s="31">
        <v>1000000</v>
      </c>
      <c r="M258" s="1" t="s">
        <v>30</v>
      </c>
      <c r="N258" s="1" t="s">
        <v>17</v>
      </c>
      <c r="O258" s="1" t="s">
        <v>2057</v>
      </c>
      <c r="P258" s="1" t="s">
        <v>2056</v>
      </c>
      <c r="Q258" s="1" t="s">
        <v>937</v>
      </c>
      <c r="R258" s="1">
        <f t="shared" si="3"/>
        <v>2</v>
      </c>
      <c r="S258" s="4">
        <f>J258*K258*M258</f>
        <v>100000</v>
      </c>
    </row>
    <row r="259" spans="1:19" ht="43" hidden="1" customHeight="1">
      <c r="A259" s="1" t="s">
        <v>2280</v>
      </c>
      <c r="B259" s="1" t="s">
        <v>154</v>
      </c>
      <c r="C259" s="29">
        <v>45910.439112419001</v>
      </c>
      <c r="D259" s="1" t="s">
        <v>3052</v>
      </c>
      <c r="E259" s="1" t="s">
        <v>3053</v>
      </c>
      <c r="F259" s="1">
        <v>1</v>
      </c>
      <c r="G259" s="12" t="s">
        <v>630</v>
      </c>
      <c r="H259" s="1" t="s">
        <v>630</v>
      </c>
      <c r="I259" s="1" t="s">
        <v>130</v>
      </c>
      <c r="J259" s="30">
        <v>100</v>
      </c>
      <c r="K259" s="30">
        <v>112000</v>
      </c>
      <c r="L259" s="31">
        <v>11200000</v>
      </c>
      <c r="M259" s="1" t="s">
        <v>16</v>
      </c>
      <c r="N259" s="1" t="s">
        <v>17</v>
      </c>
      <c r="O259" s="1" t="s">
        <v>2057</v>
      </c>
      <c r="P259" s="1" t="s">
        <v>2056</v>
      </c>
      <c r="Q259" s="1" t="s">
        <v>1652</v>
      </c>
      <c r="R259" s="1">
        <f t="shared" ref="R259:R322" si="4">ROUNDUP(MONTH(Q259)/3,0)</f>
        <v>3</v>
      </c>
      <c r="S259" s="4">
        <f>J259*K259*M259</f>
        <v>896000</v>
      </c>
    </row>
    <row r="260" spans="1:19" ht="43" hidden="1" customHeight="1">
      <c r="A260" s="1" t="s">
        <v>2280</v>
      </c>
      <c r="B260" s="1" t="s">
        <v>83</v>
      </c>
      <c r="C260" s="29">
        <v>45960.642424537</v>
      </c>
      <c r="D260" s="1" t="s">
        <v>3056</v>
      </c>
      <c r="E260" s="1" t="s">
        <v>3057</v>
      </c>
      <c r="F260" s="1">
        <v>3</v>
      </c>
      <c r="G260" s="12" t="s">
        <v>448</v>
      </c>
      <c r="H260" s="1" t="s">
        <v>448</v>
      </c>
      <c r="I260" s="1" t="s">
        <v>130</v>
      </c>
      <c r="J260" s="30">
        <v>4</v>
      </c>
      <c r="K260" s="30">
        <v>160000</v>
      </c>
      <c r="L260" s="31">
        <v>640000</v>
      </c>
      <c r="M260" s="1" t="s">
        <v>16</v>
      </c>
      <c r="N260" s="1" t="s">
        <v>17</v>
      </c>
      <c r="O260" s="1" t="s">
        <v>2057</v>
      </c>
      <c r="P260" s="1" t="s">
        <v>2056</v>
      </c>
      <c r="Q260" s="1" t="s">
        <v>533</v>
      </c>
      <c r="R260" s="1">
        <f t="shared" si="4"/>
        <v>4</v>
      </c>
      <c r="S260" s="4">
        <f>J260*K260*M260</f>
        <v>51200</v>
      </c>
    </row>
    <row r="261" spans="1:19" ht="43" hidden="1" customHeight="1">
      <c r="A261" s="1" t="s">
        <v>2280</v>
      </c>
      <c r="B261" s="1" t="s">
        <v>1400</v>
      </c>
      <c r="C261" s="29">
        <v>45990.721094398097</v>
      </c>
      <c r="D261" s="1" t="s">
        <v>3052</v>
      </c>
      <c r="E261" s="1" t="s">
        <v>3053</v>
      </c>
      <c r="F261" s="1">
        <v>58</v>
      </c>
      <c r="G261" s="12" t="s">
        <v>448</v>
      </c>
      <c r="H261" s="1" t="s">
        <v>1544</v>
      </c>
      <c r="I261" s="1" t="s">
        <v>130</v>
      </c>
      <c r="J261" s="30">
        <v>14</v>
      </c>
      <c r="K261" s="30">
        <v>160000</v>
      </c>
      <c r="L261" s="31">
        <v>2240000</v>
      </c>
      <c r="M261" s="1" t="s">
        <v>16</v>
      </c>
      <c r="N261" s="1" t="s">
        <v>17</v>
      </c>
      <c r="O261" s="1" t="s">
        <v>2057</v>
      </c>
      <c r="P261" s="1" t="s">
        <v>2056</v>
      </c>
      <c r="Q261" s="1" t="s">
        <v>1531</v>
      </c>
      <c r="R261" s="1">
        <f t="shared" si="4"/>
        <v>4</v>
      </c>
      <c r="S261" s="4">
        <f>J261*K261*M261</f>
        <v>179200</v>
      </c>
    </row>
    <row r="262" spans="1:19" ht="43" hidden="1" customHeight="1">
      <c r="A262" s="1" t="s">
        <v>2280</v>
      </c>
      <c r="B262" s="1" t="s">
        <v>1265</v>
      </c>
      <c r="C262" s="29">
        <v>45838.333036215299</v>
      </c>
      <c r="D262" s="1" t="s">
        <v>3052</v>
      </c>
      <c r="E262" s="1" t="s">
        <v>3053</v>
      </c>
      <c r="F262" s="1">
        <v>1</v>
      </c>
      <c r="G262" s="12" t="s">
        <v>885</v>
      </c>
      <c r="H262" s="1" t="s">
        <v>885</v>
      </c>
      <c r="I262" s="1" t="s">
        <v>15</v>
      </c>
      <c r="J262" s="30">
        <v>100</v>
      </c>
      <c r="K262" s="30">
        <v>112000</v>
      </c>
      <c r="L262" s="31">
        <v>11200000</v>
      </c>
      <c r="M262" s="1" t="s">
        <v>16</v>
      </c>
      <c r="N262" s="1" t="s">
        <v>17</v>
      </c>
      <c r="O262" s="1" t="s">
        <v>2057</v>
      </c>
      <c r="P262" s="1" t="s">
        <v>2056</v>
      </c>
      <c r="Q262" s="1" t="s">
        <v>828</v>
      </c>
      <c r="R262" s="1">
        <f t="shared" si="4"/>
        <v>2</v>
      </c>
      <c r="S262" s="4">
        <f>J262*K262*M262</f>
        <v>896000</v>
      </c>
    </row>
    <row r="263" spans="1:19" ht="43" hidden="1" customHeight="1">
      <c r="A263" s="1" t="s">
        <v>2280</v>
      </c>
      <c r="B263" s="1" t="s">
        <v>1245</v>
      </c>
      <c r="C263" s="29">
        <v>45804.588210289403</v>
      </c>
      <c r="D263" s="1" t="s">
        <v>3052</v>
      </c>
      <c r="E263" s="1" t="s">
        <v>3053</v>
      </c>
      <c r="F263" s="1">
        <v>1</v>
      </c>
      <c r="G263" s="12" t="s">
        <v>885</v>
      </c>
      <c r="H263" s="1" t="s">
        <v>885</v>
      </c>
      <c r="I263" s="1" t="s">
        <v>15</v>
      </c>
      <c r="J263" s="30">
        <v>100</v>
      </c>
      <c r="K263" s="30">
        <v>112000</v>
      </c>
      <c r="L263" s="31">
        <v>11200000</v>
      </c>
      <c r="M263" s="1" t="s">
        <v>16</v>
      </c>
      <c r="N263" s="1" t="s">
        <v>17</v>
      </c>
      <c r="O263" s="1" t="s">
        <v>2057</v>
      </c>
      <c r="P263" s="1" t="s">
        <v>2056</v>
      </c>
      <c r="Q263" s="1" t="s">
        <v>37</v>
      </c>
      <c r="R263" s="1">
        <f t="shared" si="4"/>
        <v>2</v>
      </c>
      <c r="S263" s="4">
        <f>J263*K263*M263</f>
        <v>896000</v>
      </c>
    </row>
    <row r="264" spans="1:19" ht="43" hidden="1" customHeight="1">
      <c r="A264" s="1" t="s">
        <v>2280</v>
      </c>
      <c r="B264" s="1" t="s">
        <v>1315</v>
      </c>
      <c r="C264" s="29">
        <v>45747.658940451402</v>
      </c>
      <c r="D264" s="1" t="s">
        <v>3071</v>
      </c>
      <c r="E264" s="1" t="s">
        <v>3053</v>
      </c>
      <c r="F264" s="1">
        <v>37</v>
      </c>
      <c r="G264" s="12" t="s">
        <v>2939</v>
      </c>
      <c r="H264" s="1" t="s">
        <v>2029</v>
      </c>
      <c r="I264" s="1" t="s">
        <v>71</v>
      </c>
      <c r="J264" s="30">
        <v>5</v>
      </c>
      <c r="K264" s="30">
        <v>135000</v>
      </c>
      <c r="L264" s="31">
        <v>675000</v>
      </c>
      <c r="M264" s="1" t="s">
        <v>30</v>
      </c>
      <c r="N264" s="1" t="s">
        <v>17</v>
      </c>
      <c r="O264" s="1" t="s">
        <v>2057</v>
      </c>
      <c r="P264" s="1" t="s">
        <v>2056</v>
      </c>
      <c r="Q264" s="1" t="s">
        <v>42</v>
      </c>
      <c r="R264" s="1">
        <f t="shared" si="4"/>
        <v>1</v>
      </c>
      <c r="S264" s="4">
        <f>J264*K264*M264</f>
        <v>67500</v>
      </c>
    </row>
    <row r="265" spans="1:19" ht="43" hidden="1" customHeight="1">
      <c r="A265" s="1" t="s">
        <v>2280</v>
      </c>
      <c r="B265" s="1" t="s">
        <v>1315</v>
      </c>
      <c r="C265" s="29">
        <v>45747.658940451402</v>
      </c>
      <c r="D265" s="1" t="s">
        <v>3071</v>
      </c>
      <c r="E265" s="1" t="s">
        <v>3053</v>
      </c>
      <c r="F265" s="1">
        <v>38</v>
      </c>
      <c r="G265" s="12" t="s">
        <v>2939</v>
      </c>
      <c r="H265" s="1" t="s">
        <v>2030</v>
      </c>
      <c r="I265" s="1" t="s">
        <v>71</v>
      </c>
      <c r="J265" s="30">
        <v>10</v>
      </c>
      <c r="K265" s="30">
        <v>280000</v>
      </c>
      <c r="L265" s="31">
        <v>2800000</v>
      </c>
      <c r="M265" s="1" t="s">
        <v>30</v>
      </c>
      <c r="N265" s="1" t="s">
        <v>17</v>
      </c>
      <c r="O265" s="1" t="s">
        <v>2057</v>
      </c>
      <c r="P265" s="1" t="s">
        <v>2056</v>
      </c>
      <c r="Q265" s="1" t="s">
        <v>42</v>
      </c>
      <c r="R265" s="1">
        <f t="shared" si="4"/>
        <v>1</v>
      </c>
      <c r="S265" s="4">
        <f>J265*K265*M265</f>
        <v>280000</v>
      </c>
    </row>
    <row r="266" spans="1:19" ht="43" hidden="1" customHeight="1">
      <c r="A266" s="1" t="s">
        <v>2280</v>
      </c>
      <c r="B266" s="1" t="s">
        <v>1315</v>
      </c>
      <c r="C266" s="29">
        <v>45747.658940451402</v>
      </c>
      <c r="D266" s="1" t="s">
        <v>3071</v>
      </c>
      <c r="E266" s="1" t="s">
        <v>3053</v>
      </c>
      <c r="F266" s="1">
        <v>27</v>
      </c>
      <c r="G266" s="12" t="s">
        <v>2940</v>
      </c>
      <c r="H266" s="1" t="s">
        <v>2020</v>
      </c>
      <c r="I266" s="1" t="s">
        <v>130</v>
      </c>
      <c r="J266" s="30">
        <v>100</v>
      </c>
      <c r="K266" s="30">
        <v>65000</v>
      </c>
      <c r="L266" s="31">
        <v>6500000</v>
      </c>
      <c r="M266" s="1" t="s">
        <v>30</v>
      </c>
      <c r="N266" s="1" t="s">
        <v>17</v>
      </c>
      <c r="O266" s="1" t="s">
        <v>2057</v>
      </c>
      <c r="P266" s="1" t="s">
        <v>2056</v>
      </c>
      <c r="Q266" s="1" t="s">
        <v>42</v>
      </c>
      <c r="R266" s="1">
        <f t="shared" si="4"/>
        <v>1</v>
      </c>
      <c r="S266" s="4">
        <f>J266*K266*M266</f>
        <v>650000</v>
      </c>
    </row>
    <row r="267" spans="1:19" ht="43" hidden="1" customHeight="1">
      <c r="A267" s="1" t="s">
        <v>2280</v>
      </c>
      <c r="B267" s="1" t="s">
        <v>1400</v>
      </c>
      <c r="C267" s="29">
        <v>45990.721094398097</v>
      </c>
      <c r="D267" s="1" t="s">
        <v>3052</v>
      </c>
      <c r="E267" s="1" t="s">
        <v>3053</v>
      </c>
      <c r="F267" s="1">
        <v>14</v>
      </c>
      <c r="G267" s="12" t="s">
        <v>1535</v>
      </c>
      <c r="H267" s="1" t="s">
        <v>1535</v>
      </c>
      <c r="I267" s="1" t="s">
        <v>71</v>
      </c>
      <c r="J267" s="30">
        <v>200</v>
      </c>
      <c r="K267" s="30">
        <v>25000</v>
      </c>
      <c r="L267" s="31">
        <v>5000000</v>
      </c>
      <c r="M267" s="1" t="s">
        <v>16</v>
      </c>
      <c r="N267" s="1" t="s">
        <v>17</v>
      </c>
      <c r="O267" s="1" t="s">
        <v>2057</v>
      </c>
      <c r="P267" s="1" t="s">
        <v>2056</v>
      </c>
      <c r="Q267" s="1" t="s">
        <v>1531</v>
      </c>
      <c r="R267" s="1">
        <f t="shared" si="4"/>
        <v>4</v>
      </c>
      <c r="S267" s="4">
        <f>J267*K267*M267</f>
        <v>400000</v>
      </c>
    </row>
    <row r="268" spans="1:19" ht="43" hidden="1" customHeight="1">
      <c r="A268" s="1" t="s">
        <v>2280</v>
      </c>
      <c r="B268" s="1" t="s">
        <v>1462</v>
      </c>
      <c r="C268" s="29">
        <v>45928.944135983802</v>
      </c>
      <c r="D268" s="1" t="s">
        <v>3052</v>
      </c>
      <c r="E268" s="1" t="s">
        <v>3053</v>
      </c>
      <c r="F268" s="1">
        <v>9</v>
      </c>
      <c r="G268" s="12" t="s">
        <v>622</v>
      </c>
      <c r="H268" s="1" t="s">
        <v>622</v>
      </c>
      <c r="I268" s="1" t="s">
        <v>71</v>
      </c>
      <c r="J268" s="30">
        <v>15</v>
      </c>
      <c r="K268" s="30">
        <v>25000</v>
      </c>
      <c r="L268" s="31">
        <v>375000</v>
      </c>
      <c r="M268" s="1" t="s">
        <v>16</v>
      </c>
      <c r="N268" s="1" t="s">
        <v>17</v>
      </c>
      <c r="O268" s="1" t="s">
        <v>2057</v>
      </c>
      <c r="P268" s="1" t="s">
        <v>2056</v>
      </c>
      <c r="Q268" s="1" t="s">
        <v>546</v>
      </c>
      <c r="R268" s="1">
        <f t="shared" si="4"/>
        <v>3</v>
      </c>
      <c r="S268" s="4">
        <f>J268*K268*M268</f>
        <v>30000</v>
      </c>
    </row>
    <row r="269" spans="1:19" ht="43" hidden="1" customHeight="1">
      <c r="A269" s="1" t="s">
        <v>2280</v>
      </c>
      <c r="B269" s="1" t="s">
        <v>1262</v>
      </c>
      <c r="C269" s="29">
        <v>45838.622051655097</v>
      </c>
      <c r="D269" s="1" t="s">
        <v>3052</v>
      </c>
      <c r="E269" s="1" t="s">
        <v>3053</v>
      </c>
      <c r="F269" s="1">
        <v>22</v>
      </c>
      <c r="G269" s="12" t="s">
        <v>1814</v>
      </c>
      <c r="H269" s="1" t="s">
        <v>1814</v>
      </c>
      <c r="I269" s="1" t="s">
        <v>71</v>
      </c>
      <c r="J269" s="30">
        <v>50</v>
      </c>
      <c r="K269" s="30">
        <v>55000</v>
      </c>
      <c r="L269" s="31">
        <v>2750000</v>
      </c>
      <c r="M269" s="1" t="s">
        <v>30</v>
      </c>
      <c r="N269" s="1" t="s">
        <v>17</v>
      </c>
      <c r="O269" s="1" t="s">
        <v>2057</v>
      </c>
      <c r="P269" s="1" t="s">
        <v>2056</v>
      </c>
      <c r="Q269" s="1" t="s">
        <v>828</v>
      </c>
      <c r="R269" s="1">
        <f t="shared" si="4"/>
        <v>2</v>
      </c>
      <c r="S269" s="4">
        <f>J269*K269*M269</f>
        <v>275000</v>
      </c>
    </row>
    <row r="270" spans="1:19" ht="43" customHeight="1">
      <c r="A270" s="1" t="s">
        <v>2280</v>
      </c>
      <c r="B270" s="1" t="s">
        <v>1262</v>
      </c>
      <c r="C270" s="29">
        <v>45838.622051655097</v>
      </c>
      <c r="D270" s="1" t="s">
        <v>3052</v>
      </c>
      <c r="E270" s="1" t="s">
        <v>3053</v>
      </c>
      <c r="F270" s="1">
        <v>23</v>
      </c>
      <c r="H270" s="1" t="s">
        <v>1815</v>
      </c>
      <c r="I270" s="1" t="s">
        <v>71</v>
      </c>
      <c r="J270" s="30">
        <v>30</v>
      </c>
      <c r="K270" s="30">
        <v>86000</v>
      </c>
      <c r="L270" s="31">
        <v>2580000</v>
      </c>
      <c r="M270" s="1" t="s">
        <v>30</v>
      </c>
      <c r="N270" s="1" t="s">
        <v>17</v>
      </c>
      <c r="O270" s="1" t="s">
        <v>2057</v>
      </c>
      <c r="P270" s="1" t="s">
        <v>2056</v>
      </c>
      <c r="Q270" s="1" t="s">
        <v>828</v>
      </c>
      <c r="R270" s="1">
        <f t="shared" si="4"/>
        <v>2</v>
      </c>
      <c r="S270" s="4">
        <f>J270*K270*M270</f>
        <v>258000</v>
      </c>
    </row>
    <row r="271" spans="1:19" ht="43" customHeight="1">
      <c r="A271" s="1" t="s">
        <v>2280</v>
      </c>
      <c r="B271" s="1" t="s">
        <v>1272</v>
      </c>
      <c r="C271" s="29">
        <v>45836.414122164402</v>
      </c>
      <c r="D271" s="1" t="s">
        <v>3052</v>
      </c>
      <c r="E271" s="1" t="s">
        <v>3053</v>
      </c>
      <c r="F271" s="1">
        <v>20</v>
      </c>
      <c r="H271" s="1" t="s">
        <v>1848</v>
      </c>
      <c r="I271" s="1" t="s">
        <v>1342</v>
      </c>
      <c r="J271" s="30">
        <v>200</v>
      </c>
      <c r="K271" s="30">
        <v>25000</v>
      </c>
      <c r="L271" s="31">
        <v>5000000</v>
      </c>
      <c r="M271" s="1" t="s">
        <v>30</v>
      </c>
      <c r="N271" s="1" t="s">
        <v>17</v>
      </c>
      <c r="O271" s="1" t="s">
        <v>2057</v>
      </c>
      <c r="P271" s="1" t="s">
        <v>2056</v>
      </c>
      <c r="Q271" s="1" t="s">
        <v>845</v>
      </c>
      <c r="R271" s="1">
        <f t="shared" si="4"/>
        <v>2</v>
      </c>
      <c r="S271" s="4">
        <f>J271*K271*M271</f>
        <v>500000</v>
      </c>
    </row>
    <row r="272" spans="1:19" ht="43" hidden="1" customHeight="1">
      <c r="A272" s="1" t="s">
        <v>2280</v>
      </c>
      <c r="B272" s="1" t="s">
        <v>1315</v>
      </c>
      <c r="C272" s="29">
        <v>45747.658940451402</v>
      </c>
      <c r="D272" s="1" t="s">
        <v>3071</v>
      </c>
      <c r="E272" s="1" t="s">
        <v>3053</v>
      </c>
      <c r="F272" s="1">
        <v>28</v>
      </c>
      <c r="G272" s="12" t="s">
        <v>1140</v>
      </c>
      <c r="H272" s="1" t="s">
        <v>2021</v>
      </c>
      <c r="I272" s="1" t="s">
        <v>71</v>
      </c>
      <c r="J272" s="30">
        <v>30</v>
      </c>
      <c r="K272" s="30">
        <v>7000</v>
      </c>
      <c r="L272" s="31">
        <v>210000</v>
      </c>
      <c r="M272" s="1" t="s">
        <v>30</v>
      </c>
      <c r="N272" s="1" t="s">
        <v>17</v>
      </c>
      <c r="O272" s="1" t="s">
        <v>2057</v>
      </c>
      <c r="P272" s="1" t="s">
        <v>2056</v>
      </c>
      <c r="Q272" s="1" t="s">
        <v>42</v>
      </c>
      <c r="R272" s="1">
        <f t="shared" si="4"/>
        <v>1</v>
      </c>
      <c r="S272" s="4">
        <f>J272*K272*M272</f>
        <v>21000</v>
      </c>
    </row>
    <row r="273" spans="1:19" ht="43" customHeight="1">
      <c r="A273" s="1" t="s">
        <v>2280</v>
      </c>
      <c r="B273" s="1" t="s">
        <v>221</v>
      </c>
      <c r="C273" s="29">
        <v>45776.500553657403</v>
      </c>
      <c r="D273" s="1" t="s">
        <v>3052</v>
      </c>
      <c r="E273" s="1" t="s">
        <v>3053</v>
      </c>
      <c r="F273" s="1">
        <v>3</v>
      </c>
      <c r="H273" s="1" t="s">
        <v>1903</v>
      </c>
      <c r="I273" s="1" t="s">
        <v>71</v>
      </c>
      <c r="J273" s="30">
        <v>30</v>
      </c>
      <c r="K273" s="30">
        <v>8000</v>
      </c>
      <c r="L273" s="31">
        <v>240000</v>
      </c>
      <c r="M273" s="1" t="s">
        <v>30</v>
      </c>
      <c r="N273" s="1" t="s">
        <v>17</v>
      </c>
      <c r="O273" s="1" t="s">
        <v>2057</v>
      </c>
      <c r="P273" s="1" t="s">
        <v>2056</v>
      </c>
      <c r="Q273" s="1" t="s">
        <v>937</v>
      </c>
      <c r="R273" s="1">
        <f t="shared" si="4"/>
        <v>2</v>
      </c>
      <c r="S273" s="4">
        <f>J273*K273*M273</f>
        <v>24000</v>
      </c>
    </row>
    <row r="274" spans="1:19" ht="43" hidden="1" customHeight="1">
      <c r="A274" s="1" t="s">
        <v>2072</v>
      </c>
      <c r="B274" s="1" t="s">
        <v>1294</v>
      </c>
      <c r="C274" s="29">
        <v>46021.613942164397</v>
      </c>
      <c r="D274" s="1" t="s">
        <v>3052</v>
      </c>
      <c r="E274" s="1" t="s">
        <v>3053</v>
      </c>
      <c r="F274" s="1">
        <v>36</v>
      </c>
      <c r="G274" s="12" t="s">
        <v>1435</v>
      </c>
      <c r="H274" s="1" t="s">
        <v>1435</v>
      </c>
      <c r="I274" s="1" t="s">
        <v>71</v>
      </c>
      <c r="J274" s="30">
        <v>200</v>
      </c>
      <c r="K274" s="30">
        <v>28000</v>
      </c>
      <c r="L274" s="31">
        <v>5600000</v>
      </c>
      <c r="M274" s="1" t="s">
        <v>16</v>
      </c>
      <c r="N274" s="1" t="s">
        <v>17</v>
      </c>
      <c r="O274" s="1" t="s">
        <v>2057</v>
      </c>
      <c r="P274" s="1" t="s">
        <v>2056</v>
      </c>
      <c r="Q274" s="1" t="s">
        <v>1474</v>
      </c>
      <c r="R274" s="1">
        <f t="shared" si="4"/>
        <v>4</v>
      </c>
      <c r="S274" s="4">
        <f>J274*K274*M274</f>
        <v>448000</v>
      </c>
    </row>
    <row r="275" spans="1:19" ht="43" hidden="1" customHeight="1">
      <c r="A275" s="1" t="s">
        <v>2280</v>
      </c>
      <c r="B275" s="1" t="s">
        <v>1262</v>
      </c>
      <c r="C275" s="29">
        <v>45838.622051655097</v>
      </c>
      <c r="D275" s="1" t="s">
        <v>3052</v>
      </c>
      <c r="E275" s="1" t="s">
        <v>3053</v>
      </c>
      <c r="F275" s="1">
        <v>16</v>
      </c>
      <c r="G275" s="12" t="s">
        <v>1435</v>
      </c>
      <c r="H275" s="1" t="s">
        <v>1811</v>
      </c>
      <c r="I275" s="1" t="s">
        <v>1342</v>
      </c>
      <c r="J275" s="30">
        <v>45</v>
      </c>
      <c r="K275" s="30">
        <v>13000</v>
      </c>
      <c r="L275" s="31">
        <v>585000</v>
      </c>
      <c r="M275" s="1" t="s">
        <v>30</v>
      </c>
      <c r="N275" s="1" t="s">
        <v>17</v>
      </c>
      <c r="O275" s="1" t="s">
        <v>2057</v>
      </c>
      <c r="P275" s="1" t="s">
        <v>2056</v>
      </c>
      <c r="Q275" s="1" t="s">
        <v>828</v>
      </c>
      <c r="R275" s="1">
        <f t="shared" si="4"/>
        <v>2</v>
      </c>
      <c r="S275" s="4">
        <f>J275*K275*M275</f>
        <v>58500</v>
      </c>
    </row>
    <row r="276" spans="1:19" ht="43" customHeight="1">
      <c r="A276" s="1" t="s">
        <v>2280</v>
      </c>
      <c r="B276" s="1" t="s">
        <v>1262</v>
      </c>
      <c r="C276" s="29">
        <v>45838.622051655097</v>
      </c>
      <c r="D276" s="1" t="s">
        <v>3052</v>
      </c>
      <c r="E276" s="1" t="s">
        <v>3053</v>
      </c>
      <c r="F276" s="1">
        <v>15</v>
      </c>
      <c r="H276" s="1" t="s">
        <v>1810</v>
      </c>
      <c r="I276" s="1" t="s">
        <v>1342</v>
      </c>
      <c r="J276" s="30">
        <v>60</v>
      </c>
      <c r="K276" s="30">
        <v>18000</v>
      </c>
      <c r="L276" s="31">
        <v>1080000</v>
      </c>
      <c r="M276" s="1" t="s">
        <v>30</v>
      </c>
      <c r="N276" s="1" t="s">
        <v>17</v>
      </c>
      <c r="O276" s="1" t="s">
        <v>2057</v>
      </c>
      <c r="P276" s="1" t="s">
        <v>2056</v>
      </c>
      <c r="Q276" s="1" t="s">
        <v>828</v>
      </c>
      <c r="R276" s="1">
        <f t="shared" si="4"/>
        <v>2</v>
      </c>
      <c r="S276" s="4">
        <f>J276*K276*M276</f>
        <v>108000</v>
      </c>
    </row>
    <row r="277" spans="1:19" ht="43" hidden="1" customHeight="1">
      <c r="A277" s="1" t="s">
        <v>2280</v>
      </c>
      <c r="B277" s="1" t="s">
        <v>1262</v>
      </c>
      <c r="C277" s="29">
        <v>45838.622051655097</v>
      </c>
      <c r="D277" s="1" t="s">
        <v>3052</v>
      </c>
      <c r="E277" s="1" t="s">
        <v>3053</v>
      </c>
      <c r="F277" s="1">
        <v>2</v>
      </c>
      <c r="G277" s="12" t="s">
        <v>1548</v>
      </c>
      <c r="H277" s="1" t="s">
        <v>1802</v>
      </c>
      <c r="I277" s="1" t="s">
        <v>71</v>
      </c>
      <c r="J277" s="30">
        <v>200</v>
      </c>
      <c r="K277" s="30">
        <v>35000</v>
      </c>
      <c r="L277" s="31">
        <v>7000000</v>
      </c>
      <c r="M277" s="1" t="s">
        <v>30</v>
      </c>
      <c r="N277" s="1" t="s">
        <v>17</v>
      </c>
      <c r="O277" s="1" t="s">
        <v>2057</v>
      </c>
      <c r="P277" s="1" t="s">
        <v>2056</v>
      </c>
      <c r="Q277" s="1" t="s">
        <v>828</v>
      </c>
      <c r="R277" s="1">
        <f t="shared" si="4"/>
        <v>2</v>
      </c>
      <c r="S277" s="4">
        <f>J277*K277*M277</f>
        <v>700000</v>
      </c>
    </row>
    <row r="278" spans="1:19" ht="43" customHeight="1">
      <c r="A278" s="1" t="s">
        <v>2280</v>
      </c>
      <c r="B278" s="1" t="s">
        <v>1272</v>
      </c>
      <c r="C278" s="29">
        <v>45836.414122164402</v>
      </c>
      <c r="D278" s="1" t="s">
        <v>3052</v>
      </c>
      <c r="E278" s="1" t="s">
        <v>3053</v>
      </c>
      <c r="F278" s="1">
        <v>10</v>
      </c>
      <c r="H278" s="1" t="s">
        <v>1843</v>
      </c>
      <c r="I278" s="1" t="s">
        <v>1342</v>
      </c>
      <c r="J278" s="30">
        <v>200</v>
      </c>
      <c r="K278" s="30">
        <v>35000</v>
      </c>
      <c r="L278" s="31">
        <v>7000000</v>
      </c>
      <c r="M278" s="1" t="s">
        <v>30</v>
      </c>
      <c r="N278" s="1" t="s">
        <v>17</v>
      </c>
      <c r="O278" s="1" t="s">
        <v>2057</v>
      </c>
      <c r="P278" s="1" t="s">
        <v>2056</v>
      </c>
      <c r="Q278" s="1" t="s">
        <v>845</v>
      </c>
      <c r="R278" s="1">
        <f t="shared" si="4"/>
        <v>2</v>
      </c>
      <c r="S278" s="4">
        <f>J278*K278*M278</f>
        <v>700000</v>
      </c>
    </row>
    <row r="279" spans="1:19" ht="43" hidden="1" customHeight="1">
      <c r="A279" s="1" t="s">
        <v>2280</v>
      </c>
      <c r="B279" s="1" t="s">
        <v>221</v>
      </c>
      <c r="C279" s="29">
        <v>45776.500553657403</v>
      </c>
      <c r="D279" s="1" t="s">
        <v>3052</v>
      </c>
      <c r="E279" s="1" t="s">
        <v>3053</v>
      </c>
      <c r="F279" s="1">
        <v>1</v>
      </c>
      <c r="G279" s="12" t="s">
        <v>2263</v>
      </c>
      <c r="H279" s="1" t="s">
        <v>1901</v>
      </c>
      <c r="I279" s="1" t="s">
        <v>71</v>
      </c>
      <c r="J279" s="30">
        <v>100</v>
      </c>
      <c r="K279" s="30">
        <v>21000</v>
      </c>
      <c r="L279" s="31">
        <v>2100000</v>
      </c>
      <c r="M279" s="1" t="s">
        <v>30</v>
      </c>
      <c r="N279" s="1" t="s">
        <v>17</v>
      </c>
      <c r="O279" s="1" t="s">
        <v>2057</v>
      </c>
      <c r="P279" s="1" t="s">
        <v>2056</v>
      </c>
      <c r="Q279" s="1" t="s">
        <v>937</v>
      </c>
      <c r="R279" s="1">
        <f t="shared" si="4"/>
        <v>2</v>
      </c>
      <c r="S279" s="4">
        <f>J279*K279*M279</f>
        <v>210000</v>
      </c>
    </row>
    <row r="280" spans="1:19" ht="43" hidden="1" customHeight="1">
      <c r="A280" s="1" t="s">
        <v>2280</v>
      </c>
      <c r="B280" s="1" t="s">
        <v>717</v>
      </c>
      <c r="C280" s="29">
        <v>45807.729117129602</v>
      </c>
      <c r="D280" s="1" t="s">
        <v>3052</v>
      </c>
      <c r="E280" s="1" t="s">
        <v>3053</v>
      </c>
      <c r="F280" s="1">
        <v>6</v>
      </c>
      <c r="G280" s="12" t="s">
        <v>2263</v>
      </c>
      <c r="H280" s="1" t="s">
        <v>1876</v>
      </c>
      <c r="I280" s="1" t="s">
        <v>71</v>
      </c>
      <c r="J280" s="30">
        <v>200</v>
      </c>
      <c r="K280" s="30">
        <v>21000</v>
      </c>
      <c r="L280" s="31">
        <v>4200000</v>
      </c>
      <c r="M280" s="1" t="s">
        <v>30</v>
      </c>
      <c r="N280" s="1" t="s">
        <v>17</v>
      </c>
      <c r="O280" s="1" t="s">
        <v>2057</v>
      </c>
      <c r="P280" s="1" t="s">
        <v>2056</v>
      </c>
      <c r="Q280" s="1" t="s">
        <v>925</v>
      </c>
      <c r="R280" s="1">
        <f t="shared" si="4"/>
        <v>2</v>
      </c>
      <c r="S280" s="4">
        <f>J280*K280*M280</f>
        <v>420000</v>
      </c>
    </row>
    <row r="281" spans="1:19" ht="43" hidden="1" customHeight="1">
      <c r="A281" s="1" t="s">
        <v>2280</v>
      </c>
      <c r="B281" s="1" t="s">
        <v>221</v>
      </c>
      <c r="C281" s="29">
        <v>45776.500553657403</v>
      </c>
      <c r="D281" s="1" t="s">
        <v>3052</v>
      </c>
      <c r="E281" s="1" t="s">
        <v>3053</v>
      </c>
      <c r="F281" s="1">
        <v>2</v>
      </c>
      <c r="G281" s="12" t="s">
        <v>1548</v>
      </c>
      <c r="H281" s="1" t="s">
        <v>1902</v>
      </c>
      <c r="I281" s="1" t="s">
        <v>71</v>
      </c>
      <c r="J281" s="30">
        <v>60</v>
      </c>
      <c r="K281" s="30">
        <v>35000</v>
      </c>
      <c r="L281" s="31">
        <v>2100000</v>
      </c>
      <c r="M281" s="1" t="s">
        <v>30</v>
      </c>
      <c r="N281" s="1" t="s">
        <v>17</v>
      </c>
      <c r="O281" s="1" t="s">
        <v>2057</v>
      </c>
      <c r="P281" s="1" t="s">
        <v>2056</v>
      </c>
      <c r="Q281" s="1" t="s">
        <v>937</v>
      </c>
      <c r="R281" s="1">
        <f t="shared" si="4"/>
        <v>2</v>
      </c>
      <c r="S281" s="4">
        <f>J281*K281*M281</f>
        <v>210000</v>
      </c>
    </row>
    <row r="282" spans="1:19" ht="43" hidden="1" customHeight="1">
      <c r="A282" s="1" t="s">
        <v>2280</v>
      </c>
      <c r="B282" s="1" t="s">
        <v>1262</v>
      </c>
      <c r="C282" s="29">
        <v>45838.622051655097</v>
      </c>
      <c r="D282" s="1" t="s">
        <v>3052</v>
      </c>
      <c r="E282" s="1" t="s">
        <v>3053</v>
      </c>
      <c r="F282" s="1">
        <v>24</v>
      </c>
      <c r="G282" s="12" t="s">
        <v>1816</v>
      </c>
      <c r="H282" s="1" t="s">
        <v>1816</v>
      </c>
      <c r="I282" s="1" t="s">
        <v>71</v>
      </c>
      <c r="J282" s="30">
        <v>60</v>
      </c>
      <c r="K282" s="30">
        <v>60000</v>
      </c>
      <c r="L282" s="31">
        <v>3600000</v>
      </c>
      <c r="M282" s="1" t="s">
        <v>30</v>
      </c>
      <c r="N282" s="1" t="s">
        <v>17</v>
      </c>
      <c r="O282" s="1" t="s">
        <v>2057</v>
      </c>
      <c r="P282" s="1" t="s">
        <v>2056</v>
      </c>
      <c r="Q282" s="1" t="s">
        <v>828</v>
      </c>
      <c r="R282" s="1">
        <f t="shared" si="4"/>
        <v>2</v>
      </c>
      <c r="S282" s="4">
        <f>J282*K282*M282</f>
        <v>360000</v>
      </c>
    </row>
    <row r="283" spans="1:19" ht="43" customHeight="1">
      <c r="A283" s="1" t="s">
        <v>2280</v>
      </c>
      <c r="B283" s="1" t="s">
        <v>1315</v>
      </c>
      <c r="C283" s="29">
        <v>45747.658940451402</v>
      </c>
      <c r="D283" s="1" t="s">
        <v>3071</v>
      </c>
      <c r="E283" s="1" t="s">
        <v>3053</v>
      </c>
      <c r="F283" s="1">
        <v>17</v>
      </c>
      <c r="H283" s="1" t="s">
        <v>2011</v>
      </c>
      <c r="I283" s="1" t="s">
        <v>71</v>
      </c>
      <c r="J283" s="30">
        <v>600</v>
      </c>
      <c r="K283" s="30">
        <v>27000</v>
      </c>
      <c r="L283" s="31">
        <v>16200000</v>
      </c>
      <c r="M283" s="1" t="s">
        <v>30</v>
      </c>
      <c r="N283" s="1" t="s">
        <v>17</v>
      </c>
      <c r="O283" s="1" t="s">
        <v>2057</v>
      </c>
      <c r="P283" s="1" t="s">
        <v>2056</v>
      </c>
      <c r="Q283" s="1" t="s">
        <v>42</v>
      </c>
      <c r="R283" s="1">
        <f t="shared" si="4"/>
        <v>1</v>
      </c>
      <c r="S283" s="4">
        <f>J283*K283*M283</f>
        <v>1620000</v>
      </c>
    </row>
    <row r="284" spans="1:19" ht="43" customHeight="1">
      <c r="A284" s="1" t="s">
        <v>2280</v>
      </c>
      <c r="B284" s="1" t="s">
        <v>717</v>
      </c>
      <c r="C284" s="29">
        <v>45807.729117129602</v>
      </c>
      <c r="D284" s="1" t="s">
        <v>3052</v>
      </c>
      <c r="E284" s="1" t="s">
        <v>3053</v>
      </c>
      <c r="F284" s="1">
        <v>5</v>
      </c>
      <c r="H284" s="1" t="s">
        <v>1875</v>
      </c>
      <c r="I284" s="1" t="s">
        <v>71</v>
      </c>
      <c r="J284" s="30">
        <v>100</v>
      </c>
      <c r="K284" s="30">
        <v>35000</v>
      </c>
      <c r="L284" s="31">
        <v>3500000</v>
      </c>
      <c r="M284" s="1" t="s">
        <v>30</v>
      </c>
      <c r="N284" s="1" t="s">
        <v>17</v>
      </c>
      <c r="O284" s="1" t="s">
        <v>2057</v>
      </c>
      <c r="P284" s="1" t="s">
        <v>2056</v>
      </c>
      <c r="Q284" s="1" t="s">
        <v>925</v>
      </c>
      <c r="R284" s="1">
        <f t="shared" si="4"/>
        <v>2</v>
      </c>
      <c r="S284" s="4">
        <f>J284*K284*M284</f>
        <v>350000</v>
      </c>
    </row>
    <row r="285" spans="1:19" ht="43" hidden="1" customHeight="1">
      <c r="A285" s="1" t="s">
        <v>2280</v>
      </c>
      <c r="B285" s="1" t="s">
        <v>1402</v>
      </c>
      <c r="C285" s="29">
        <v>45990.382403298601</v>
      </c>
      <c r="D285" s="1" t="s">
        <v>3052</v>
      </c>
      <c r="E285" s="1" t="s">
        <v>3053</v>
      </c>
      <c r="F285" s="1">
        <v>24</v>
      </c>
      <c r="G285" s="12" t="s">
        <v>1548</v>
      </c>
      <c r="H285" s="1" t="s">
        <v>1548</v>
      </c>
      <c r="I285" s="1" t="s">
        <v>71</v>
      </c>
      <c r="J285" s="30">
        <v>200</v>
      </c>
      <c r="K285" s="30">
        <v>35000</v>
      </c>
      <c r="L285" s="31">
        <v>7000000</v>
      </c>
      <c r="M285" s="1" t="s">
        <v>16</v>
      </c>
      <c r="N285" s="1" t="s">
        <v>17</v>
      </c>
      <c r="O285" s="1" t="s">
        <v>2057</v>
      </c>
      <c r="P285" s="1" t="s">
        <v>2056</v>
      </c>
      <c r="Q285" s="1" t="s">
        <v>1531</v>
      </c>
      <c r="R285" s="1">
        <f t="shared" si="4"/>
        <v>4</v>
      </c>
      <c r="S285" s="4">
        <f>J285*K285*M285</f>
        <v>560000</v>
      </c>
    </row>
    <row r="286" spans="1:19" ht="43" hidden="1" customHeight="1">
      <c r="A286" s="1" t="s">
        <v>2280</v>
      </c>
      <c r="B286" s="1" t="s">
        <v>1034</v>
      </c>
      <c r="C286" s="29">
        <v>45928.7317327778</v>
      </c>
      <c r="D286" s="1" t="s">
        <v>3052</v>
      </c>
      <c r="E286" s="1" t="s">
        <v>3053</v>
      </c>
      <c r="F286" s="1">
        <v>10</v>
      </c>
      <c r="G286" s="12" t="s">
        <v>1548</v>
      </c>
      <c r="H286" s="1" t="s">
        <v>1548</v>
      </c>
      <c r="I286" s="1" t="s">
        <v>71</v>
      </c>
      <c r="J286" s="30">
        <v>200</v>
      </c>
      <c r="K286" s="30">
        <v>35000</v>
      </c>
      <c r="L286" s="31">
        <v>7000000</v>
      </c>
      <c r="M286" s="1" t="s">
        <v>30</v>
      </c>
      <c r="N286" s="1" t="s">
        <v>17</v>
      </c>
      <c r="O286" s="1" t="s">
        <v>2057</v>
      </c>
      <c r="P286" s="1" t="s">
        <v>2056</v>
      </c>
      <c r="Q286" s="1" t="s">
        <v>546</v>
      </c>
      <c r="R286" s="1">
        <f t="shared" si="4"/>
        <v>3</v>
      </c>
      <c r="S286" s="4">
        <f>J286*K286*M286</f>
        <v>700000</v>
      </c>
    </row>
    <row r="287" spans="1:19" ht="43" hidden="1" customHeight="1">
      <c r="A287" s="1" t="s">
        <v>2280</v>
      </c>
      <c r="B287" s="1" t="s">
        <v>126</v>
      </c>
      <c r="C287" s="29">
        <v>45898.896719536999</v>
      </c>
      <c r="D287" s="1" t="s">
        <v>3052</v>
      </c>
      <c r="E287" s="1" t="s">
        <v>3053</v>
      </c>
      <c r="F287" s="1">
        <v>27</v>
      </c>
      <c r="G287" s="12" t="s">
        <v>1289</v>
      </c>
      <c r="H287" s="1" t="s">
        <v>1724</v>
      </c>
      <c r="I287" s="1" t="s">
        <v>71</v>
      </c>
      <c r="J287" s="30">
        <v>12</v>
      </c>
      <c r="K287" s="30">
        <v>85000</v>
      </c>
      <c r="L287" s="31">
        <v>1020000</v>
      </c>
      <c r="M287" s="1" t="s">
        <v>30</v>
      </c>
      <c r="N287" s="1" t="s">
        <v>17</v>
      </c>
      <c r="O287" s="1" t="s">
        <v>2057</v>
      </c>
      <c r="P287" s="1" t="s">
        <v>2056</v>
      </c>
      <c r="Q287" s="1" t="s">
        <v>652</v>
      </c>
      <c r="R287" s="1">
        <f t="shared" si="4"/>
        <v>3</v>
      </c>
      <c r="S287" s="4">
        <f>J287*K287*M287</f>
        <v>102000</v>
      </c>
    </row>
    <row r="288" spans="1:19" ht="43" hidden="1" customHeight="1">
      <c r="A288" s="1" t="s">
        <v>2072</v>
      </c>
      <c r="B288" s="1" t="s">
        <v>1251</v>
      </c>
      <c r="C288" s="29">
        <v>46013.848708333302</v>
      </c>
      <c r="F288" s="1">
        <v>1</v>
      </c>
      <c r="G288" s="12" t="s">
        <v>1289</v>
      </c>
      <c r="H288" s="1" t="s">
        <v>1289</v>
      </c>
      <c r="I288" s="1" t="s">
        <v>71</v>
      </c>
      <c r="J288" s="30">
        <v>18</v>
      </c>
      <c r="K288" s="30">
        <v>8024.7</v>
      </c>
      <c r="L288" s="31">
        <v>144444</v>
      </c>
      <c r="M288" s="1" t="s">
        <v>16</v>
      </c>
      <c r="N288" s="1" t="s">
        <v>17</v>
      </c>
      <c r="O288" s="1" t="s">
        <v>2057</v>
      </c>
      <c r="P288" s="1" t="s">
        <v>2056</v>
      </c>
      <c r="Q288" s="1" t="s">
        <v>1508</v>
      </c>
      <c r="R288" s="1">
        <f t="shared" si="4"/>
        <v>4</v>
      </c>
      <c r="S288" s="4">
        <f>J288*K288*M288</f>
        <v>11555.568000000001</v>
      </c>
    </row>
    <row r="289" spans="1:19" ht="43" hidden="1" customHeight="1">
      <c r="A289" s="1" t="s">
        <v>2280</v>
      </c>
      <c r="B289" s="1" t="s">
        <v>1472</v>
      </c>
      <c r="C289" s="29">
        <v>45899.6448496991</v>
      </c>
      <c r="D289" s="1" t="s">
        <v>3052</v>
      </c>
      <c r="E289" s="1" t="s">
        <v>3053</v>
      </c>
      <c r="F289" s="1">
        <v>12</v>
      </c>
      <c r="G289" s="12" t="s">
        <v>1289</v>
      </c>
      <c r="H289" s="1" t="s">
        <v>1289</v>
      </c>
      <c r="I289" s="1" t="s">
        <v>71</v>
      </c>
      <c r="J289" s="30">
        <v>200</v>
      </c>
      <c r="K289" s="30">
        <v>2500</v>
      </c>
      <c r="L289" s="31">
        <v>500000</v>
      </c>
      <c r="M289" s="1" t="s">
        <v>30</v>
      </c>
      <c r="N289" s="1" t="s">
        <v>17</v>
      </c>
      <c r="O289" s="1" t="s">
        <v>2057</v>
      </c>
      <c r="P289" s="1" t="s">
        <v>2056</v>
      </c>
      <c r="Q289" s="1" t="s">
        <v>636</v>
      </c>
      <c r="R289" s="1">
        <f t="shared" si="4"/>
        <v>3</v>
      </c>
      <c r="S289" s="4">
        <f>J289*K289*M289</f>
        <v>50000</v>
      </c>
    </row>
    <row r="290" spans="1:19" ht="43" hidden="1" customHeight="1">
      <c r="A290" s="1" t="s">
        <v>2280</v>
      </c>
      <c r="B290" s="1" t="s">
        <v>1417</v>
      </c>
      <c r="C290" s="29">
        <v>45868.607072511601</v>
      </c>
      <c r="D290" s="1" t="s">
        <v>3052</v>
      </c>
      <c r="E290" s="1" t="s">
        <v>3053</v>
      </c>
      <c r="F290" s="1">
        <v>12</v>
      </c>
      <c r="G290" s="12" t="s">
        <v>1289</v>
      </c>
      <c r="H290" s="1" t="s">
        <v>1289</v>
      </c>
      <c r="I290" s="1" t="s">
        <v>71</v>
      </c>
      <c r="J290" s="30">
        <v>40</v>
      </c>
      <c r="K290" s="30">
        <v>18000</v>
      </c>
      <c r="L290" s="31">
        <v>720000</v>
      </c>
      <c r="M290" s="1" t="s">
        <v>30</v>
      </c>
      <c r="N290" s="1" t="s">
        <v>17</v>
      </c>
      <c r="O290" s="1" t="s">
        <v>2057</v>
      </c>
      <c r="P290" s="1" t="s">
        <v>2056</v>
      </c>
      <c r="Q290" s="1" t="s">
        <v>800</v>
      </c>
      <c r="R290" s="1">
        <f t="shared" si="4"/>
        <v>3</v>
      </c>
      <c r="S290" s="4">
        <f>J290*K290*M290</f>
        <v>72000</v>
      </c>
    </row>
    <row r="291" spans="1:19" ht="43" hidden="1" customHeight="1">
      <c r="A291" s="1" t="s">
        <v>2280</v>
      </c>
      <c r="B291" s="1" t="s">
        <v>1034</v>
      </c>
      <c r="C291" s="29">
        <v>45928.7317327778</v>
      </c>
      <c r="D291" s="1" t="s">
        <v>3052</v>
      </c>
      <c r="E291" s="1" t="s">
        <v>3053</v>
      </c>
      <c r="F291" s="1">
        <v>8</v>
      </c>
      <c r="G291" s="12" t="s">
        <v>1314</v>
      </c>
      <c r="H291" s="1" t="s">
        <v>1314</v>
      </c>
      <c r="I291" s="1" t="s">
        <v>71</v>
      </c>
      <c r="J291" s="30">
        <v>100</v>
      </c>
      <c r="K291" s="30">
        <v>10000</v>
      </c>
      <c r="L291" s="31">
        <v>1000000</v>
      </c>
      <c r="M291" s="1" t="s">
        <v>30</v>
      </c>
      <c r="N291" s="1" t="s">
        <v>17</v>
      </c>
      <c r="O291" s="1" t="s">
        <v>2057</v>
      </c>
      <c r="P291" s="1" t="s">
        <v>2056</v>
      </c>
      <c r="Q291" s="1" t="s">
        <v>546</v>
      </c>
      <c r="R291" s="1">
        <f t="shared" si="4"/>
        <v>3</v>
      </c>
      <c r="S291" s="4">
        <f>J291*K291*M291</f>
        <v>100000</v>
      </c>
    </row>
    <row r="292" spans="1:19" ht="43" hidden="1" customHeight="1">
      <c r="A292" s="1" t="s">
        <v>2280</v>
      </c>
      <c r="B292" s="1" t="s">
        <v>1034</v>
      </c>
      <c r="C292" s="29">
        <v>45928.7317327778</v>
      </c>
      <c r="D292" s="1" t="s">
        <v>3052</v>
      </c>
      <c r="E292" s="1" t="s">
        <v>3053</v>
      </c>
      <c r="F292" s="1">
        <v>9</v>
      </c>
      <c r="G292" s="12" t="s">
        <v>1314</v>
      </c>
      <c r="H292" s="1" t="s">
        <v>1314</v>
      </c>
      <c r="I292" s="1" t="s">
        <v>71</v>
      </c>
      <c r="J292" s="30">
        <v>100</v>
      </c>
      <c r="K292" s="30">
        <v>10000</v>
      </c>
      <c r="L292" s="31">
        <v>1000000</v>
      </c>
      <c r="M292" s="1" t="s">
        <v>30</v>
      </c>
      <c r="N292" s="1" t="s">
        <v>17</v>
      </c>
      <c r="O292" s="1" t="s">
        <v>2057</v>
      </c>
      <c r="P292" s="1" t="s">
        <v>2056</v>
      </c>
      <c r="Q292" s="1" t="s">
        <v>546</v>
      </c>
      <c r="R292" s="1">
        <f t="shared" si="4"/>
        <v>3</v>
      </c>
      <c r="S292" s="4">
        <f>J292*K292*M292</f>
        <v>100000</v>
      </c>
    </row>
    <row r="293" spans="1:19" ht="43" hidden="1" customHeight="1">
      <c r="A293" s="1" t="s">
        <v>2280</v>
      </c>
      <c r="B293" s="1" t="s">
        <v>1417</v>
      </c>
      <c r="C293" s="29">
        <v>45868.607072511601</v>
      </c>
      <c r="D293" s="1" t="s">
        <v>3052</v>
      </c>
      <c r="E293" s="1" t="s">
        <v>3053</v>
      </c>
      <c r="F293" s="1">
        <v>25</v>
      </c>
      <c r="G293" s="12" t="s">
        <v>1376</v>
      </c>
      <c r="H293" s="1" t="s">
        <v>1376</v>
      </c>
      <c r="I293" s="1" t="s">
        <v>71</v>
      </c>
      <c r="J293" s="30">
        <v>20</v>
      </c>
      <c r="K293" s="30">
        <v>84000</v>
      </c>
      <c r="L293" s="31">
        <v>1680000</v>
      </c>
      <c r="M293" s="1" t="s">
        <v>30</v>
      </c>
      <c r="N293" s="1" t="s">
        <v>17</v>
      </c>
      <c r="O293" s="1" t="s">
        <v>2057</v>
      </c>
      <c r="P293" s="1" t="s">
        <v>2056</v>
      </c>
      <c r="Q293" s="1" t="s">
        <v>800</v>
      </c>
      <c r="R293" s="1">
        <f t="shared" si="4"/>
        <v>3</v>
      </c>
      <c r="S293" s="4">
        <f>J293*K293*M293</f>
        <v>168000</v>
      </c>
    </row>
    <row r="294" spans="1:19" ht="43" hidden="1" customHeight="1">
      <c r="A294" s="1" t="s">
        <v>2280</v>
      </c>
      <c r="B294" s="1" t="s">
        <v>126</v>
      </c>
      <c r="C294" s="29">
        <v>45898.896719536999</v>
      </c>
      <c r="D294" s="1" t="s">
        <v>3052</v>
      </c>
      <c r="E294" s="1" t="s">
        <v>3053</v>
      </c>
      <c r="F294" s="1">
        <v>19</v>
      </c>
      <c r="G294" s="12" t="s">
        <v>2251</v>
      </c>
      <c r="H294" s="1" t="s">
        <v>1720</v>
      </c>
      <c r="I294" s="1" t="s">
        <v>71</v>
      </c>
      <c r="J294" s="30">
        <v>200</v>
      </c>
      <c r="K294" s="30">
        <v>35000</v>
      </c>
      <c r="L294" s="31">
        <v>7000000</v>
      </c>
      <c r="M294" s="1" t="s">
        <v>30</v>
      </c>
      <c r="N294" s="1" t="s">
        <v>17</v>
      </c>
      <c r="O294" s="1" t="s">
        <v>2057</v>
      </c>
      <c r="P294" s="1" t="s">
        <v>2056</v>
      </c>
      <c r="Q294" s="1" t="s">
        <v>652</v>
      </c>
      <c r="R294" s="1">
        <f t="shared" si="4"/>
        <v>3</v>
      </c>
      <c r="S294" s="4">
        <f>J294*K294*M294</f>
        <v>700000</v>
      </c>
    </row>
    <row r="295" spans="1:19" ht="43" hidden="1" customHeight="1">
      <c r="A295" s="1" t="s">
        <v>2280</v>
      </c>
      <c r="B295" s="1" t="s">
        <v>126</v>
      </c>
      <c r="C295" s="29">
        <v>45898.896719536999</v>
      </c>
      <c r="D295" s="1" t="s">
        <v>3052</v>
      </c>
      <c r="E295" s="1" t="s">
        <v>3053</v>
      </c>
      <c r="F295" s="1">
        <v>13</v>
      </c>
      <c r="G295" s="12" t="s">
        <v>1316</v>
      </c>
      <c r="H295" s="1" t="s">
        <v>1717</v>
      </c>
      <c r="I295" s="1" t="s">
        <v>71</v>
      </c>
      <c r="J295" s="30">
        <v>5</v>
      </c>
      <c r="K295" s="30">
        <v>45000</v>
      </c>
      <c r="L295" s="31">
        <v>225000</v>
      </c>
      <c r="M295" s="1" t="s">
        <v>30</v>
      </c>
      <c r="N295" s="1" t="s">
        <v>17</v>
      </c>
      <c r="O295" s="1" t="s">
        <v>2057</v>
      </c>
      <c r="P295" s="1" t="s">
        <v>2056</v>
      </c>
      <c r="Q295" s="1" t="s">
        <v>652</v>
      </c>
      <c r="R295" s="1">
        <f t="shared" si="4"/>
        <v>3</v>
      </c>
      <c r="S295" s="4">
        <f>J295*K295*M295</f>
        <v>22500</v>
      </c>
    </row>
    <row r="296" spans="1:19" ht="43" hidden="1" customHeight="1">
      <c r="A296" s="1" t="s">
        <v>2280</v>
      </c>
      <c r="B296" s="1" t="s">
        <v>1442</v>
      </c>
      <c r="C296" s="29">
        <v>45960.6594943866</v>
      </c>
      <c r="D296" s="1" t="s">
        <v>3052</v>
      </c>
      <c r="E296" s="1" t="s">
        <v>3053</v>
      </c>
      <c r="F296" s="1">
        <v>16</v>
      </c>
      <c r="G296" s="12" t="s">
        <v>1316</v>
      </c>
      <c r="H296" s="1" t="s">
        <v>1316</v>
      </c>
      <c r="I296" s="1" t="s">
        <v>71</v>
      </c>
      <c r="J296" s="30">
        <v>200</v>
      </c>
      <c r="K296" s="30">
        <v>18000</v>
      </c>
      <c r="L296" s="31">
        <v>3600000</v>
      </c>
      <c r="M296" s="1" t="s">
        <v>30</v>
      </c>
      <c r="N296" s="1" t="s">
        <v>17</v>
      </c>
      <c r="O296" s="1" t="s">
        <v>2057</v>
      </c>
      <c r="P296" s="1" t="s">
        <v>2056</v>
      </c>
      <c r="Q296" s="1" t="s">
        <v>533</v>
      </c>
      <c r="R296" s="1">
        <f t="shared" si="4"/>
        <v>4</v>
      </c>
      <c r="S296" s="4">
        <f>J296*K296*M296</f>
        <v>360000</v>
      </c>
    </row>
    <row r="297" spans="1:19" ht="43" hidden="1" customHeight="1">
      <c r="A297" s="1" t="s">
        <v>2072</v>
      </c>
      <c r="B297" s="1" t="s">
        <v>1294</v>
      </c>
      <c r="C297" s="29">
        <v>46021.613942164397</v>
      </c>
      <c r="D297" s="1" t="s">
        <v>3052</v>
      </c>
      <c r="E297" s="1" t="s">
        <v>3053</v>
      </c>
      <c r="F297" s="1">
        <v>60</v>
      </c>
      <c r="G297" s="12" t="s">
        <v>1327</v>
      </c>
      <c r="H297" s="1" t="s">
        <v>1327</v>
      </c>
      <c r="I297" s="1" t="s">
        <v>71</v>
      </c>
      <c r="J297" s="30">
        <v>200</v>
      </c>
      <c r="K297" s="30">
        <v>28000</v>
      </c>
      <c r="L297" s="31">
        <v>5600000</v>
      </c>
      <c r="M297" s="1" t="s">
        <v>16</v>
      </c>
      <c r="N297" s="1" t="s">
        <v>17</v>
      </c>
      <c r="O297" s="1" t="s">
        <v>2057</v>
      </c>
      <c r="P297" s="1" t="s">
        <v>2056</v>
      </c>
      <c r="Q297" s="1" t="s">
        <v>1474</v>
      </c>
      <c r="R297" s="1">
        <f t="shared" si="4"/>
        <v>4</v>
      </c>
      <c r="S297" s="4">
        <f>J297*K297*M297</f>
        <v>448000</v>
      </c>
    </row>
    <row r="298" spans="1:19" ht="43" hidden="1" customHeight="1">
      <c r="A298" s="1" t="s">
        <v>2280</v>
      </c>
      <c r="B298" s="1" t="s">
        <v>126</v>
      </c>
      <c r="C298" s="29">
        <v>45898.896719536999</v>
      </c>
      <c r="D298" s="1" t="s">
        <v>3052</v>
      </c>
      <c r="E298" s="1" t="s">
        <v>3053</v>
      </c>
      <c r="F298" s="1">
        <v>8</v>
      </c>
      <c r="G298" s="12" t="s">
        <v>1327</v>
      </c>
      <c r="H298" s="1" t="s">
        <v>1327</v>
      </c>
      <c r="I298" s="1" t="s">
        <v>71</v>
      </c>
      <c r="J298" s="30">
        <v>400</v>
      </c>
      <c r="K298" s="30">
        <v>25000</v>
      </c>
      <c r="L298" s="31">
        <v>10000000</v>
      </c>
      <c r="M298" s="1" t="s">
        <v>30</v>
      </c>
      <c r="N298" s="1" t="s">
        <v>17</v>
      </c>
      <c r="O298" s="1" t="s">
        <v>2057</v>
      </c>
      <c r="P298" s="1" t="s">
        <v>2056</v>
      </c>
      <c r="Q298" s="1" t="s">
        <v>652</v>
      </c>
      <c r="R298" s="1">
        <f t="shared" si="4"/>
        <v>3</v>
      </c>
      <c r="S298" s="4">
        <f>J298*K298*M298</f>
        <v>1000000</v>
      </c>
    </row>
    <row r="299" spans="1:19" ht="43" hidden="1" customHeight="1">
      <c r="A299" s="1" t="s">
        <v>2280</v>
      </c>
      <c r="B299" s="1" t="s">
        <v>1417</v>
      </c>
      <c r="C299" s="29">
        <v>45868.607072511601</v>
      </c>
      <c r="D299" s="1" t="s">
        <v>3052</v>
      </c>
      <c r="E299" s="1" t="s">
        <v>3053</v>
      </c>
      <c r="F299" s="1">
        <v>16</v>
      </c>
      <c r="G299" s="12" t="s">
        <v>1327</v>
      </c>
      <c r="H299" s="1" t="s">
        <v>1327</v>
      </c>
      <c r="I299" s="1" t="s">
        <v>71</v>
      </c>
      <c r="J299" s="30">
        <v>36</v>
      </c>
      <c r="K299" s="30">
        <v>20000</v>
      </c>
      <c r="L299" s="31">
        <v>720000</v>
      </c>
      <c r="M299" s="1" t="s">
        <v>30</v>
      </c>
      <c r="N299" s="1" t="s">
        <v>17</v>
      </c>
      <c r="O299" s="1" t="s">
        <v>2057</v>
      </c>
      <c r="P299" s="1" t="s">
        <v>2056</v>
      </c>
      <c r="Q299" s="1" t="s">
        <v>800</v>
      </c>
      <c r="R299" s="1">
        <f t="shared" si="4"/>
        <v>3</v>
      </c>
      <c r="S299" s="4">
        <f>J299*K299*M299</f>
        <v>72000</v>
      </c>
    </row>
    <row r="300" spans="1:19" ht="43" hidden="1" customHeight="1">
      <c r="A300" s="1" t="s">
        <v>2280</v>
      </c>
      <c r="B300" s="1" t="s">
        <v>188</v>
      </c>
      <c r="C300" s="29">
        <v>45928.944600393501</v>
      </c>
      <c r="D300" s="1" t="s">
        <v>3052</v>
      </c>
      <c r="E300" s="1" t="s">
        <v>3053</v>
      </c>
      <c r="F300" s="1">
        <v>10</v>
      </c>
      <c r="G300" s="12" t="s">
        <v>1595</v>
      </c>
      <c r="H300" s="1" t="s">
        <v>1595</v>
      </c>
      <c r="I300" s="1" t="s">
        <v>71</v>
      </c>
      <c r="J300" s="30">
        <v>18</v>
      </c>
      <c r="K300" s="30">
        <v>30000</v>
      </c>
      <c r="L300" s="31">
        <v>540000</v>
      </c>
      <c r="M300" s="1" t="s">
        <v>30</v>
      </c>
      <c r="N300" s="1" t="s">
        <v>17</v>
      </c>
      <c r="O300" s="1" t="s">
        <v>2057</v>
      </c>
      <c r="P300" s="1" t="s">
        <v>2056</v>
      </c>
      <c r="Q300" s="1" t="s">
        <v>546</v>
      </c>
      <c r="R300" s="1">
        <f t="shared" si="4"/>
        <v>3</v>
      </c>
      <c r="S300" s="4">
        <f>J300*K300*M300</f>
        <v>54000</v>
      </c>
    </row>
    <row r="301" spans="1:19" ht="43" hidden="1" customHeight="1">
      <c r="A301" s="1" t="s">
        <v>2280</v>
      </c>
      <c r="B301" s="1" t="s">
        <v>1472</v>
      </c>
      <c r="C301" s="29">
        <v>45899.6448496991</v>
      </c>
      <c r="D301" s="1" t="s">
        <v>3052</v>
      </c>
      <c r="E301" s="1" t="s">
        <v>3053</v>
      </c>
      <c r="F301" s="1">
        <v>10</v>
      </c>
      <c r="G301" s="12" t="s">
        <v>1595</v>
      </c>
      <c r="H301" s="1" t="s">
        <v>1595</v>
      </c>
      <c r="I301" s="1" t="s">
        <v>71</v>
      </c>
      <c r="J301" s="30">
        <v>20</v>
      </c>
      <c r="K301" s="30">
        <v>84000</v>
      </c>
      <c r="L301" s="31">
        <v>1680000</v>
      </c>
      <c r="M301" s="1" t="s">
        <v>30</v>
      </c>
      <c r="N301" s="1" t="s">
        <v>17</v>
      </c>
      <c r="O301" s="1" t="s">
        <v>2057</v>
      </c>
      <c r="P301" s="1" t="s">
        <v>2056</v>
      </c>
      <c r="Q301" s="1" t="s">
        <v>636</v>
      </c>
      <c r="R301" s="1">
        <f t="shared" si="4"/>
        <v>3</v>
      </c>
      <c r="S301" s="4">
        <f>J301*K301*M301</f>
        <v>168000</v>
      </c>
    </row>
    <row r="302" spans="1:19" ht="43" hidden="1" customHeight="1">
      <c r="A302" s="1" t="s">
        <v>2280</v>
      </c>
      <c r="B302" s="1" t="s">
        <v>1417</v>
      </c>
      <c r="C302" s="29">
        <v>45868.607072511601</v>
      </c>
      <c r="D302" s="1" t="s">
        <v>3052</v>
      </c>
      <c r="E302" s="1" t="s">
        <v>3053</v>
      </c>
      <c r="F302" s="1">
        <v>2</v>
      </c>
      <c r="G302" s="12" t="s">
        <v>1595</v>
      </c>
      <c r="H302" s="1" t="s">
        <v>1595</v>
      </c>
      <c r="I302" s="1" t="s">
        <v>71</v>
      </c>
      <c r="J302" s="30">
        <v>5</v>
      </c>
      <c r="K302" s="30">
        <v>60000</v>
      </c>
      <c r="L302" s="31">
        <v>300000</v>
      </c>
      <c r="M302" s="1" t="s">
        <v>30</v>
      </c>
      <c r="N302" s="1" t="s">
        <v>17</v>
      </c>
      <c r="O302" s="1" t="s">
        <v>2057</v>
      </c>
      <c r="P302" s="1" t="s">
        <v>2056</v>
      </c>
      <c r="Q302" s="1" t="s">
        <v>800</v>
      </c>
      <c r="R302" s="1">
        <f t="shared" si="4"/>
        <v>3</v>
      </c>
      <c r="S302" s="4">
        <f>J302*K302*M302</f>
        <v>30000</v>
      </c>
    </row>
    <row r="303" spans="1:19" ht="43" hidden="1" customHeight="1">
      <c r="A303" s="1" t="s">
        <v>2280</v>
      </c>
      <c r="B303" s="1" t="s">
        <v>126</v>
      </c>
      <c r="C303" s="29">
        <v>45898.896719536999</v>
      </c>
      <c r="D303" s="1" t="s">
        <v>3052</v>
      </c>
      <c r="E303" s="1" t="s">
        <v>3053</v>
      </c>
      <c r="F303" s="1">
        <v>24</v>
      </c>
      <c r="G303" s="12" t="s">
        <v>899</v>
      </c>
      <c r="H303" s="1" t="s">
        <v>1723</v>
      </c>
      <c r="I303" s="1" t="s">
        <v>62</v>
      </c>
      <c r="J303" s="30">
        <v>40</v>
      </c>
      <c r="K303" s="30">
        <v>35000</v>
      </c>
      <c r="L303" s="31">
        <v>1400000</v>
      </c>
      <c r="M303" s="1" t="s">
        <v>30</v>
      </c>
      <c r="N303" s="1" t="s">
        <v>17</v>
      </c>
      <c r="O303" s="1" t="s">
        <v>2057</v>
      </c>
      <c r="P303" s="1" t="s">
        <v>2056</v>
      </c>
      <c r="Q303" s="1" t="s">
        <v>652</v>
      </c>
      <c r="R303" s="1">
        <f t="shared" si="4"/>
        <v>3</v>
      </c>
      <c r="S303" s="4">
        <f>J303*K303*M303</f>
        <v>140000</v>
      </c>
    </row>
    <row r="304" spans="1:19" ht="43" hidden="1" customHeight="1">
      <c r="A304" s="1" t="s">
        <v>2072</v>
      </c>
      <c r="B304" s="1" t="s">
        <v>1250</v>
      </c>
      <c r="C304" s="29">
        <v>46021.613467673596</v>
      </c>
      <c r="D304" s="1" t="s">
        <v>3052</v>
      </c>
      <c r="E304" s="1" t="s">
        <v>3053</v>
      </c>
      <c r="F304" s="1">
        <v>8</v>
      </c>
      <c r="G304" s="12" t="s">
        <v>895</v>
      </c>
      <c r="H304" s="1" t="s">
        <v>895</v>
      </c>
      <c r="I304" s="1" t="s">
        <v>62</v>
      </c>
      <c r="J304" s="30">
        <v>18</v>
      </c>
      <c r="K304" s="30">
        <v>65000</v>
      </c>
      <c r="L304" s="31">
        <v>1170000</v>
      </c>
      <c r="M304" s="1" t="s">
        <v>30</v>
      </c>
      <c r="N304" s="1" t="s">
        <v>17</v>
      </c>
      <c r="O304" s="1" t="s">
        <v>2057</v>
      </c>
      <c r="P304" s="1" t="s">
        <v>2056</v>
      </c>
      <c r="Q304" s="1" t="s">
        <v>1474</v>
      </c>
      <c r="R304" s="1">
        <f t="shared" si="4"/>
        <v>4</v>
      </c>
      <c r="S304" s="4">
        <f>J304*K304*M304</f>
        <v>117000</v>
      </c>
    </row>
    <row r="305" spans="1:19" ht="43" hidden="1" customHeight="1">
      <c r="A305" s="1" t="s">
        <v>2280</v>
      </c>
      <c r="B305" s="1" t="s">
        <v>188</v>
      </c>
      <c r="C305" s="29">
        <v>45928.944600393501</v>
      </c>
      <c r="D305" s="1" t="s">
        <v>3052</v>
      </c>
      <c r="E305" s="1" t="s">
        <v>3053</v>
      </c>
      <c r="F305" s="1">
        <v>14</v>
      </c>
      <c r="G305" s="12" t="s">
        <v>895</v>
      </c>
      <c r="H305" s="1" t="s">
        <v>895</v>
      </c>
      <c r="I305" s="1" t="s">
        <v>62</v>
      </c>
      <c r="J305" s="30">
        <v>4</v>
      </c>
      <c r="K305" s="30">
        <v>25000</v>
      </c>
      <c r="L305" s="31">
        <v>100000</v>
      </c>
      <c r="M305" s="1" t="s">
        <v>30</v>
      </c>
      <c r="N305" s="1" t="s">
        <v>17</v>
      </c>
      <c r="O305" s="1" t="s">
        <v>2057</v>
      </c>
      <c r="P305" s="1" t="s">
        <v>2056</v>
      </c>
      <c r="Q305" s="1" t="s">
        <v>546</v>
      </c>
      <c r="R305" s="1">
        <f t="shared" si="4"/>
        <v>3</v>
      </c>
      <c r="S305" s="4">
        <f>J305*K305*M305</f>
        <v>10000</v>
      </c>
    </row>
    <row r="306" spans="1:19" ht="43" hidden="1" customHeight="1">
      <c r="A306" s="1" t="s">
        <v>2280</v>
      </c>
      <c r="B306" s="1" t="s">
        <v>1417</v>
      </c>
      <c r="C306" s="29">
        <v>45868.607072511601</v>
      </c>
      <c r="D306" s="1" t="s">
        <v>3052</v>
      </c>
      <c r="E306" s="1" t="s">
        <v>3053</v>
      </c>
      <c r="F306" s="1">
        <v>11</v>
      </c>
      <c r="G306" s="12" t="s">
        <v>895</v>
      </c>
      <c r="H306" s="1" t="s">
        <v>895</v>
      </c>
      <c r="I306" s="1" t="s">
        <v>62</v>
      </c>
      <c r="J306" s="30">
        <v>10</v>
      </c>
      <c r="K306" s="30">
        <v>75000</v>
      </c>
      <c r="L306" s="31">
        <v>750000</v>
      </c>
      <c r="M306" s="1" t="s">
        <v>30</v>
      </c>
      <c r="N306" s="1" t="s">
        <v>17</v>
      </c>
      <c r="O306" s="1" t="s">
        <v>2057</v>
      </c>
      <c r="P306" s="1" t="s">
        <v>2056</v>
      </c>
      <c r="Q306" s="1" t="s">
        <v>800</v>
      </c>
      <c r="R306" s="1">
        <f t="shared" si="4"/>
        <v>3</v>
      </c>
      <c r="S306" s="4">
        <f>J306*K306*M306</f>
        <v>75000</v>
      </c>
    </row>
    <row r="307" spans="1:19" ht="43" hidden="1" customHeight="1">
      <c r="A307" s="1" t="s">
        <v>2280</v>
      </c>
      <c r="B307" s="1" t="s">
        <v>1419</v>
      </c>
      <c r="C307" s="29">
        <v>45866.749486990702</v>
      </c>
      <c r="D307" s="1" t="s">
        <v>3052</v>
      </c>
      <c r="E307" s="1" t="s">
        <v>3053</v>
      </c>
      <c r="F307" s="1">
        <v>19</v>
      </c>
      <c r="G307" s="12" t="s">
        <v>899</v>
      </c>
      <c r="H307" s="1" t="s">
        <v>899</v>
      </c>
      <c r="I307" s="1" t="s">
        <v>62</v>
      </c>
      <c r="J307" s="30">
        <v>50</v>
      </c>
      <c r="K307" s="30">
        <v>65000</v>
      </c>
      <c r="L307" s="31">
        <v>3250000</v>
      </c>
      <c r="M307" s="1" t="s">
        <v>30</v>
      </c>
      <c r="N307" s="1" t="s">
        <v>17</v>
      </c>
      <c r="O307" s="1" t="s">
        <v>2057</v>
      </c>
      <c r="P307" s="1" t="s">
        <v>2056</v>
      </c>
      <c r="Q307" s="1" t="s">
        <v>1763</v>
      </c>
      <c r="R307" s="1">
        <f t="shared" si="4"/>
        <v>3</v>
      </c>
      <c r="S307" s="4">
        <f>J307*K307*M307</f>
        <v>325000</v>
      </c>
    </row>
    <row r="308" spans="1:19" ht="43" hidden="1" customHeight="1">
      <c r="A308" s="1" t="s">
        <v>2280</v>
      </c>
      <c r="B308" s="1" t="s">
        <v>188</v>
      </c>
      <c r="C308" s="29">
        <v>45928.944600393501</v>
      </c>
      <c r="D308" s="1" t="s">
        <v>3052</v>
      </c>
      <c r="E308" s="1" t="s">
        <v>3053</v>
      </c>
      <c r="F308" s="1">
        <v>26</v>
      </c>
      <c r="G308" s="12" t="s">
        <v>898</v>
      </c>
      <c r="H308" s="1" t="s">
        <v>1598</v>
      </c>
      <c r="I308" s="1" t="s">
        <v>62</v>
      </c>
      <c r="J308" s="30">
        <v>27.1</v>
      </c>
      <c r="K308" s="30">
        <v>75000</v>
      </c>
      <c r="L308" s="31">
        <v>2032500</v>
      </c>
      <c r="M308" s="1" t="s">
        <v>30</v>
      </c>
      <c r="N308" s="1" t="s">
        <v>17</v>
      </c>
      <c r="O308" s="1" t="s">
        <v>2057</v>
      </c>
      <c r="P308" s="1" t="s">
        <v>2056</v>
      </c>
      <c r="Q308" s="1" t="s">
        <v>546</v>
      </c>
      <c r="R308" s="1">
        <f t="shared" si="4"/>
        <v>3</v>
      </c>
      <c r="S308" s="4">
        <f>J308*K308*M308</f>
        <v>203250</v>
      </c>
    </row>
    <row r="309" spans="1:19" ht="43" hidden="1" customHeight="1">
      <c r="A309" s="1" t="s">
        <v>2280</v>
      </c>
      <c r="B309" s="1" t="s">
        <v>1262</v>
      </c>
      <c r="C309" s="29">
        <v>45838.622051655097</v>
      </c>
      <c r="D309" s="1" t="s">
        <v>3052</v>
      </c>
      <c r="E309" s="1" t="s">
        <v>3053</v>
      </c>
      <c r="F309" s="1">
        <v>25</v>
      </c>
      <c r="G309" s="12" t="s">
        <v>898</v>
      </c>
      <c r="H309" s="1" t="s">
        <v>898</v>
      </c>
      <c r="I309" s="1" t="s">
        <v>62</v>
      </c>
      <c r="J309" s="30">
        <v>3</v>
      </c>
      <c r="K309" s="30">
        <v>28000</v>
      </c>
      <c r="L309" s="31">
        <v>84000</v>
      </c>
      <c r="M309" s="1" t="s">
        <v>30</v>
      </c>
      <c r="N309" s="1" t="s">
        <v>17</v>
      </c>
      <c r="O309" s="1" t="s">
        <v>2057</v>
      </c>
      <c r="P309" s="1" t="s">
        <v>2056</v>
      </c>
      <c r="Q309" s="1" t="s">
        <v>828</v>
      </c>
      <c r="R309" s="1">
        <f t="shared" si="4"/>
        <v>2</v>
      </c>
      <c r="S309" s="4">
        <f>J309*K309*M309</f>
        <v>8400</v>
      </c>
    </row>
    <row r="310" spans="1:19" ht="43" hidden="1" customHeight="1">
      <c r="A310" s="1" t="s">
        <v>2280</v>
      </c>
      <c r="B310" s="1" t="s">
        <v>1417</v>
      </c>
      <c r="C310" s="29">
        <v>45868.607072511601</v>
      </c>
      <c r="D310" s="1" t="s">
        <v>3052</v>
      </c>
      <c r="E310" s="1" t="s">
        <v>3053</v>
      </c>
      <c r="F310" s="1">
        <v>23</v>
      </c>
      <c r="G310" s="12" t="s">
        <v>897</v>
      </c>
      <c r="H310" s="1" t="s">
        <v>897</v>
      </c>
      <c r="I310" s="1" t="s">
        <v>62</v>
      </c>
      <c r="J310" s="30">
        <v>2</v>
      </c>
      <c r="K310" s="30">
        <v>20000</v>
      </c>
      <c r="L310" s="31">
        <v>40000</v>
      </c>
      <c r="M310" s="1" t="s">
        <v>30</v>
      </c>
      <c r="N310" s="1" t="s">
        <v>17</v>
      </c>
      <c r="O310" s="1" t="s">
        <v>2057</v>
      </c>
      <c r="P310" s="1" t="s">
        <v>2056</v>
      </c>
      <c r="Q310" s="1" t="s">
        <v>800</v>
      </c>
      <c r="R310" s="1">
        <f t="shared" si="4"/>
        <v>3</v>
      </c>
      <c r="S310" s="4">
        <f>J310*K310*M310</f>
        <v>4000</v>
      </c>
    </row>
    <row r="311" spans="1:19" ht="43" hidden="1" customHeight="1">
      <c r="A311" s="1" t="s">
        <v>2280</v>
      </c>
      <c r="B311" s="1" t="s">
        <v>1262</v>
      </c>
      <c r="C311" s="29">
        <v>45838.622051655097</v>
      </c>
      <c r="D311" s="1" t="s">
        <v>3052</v>
      </c>
      <c r="E311" s="1" t="s">
        <v>3053</v>
      </c>
      <c r="F311" s="1">
        <v>3</v>
      </c>
      <c r="G311" s="12" t="s">
        <v>899</v>
      </c>
      <c r="H311" s="1" t="s">
        <v>1803</v>
      </c>
      <c r="I311" s="1" t="s">
        <v>62</v>
      </c>
      <c r="J311" s="30">
        <v>35.200000000000003</v>
      </c>
      <c r="K311" s="30">
        <v>63000</v>
      </c>
      <c r="L311" s="31">
        <v>2217600</v>
      </c>
      <c r="M311" s="1" t="s">
        <v>30</v>
      </c>
      <c r="N311" s="1" t="s">
        <v>17</v>
      </c>
      <c r="O311" s="1" t="s">
        <v>2057</v>
      </c>
      <c r="P311" s="1" t="s">
        <v>2056</v>
      </c>
      <c r="Q311" s="1" t="s">
        <v>828</v>
      </c>
      <c r="R311" s="1">
        <f t="shared" si="4"/>
        <v>2</v>
      </c>
      <c r="S311" s="4">
        <f>J311*K311*M311</f>
        <v>221760</v>
      </c>
    </row>
    <row r="312" spans="1:19" ht="43" hidden="1" customHeight="1">
      <c r="A312" s="1" t="s">
        <v>2280</v>
      </c>
      <c r="B312" s="1" t="s">
        <v>1400</v>
      </c>
      <c r="C312" s="29">
        <v>45990.721094398097</v>
      </c>
      <c r="D312" s="1" t="s">
        <v>3052</v>
      </c>
      <c r="E312" s="1" t="s">
        <v>3053</v>
      </c>
      <c r="F312" s="1">
        <v>9</v>
      </c>
      <c r="G312" s="12" t="s">
        <v>2194</v>
      </c>
      <c r="H312" s="1" t="s">
        <v>1532</v>
      </c>
      <c r="I312" s="1" t="s">
        <v>1533</v>
      </c>
      <c r="J312" s="30">
        <v>1</v>
      </c>
      <c r="K312" s="30">
        <v>135000</v>
      </c>
      <c r="L312" s="31">
        <v>135000</v>
      </c>
      <c r="M312" s="1" t="s">
        <v>16</v>
      </c>
      <c r="N312" s="1" t="s">
        <v>17</v>
      </c>
      <c r="O312" s="1" t="s">
        <v>2057</v>
      </c>
      <c r="P312" s="1" t="s">
        <v>2056</v>
      </c>
      <c r="Q312" s="1" t="s">
        <v>1531</v>
      </c>
      <c r="R312" s="1">
        <f t="shared" si="4"/>
        <v>4</v>
      </c>
      <c r="S312" s="4">
        <f>J312*K312*M312</f>
        <v>10800</v>
      </c>
    </row>
    <row r="313" spans="1:19" ht="43" customHeight="1">
      <c r="A313" s="1" t="s">
        <v>2072</v>
      </c>
      <c r="B313" s="1" t="s">
        <v>194</v>
      </c>
      <c r="C313" s="29">
        <v>46013.422271064803</v>
      </c>
      <c r="D313" s="1" t="s">
        <v>3077</v>
      </c>
      <c r="E313" s="1" t="s">
        <v>3078</v>
      </c>
      <c r="F313" s="1">
        <v>4</v>
      </c>
      <c r="H313" s="1" t="s">
        <v>1512</v>
      </c>
      <c r="I313" s="1" t="s">
        <v>1342</v>
      </c>
      <c r="J313" s="30">
        <v>70</v>
      </c>
      <c r="K313" s="30">
        <v>18000</v>
      </c>
      <c r="L313" s="31">
        <v>1260000</v>
      </c>
      <c r="M313" s="1" t="s">
        <v>30</v>
      </c>
      <c r="N313" s="1" t="s">
        <v>17</v>
      </c>
      <c r="O313" s="1" t="s">
        <v>2057</v>
      </c>
      <c r="P313" s="1" t="s">
        <v>2056</v>
      </c>
      <c r="Q313" s="1" t="s">
        <v>1508</v>
      </c>
      <c r="R313" s="1">
        <f t="shared" si="4"/>
        <v>4</v>
      </c>
      <c r="S313" s="4">
        <f>J313*K313*M313</f>
        <v>126000</v>
      </c>
    </row>
    <row r="314" spans="1:19" ht="43" hidden="1" customHeight="1">
      <c r="A314" s="1" t="s">
        <v>2072</v>
      </c>
      <c r="B314" s="1" t="s">
        <v>1250</v>
      </c>
      <c r="C314" s="29">
        <v>46021.613467673596</v>
      </c>
      <c r="D314" s="1" t="s">
        <v>3052</v>
      </c>
      <c r="E314" s="1" t="s">
        <v>3053</v>
      </c>
      <c r="F314" s="1">
        <v>4</v>
      </c>
      <c r="G314" s="12" t="s">
        <v>639</v>
      </c>
      <c r="H314" s="1" t="s">
        <v>639</v>
      </c>
      <c r="I314" s="1" t="s">
        <v>62</v>
      </c>
      <c r="J314" s="30">
        <v>20</v>
      </c>
      <c r="K314" s="30">
        <v>25000</v>
      </c>
      <c r="L314" s="31">
        <v>500000</v>
      </c>
      <c r="M314" s="1" t="s">
        <v>30</v>
      </c>
      <c r="N314" s="1" t="s">
        <v>17</v>
      </c>
      <c r="O314" s="1" t="s">
        <v>2057</v>
      </c>
      <c r="P314" s="1" t="s">
        <v>2056</v>
      </c>
      <c r="Q314" s="1" t="s">
        <v>1474</v>
      </c>
      <c r="R314" s="1">
        <f t="shared" si="4"/>
        <v>4</v>
      </c>
      <c r="S314" s="4">
        <f>J314*K314*M314</f>
        <v>50000</v>
      </c>
    </row>
    <row r="315" spans="1:19" ht="43" hidden="1" customHeight="1">
      <c r="A315" s="1" t="s">
        <v>2280</v>
      </c>
      <c r="B315" s="1" t="s">
        <v>1401</v>
      </c>
      <c r="C315" s="29">
        <v>45990.720828530102</v>
      </c>
      <c r="D315" s="1" t="s">
        <v>3052</v>
      </c>
      <c r="E315" s="1" t="s">
        <v>3053</v>
      </c>
      <c r="F315" s="1">
        <v>2</v>
      </c>
      <c r="G315" s="12" t="s">
        <v>639</v>
      </c>
      <c r="H315" s="1" t="s">
        <v>639</v>
      </c>
      <c r="I315" s="1" t="s">
        <v>62</v>
      </c>
      <c r="J315" s="30">
        <v>150</v>
      </c>
      <c r="K315" s="30">
        <v>40000</v>
      </c>
      <c r="L315" s="31">
        <v>6000000</v>
      </c>
      <c r="M315" s="1" t="s">
        <v>30</v>
      </c>
      <c r="N315" s="1" t="s">
        <v>17</v>
      </c>
      <c r="O315" s="1" t="s">
        <v>2057</v>
      </c>
      <c r="P315" s="1" t="s">
        <v>2056</v>
      </c>
      <c r="Q315" s="1" t="s">
        <v>1531</v>
      </c>
      <c r="R315" s="1">
        <f t="shared" si="4"/>
        <v>4</v>
      </c>
      <c r="S315" s="4">
        <f>J315*K315*M315</f>
        <v>600000</v>
      </c>
    </row>
    <row r="316" spans="1:19" ht="43" hidden="1" customHeight="1">
      <c r="A316" s="1" t="s">
        <v>2280</v>
      </c>
      <c r="B316" s="1" t="s">
        <v>1404</v>
      </c>
      <c r="C316" s="29">
        <v>45990.3818009838</v>
      </c>
      <c r="D316" s="1" t="s">
        <v>3052</v>
      </c>
      <c r="E316" s="1" t="s">
        <v>3053</v>
      </c>
      <c r="F316" s="1">
        <v>3</v>
      </c>
      <c r="G316" s="12" t="s">
        <v>639</v>
      </c>
      <c r="H316" s="1" t="s">
        <v>639</v>
      </c>
      <c r="I316" s="1" t="s">
        <v>62</v>
      </c>
      <c r="J316" s="30">
        <v>4.8</v>
      </c>
      <c r="K316" s="30">
        <v>25000</v>
      </c>
      <c r="L316" s="31">
        <v>120000</v>
      </c>
      <c r="M316" s="1" t="s">
        <v>30</v>
      </c>
      <c r="N316" s="1" t="s">
        <v>17</v>
      </c>
      <c r="O316" s="1" t="s">
        <v>2057</v>
      </c>
      <c r="P316" s="1" t="s">
        <v>2056</v>
      </c>
      <c r="Q316" s="1" t="s">
        <v>1531</v>
      </c>
      <c r="R316" s="1">
        <f t="shared" si="4"/>
        <v>4</v>
      </c>
      <c r="S316" s="4">
        <f>J316*K316*M316</f>
        <v>12000</v>
      </c>
    </row>
    <row r="317" spans="1:19" ht="43" hidden="1" customHeight="1">
      <c r="A317" s="1" t="s">
        <v>2280</v>
      </c>
      <c r="B317" s="1" t="s">
        <v>1442</v>
      </c>
      <c r="C317" s="29">
        <v>45960.6594943866</v>
      </c>
      <c r="D317" s="1" t="s">
        <v>3052</v>
      </c>
      <c r="E317" s="1" t="s">
        <v>3053</v>
      </c>
      <c r="F317" s="1">
        <v>13</v>
      </c>
      <c r="G317" s="12" t="s">
        <v>639</v>
      </c>
      <c r="H317" s="1" t="s">
        <v>639</v>
      </c>
      <c r="I317" s="1" t="s">
        <v>62</v>
      </c>
      <c r="J317" s="30">
        <v>4</v>
      </c>
      <c r="K317" s="30">
        <v>25000</v>
      </c>
      <c r="L317" s="31">
        <v>100000</v>
      </c>
      <c r="M317" s="1" t="s">
        <v>30</v>
      </c>
      <c r="N317" s="1" t="s">
        <v>17</v>
      </c>
      <c r="O317" s="1" t="s">
        <v>2057</v>
      </c>
      <c r="P317" s="1" t="s">
        <v>2056</v>
      </c>
      <c r="Q317" s="1" t="s">
        <v>533</v>
      </c>
      <c r="R317" s="1">
        <f t="shared" si="4"/>
        <v>4</v>
      </c>
      <c r="S317" s="4">
        <f>J317*K317*M317</f>
        <v>10000</v>
      </c>
    </row>
    <row r="318" spans="1:19" ht="43" hidden="1" customHeight="1">
      <c r="A318" s="1" t="s">
        <v>2280</v>
      </c>
      <c r="B318" s="1" t="s">
        <v>1442</v>
      </c>
      <c r="C318" s="29">
        <v>45960.6594943866</v>
      </c>
      <c r="D318" s="1" t="s">
        <v>3052</v>
      </c>
      <c r="E318" s="1" t="s">
        <v>3053</v>
      </c>
      <c r="F318" s="1">
        <v>14</v>
      </c>
      <c r="G318" s="12" t="s">
        <v>639</v>
      </c>
      <c r="H318" s="1" t="s">
        <v>639</v>
      </c>
      <c r="I318" s="1" t="s">
        <v>62</v>
      </c>
      <c r="J318" s="30">
        <v>52.7</v>
      </c>
      <c r="K318" s="30">
        <v>23000</v>
      </c>
      <c r="L318" s="31">
        <v>1212100</v>
      </c>
      <c r="M318" s="1" t="s">
        <v>30</v>
      </c>
      <c r="N318" s="1" t="s">
        <v>17</v>
      </c>
      <c r="O318" s="1" t="s">
        <v>2057</v>
      </c>
      <c r="P318" s="1" t="s">
        <v>2056</v>
      </c>
      <c r="Q318" s="1" t="s">
        <v>533</v>
      </c>
      <c r="R318" s="1">
        <f t="shared" si="4"/>
        <v>4</v>
      </c>
      <c r="S318" s="4">
        <f>J318*K318*M318</f>
        <v>121210</v>
      </c>
    </row>
    <row r="319" spans="1:19" ht="43" hidden="1" customHeight="1">
      <c r="A319" s="1" t="s">
        <v>2280</v>
      </c>
      <c r="B319" s="1" t="s">
        <v>1446</v>
      </c>
      <c r="C319" s="29">
        <v>45957.708850381903</v>
      </c>
      <c r="D319" s="1" t="s">
        <v>3058</v>
      </c>
      <c r="E319" s="1" t="s">
        <v>3059</v>
      </c>
      <c r="F319" s="1">
        <v>2</v>
      </c>
      <c r="G319" s="12" t="s">
        <v>639</v>
      </c>
      <c r="H319" s="1" t="s">
        <v>639</v>
      </c>
      <c r="I319" s="1" t="s">
        <v>62</v>
      </c>
      <c r="J319" s="30">
        <v>8</v>
      </c>
      <c r="K319" s="30">
        <v>25000</v>
      </c>
      <c r="L319" s="31">
        <v>200000</v>
      </c>
      <c r="M319" s="1" t="s">
        <v>30</v>
      </c>
      <c r="N319" s="1" t="s">
        <v>17</v>
      </c>
      <c r="O319" s="1" t="s">
        <v>2057</v>
      </c>
      <c r="P319" s="1" t="s">
        <v>2056</v>
      </c>
      <c r="Q319" s="1" t="s">
        <v>1583</v>
      </c>
      <c r="R319" s="1">
        <f t="shared" si="4"/>
        <v>4</v>
      </c>
      <c r="S319" s="4">
        <f>J319*K319*M319</f>
        <v>20000</v>
      </c>
    </row>
    <row r="320" spans="1:19" ht="43" hidden="1" customHeight="1">
      <c r="A320" s="1" t="s">
        <v>2280</v>
      </c>
      <c r="B320" s="1" t="s">
        <v>188</v>
      </c>
      <c r="C320" s="29">
        <v>45928.944600393501</v>
      </c>
      <c r="D320" s="1" t="s">
        <v>3052</v>
      </c>
      <c r="E320" s="1" t="s">
        <v>3053</v>
      </c>
      <c r="F320" s="1">
        <v>6</v>
      </c>
      <c r="G320" s="12" t="s">
        <v>639</v>
      </c>
      <c r="H320" s="1" t="s">
        <v>639</v>
      </c>
      <c r="I320" s="1" t="s">
        <v>62</v>
      </c>
      <c r="J320" s="30">
        <v>38</v>
      </c>
      <c r="K320" s="30">
        <v>25000</v>
      </c>
      <c r="L320" s="31">
        <v>950000</v>
      </c>
      <c r="M320" s="1" t="s">
        <v>30</v>
      </c>
      <c r="N320" s="1" t="s">
        <v>17</v>
      </c>
      <c r="O320" s="1" t="s">
        <v>2057</v>
      </c>
      <c r="P320" s="1" t="s">
        <v>2056</v>
      </c>
      <c r="Q320" s="1" t="s">
        <v>546</v>
      </c>
      <c r="R320" s="1">
        <f t="shared" si="4"/>
        <v>3</v>
      </c>
      <c r="S320" s="4">
        <f>J320*K320*M320</f>
        <v>95000</v>
      </c>
    </row>
    <row r="321" spans="1:19" ht="43" hidden="1" customHeight="1">
      <c r="A321" s="1" t="s">
        <v>2280</v>
      </c>
      <c r="B321" s="1" t="s">
        <v>1034</v>
      </c>
      <c r="C321" s="29">
        <v>45928.7317327778</v>
      </c>
      <c r="D321" s="1" t="s">
        <v>3052</v>
      </c>
      <c r="E321" s="1" t="s">
        <v>3053</v>
      </c>
      <c r="F321" s="1">
        <v>16</v>
      </c>
      <c r="G321" s="12" t="s">
        <v>639</v>
      </c>
      <c r="H321" s="1" t="s">
        <v>639</v>
      </c>
      <c r="I321" s="1" t="s">
        <v>62</v>
      </c>
      <c r="J321" s="30">
        <v>6.5</v>
      </c>
      <c r="K321" s="30">
        <v>25000</v>
      </c>
      <c r="L321" s="31">
        <v>162500</v>
      </c>
      <c r="M321" s="1" t="s">
        <v>30</v>
      </c>
      <c r="N321" s="1" t="s">
        <v>17</v>
      </c>
      <c r="O321" s="1" t="s">
        <v>2057</v>
      </c>
      <c r="P321" s="1" t="s">
        <v>2056</v>
      </c>
      <c r="Q321" s="1" t="s">
        <v>546</v>
      </c>
      <c r="R321" s="1">
        <f t="shared" si="4"/>
        <v>3</v>
      </c>
      <c r="S321" s="4">
        <f>J321*K321*M321</f>
        <v>16250</v>
      </c>
    </row>
    <row r="322" spans="1:19" ht="43" hidden="1" customHeight="1">
      <c r="A322" s="1" t="s">
        <v>2072</v>
      </c>
      <c r="B322" s="1" t="s">
        <v>1250</v>
      </c>
      <c r="C322" s="29">
        <v>46021.613467673596</v>
      </c>
      <c r="D322" s="1" t="s">
        <v>3052</v>
      </c>
      <c r="E322" s="1" t="s">
        <v>3053</v>
      </c>
      <c r="F322" s="1">
        <v>7</v>
      </c>
      <c r="G322" s="12" t="s">
        <v>1339</v>
      </c>
      <c r="H322" s="1" t="s">
        <v>1339</v>
      </c>
      <c r="I322" s="1" t="s">
        <v>62</v>
      </c>
      <c r="J322" s="30">
        <v>68</v>
      </c>
      <c r="K322" s="30">
        <v>25000</v>
      </c>
      <c r="L322" s="31">
        <v>1700000</v>
      </c>
      <c r="M322" s="1" t="s">
        <v>30</v>
      </c>
      <c r="N322" s="1" t="s">
        <v>17</v>
      </c>
      <c r="O322" s="1" t="s">
        <v>2057</v>
      </c>
      <c r="P322" s="1" t="s">
        <v>2056</v>
      </c>
      <c r="Q322" s="1" t="s">
        <v>1474</v>
      </c>
      <c r="R322" s="1">
        <f t="shared" si="4"/>
        <v>4</v>
      </c>
      <c r="S322" s="4">
        <f>J322*K322*M322</f>
        <v>170000</v>
      </c>
    </row>
    <row r="323" spans="1:19" ht="43" hidden="1" customHeight="1">
      <c r="A323" s="1" t="s">
        <v>2072</v>
      </c>
      <c r="B323" s="1" t="s">
        <v>717</v>
      </c>
      <c r="C323" s="29">
        <v>46020.384472314799</v>
      </c>
      <c r="D323" s="1" t="s">
        <v>3052</v>
      </c>
      <c r="E323" s="1" t="s">
        <v>3053</v>
      </c>
      <c r="F323" s="1">
        <v>2</v>
      </c>
      <c r="G323" s="12" t="s">
        <v>1339</v>
      </c>
      <c r="H323" s="1" t="s">
        <v>1339</v>
      </c>
      <c r="I323" s="1" t="s">
        <v>62</v>
      </c>
      <c r="J323" s="30">
        <v>18</v>
      </c>
      <c r="K323" s="30">
        <v>25000</v>
      </c>
      <c r="L323" s="31">
        <v>450000</v>
      </c>
      <c r="M323" s="1" t="s">
        <v>30</v>
      </c>
      <c r="N323" s="1" t="s">
        <v>17</v>
      </c>
      <c r="O323" s="1" t="s">
        <v>2057</v>
      </c>
      <c r="P323" s="1" t="s">
        <v>2056</v>
      </c>
      <c r="Q323" s="1" t="s">
        <v>275</v>
      </c>
      <c r="R323" s="1">
        <f t="shared" ref="R323:R386" si="5">ROUNDUP(MONTH(Q323)/3,0)</f>
        <v>4</v>
      </c>
      <c r="S323" s="4">
        <f>J323*K323*M323</f>
        <v>45000</v>
      </c>
    </row>
    <row r="324" spans="1:19" ht="43" hidden="1" customHeight="1">
      <c r="A324" s="1" t="s">
        <v>2072</v>
      </c>
      <c r="B324" s="1" t="s">
        <v>717</v>
      </c>
      <c r="C324" s="29">
        <v>46020.384472314799</v>
      </c>
      <c r="D324" s="1" t="s">
        <v>3052</v>
      </c>
      <c r="E324" s="1" t="s">
        <v>3053</v>
      </c>
      <c r="F324" s="1">
        <v>13</v>
      </c>
      <c r="G324" s="12" t="s">
        <v>1339</v>
      </c>
      <c r="H324" s="1" t="s">
        <v>1339</v>
      </c>
      <c r="I324" s="1" t="s">
        <v>62</v>
      </c>
      <c r="J324" s="30">
        <v>50</v>
      </c>
      <c r="K324" s="30">
        <v>19000</v>
      </c>
      <c r="L324" s="31">
        <v>950000</v>
      </c>
      <c r="M324" s="1" t="s">
        <v>30</v>
      </c>
      <c r="N324" s="1" t="s">
        <v>17</v>
      </c>
      <c r="O324" s="1" t="s">
        <v>2057</v>
      </c>
      <c r="P324" s="1" t="s">
        <v>2056</v>
      </c>
      <c r="Q324" s="1" t="s">
        <v>275</v>
      </c>
      <c r="R324" s="1">
        <f t="shared" si="5"/>
        <v>4</v>
      </c>
      <c r="S324" s="4">
        <f>J324*K324*M324</f>
        <v>95000</v>
      </c>
    </row>
    <row r="325" spans="1:19" ht="43" hidden="1" customHeight="1">
      <c r="A325" s="1" t="s">
        <v>2280</v>
      </c>
      <c r="B325" s="1" t="s">
        <v>1404</v>
      </c>
      <c r="C325" s="29">
        <v>45990.3818009838</v>
      </c>
      <c r="D325" s="1" t="s">
        <v>3052</v>
      </c>
      <c r="E325" s="1" t="s">
        <v>3053</v>
      </c>
      <c r="F325" s="1">
        <v>5</v>
      </c>
      <c r="G325" s="12" t="s">
        <v>1339</v>
      </c>
      <c r="H325" s="1" t="s">
        <v>1339</v>
      </c>
      <c r="I325" s="1" t="s">
        <v>62</v>
      </c>
      <c r="J325" s="30">
        <v>29</v>
      </c>
      <c r="K325" s="30">
        <v>25000</v>
      </c>
      <c r="L325" s="31">
        <v>725000</v>
      </c>
      <c r="M325" s="1" t="s">
        <v>30</v>
      </c>
      <c r="N325" s="1" t="s">
        <v>17</v>
      </c>
      <c r="O325" s="1" t="s">
        <v>2057</v>
      </c>
      <c r="P325" s="1" t="s">
        <v>2056</v>
      </c>
      <c r="Q325" s="1" t="s">
        <v>1531</v>
      </c>
      <c r="R325" s="1">
        <f t="shared" si="5"/>
        <v>4</v>
      </c>
      <c r="S325" s="4">
        <f>J325*K325*M325</f>
        <v>72500</v>
      </c>
    </row>
    <row r="326" spans="1:19" ht="43" hidden="1" customHeight="1">
      <c r="A326" s="1" t="s">
        <v>2280</v>
      </c>
      <c r="B326" s="1" t="s">
        <v>1442</v>
      </c>
      <c r="C326" s="29">
        <v>45960.6594943866</v>
      </c>
      <c r="D326" s="1" t="s">
        <v>3052</v>
      </c>
      <c r="E326" s="1" t="s">
        <v>3053</v>
      </c>
      <c r="F326" s="1">
        <v>18</v>
      </c>
      <c r="G326" s="12" t="s">
        <v>1339</v>
      </c>
      <c r="H326" s="1" t="s">
        <v>1339</v>
      </c>
      <c r="I326" s="1" t="s">
        <v>62</v>
      </c>
      <c r="J326" s="30">
        <v>50</v>
      </c>
      <c r="K326" s="30">
        <v>20000</v>
      </c>
      <c r="L326" s="31">
        <v>1000000</v>
      </c>
      <c r="M326" s="1" t="s">
        <v>30</v>
      </c>
      <c r="N326" s="1" t="s">
        <v>17</v>
      </c>
      <c r="O326" s="1" t="s">
        <v>2057</v>
      </c>
      <c r="P326" s="1" t="s">
        <v>2056</v>
      </c>
      <c r="Q326" s="1" t="s">
        <v>533</v>
      </c>
      <c r="R326" s="1">
        <f t="shared" si="5"/>
        <v>4</v>
      </c>
      <c r="S326" s="4">
        <f>J326*K326*M326</f>
        <v>100000</v>
      </c>
    </row>
    <row r="327" spans="1:19" ht="43" hidden="1" customHeight="1">
      <c r="A327" s="1" t="s">
        <v>2280</v>
      </c>
      <c r="B327" s="1" t="s">
        <v>794</v>
      </c>
      <c r="C327" s="29">
        <v>45959.655037615703</v>
      </c>
      <c r="D327" s="1" t="s">
        <v>3052</v>
      </c>
      <c r="E327" s="1" t="s">
        <v>3053</v>
      </c>
      <c r="F327" s="1">
        <v>5</v>
      </c>
      <c r="G327" s="12" t="s">
        <v>1339</v>
      </c>
      <c r="H327" s="1" t="s">
        <v>1339</v>
      </c>
      <c r="I327" s="1" t="s">
        <v>62</v>
      </c>
      <c r="J327" s="30">
        <v>5.3</v>
      </c>
      <c r="K327" s="30">
        <v>25000</v>
      </c>
      <c r="L327" s="31">
        <v>132500</v>
      </c>
      <c r="M327" s="1" t="s">
        <v>30</v>
      </c>
      <c r="N327" s="1" t="s">
        <v>17</v>
      </c>
      <c r="O327" s="1" t="s">
        <v>2057</v>
      </c>
      <c r="P327" s="1" t="s">
        <v>2056</v>
      </c>
      <c r="Q327" s="1" t="s">
        <v>1578</v>
      </c>
      <c r="R327" s="1">
        <f t="shared" si="5"/>
        <v>4</v>
      </c>
      <c r="S327" s="4">
        <f>J327*K327*M327</f>
        <v>13250</v>
      </c>
    </row>
    <row r="328" spans="1:19" ht="43" hidden="1" customHeight="1">
      <c r="A328" s="1" t="s">
        <v>2280</v>
      </c>
      <c r="B328" s="1" t="s">
        <v>1449</v>
      </c>
      <c r="C328" s="29">
        <v>45948.596865787003</v>
      </c>
      <c r="D328" s="1" t="s">
        <v>3079</v>
      </c>
      <c r="E328" s="1" t="s">
        <v>3080</v>
      </c>
      <c r="F328" s="1">
        <v>2</v>
      </c>
      <c r="G328" s="12" t="s">
        <v>1339</v>
      </c>
      <c r="H328" s="1" t="s">
        <v>1339</v>
      </c>
      <c r="I328" s="1" t="s">
        <v>62</v>
      </c>
      <c r="J328" s="30">
        <v>4.5</v>
      </c>
      <c r="K328" s="30">
        <v>18000</v>
      </c>
      <c r="L328" s="31">
        <v>81000</v>
      </c>
      <c r="M328" s="1" t="s">
        <v>30</v>
      </c>
      <c r="N328" s="1" t="s">
        <v>17</v>
      </c>
      <c r="O328" s="1" t="s">
        <v>2057</v>
      </c>
      <c r="P328" s="1" t="s">
        <v>2056</v>
      </c>
      <c r="Q328" s="1" t="s">
        <v>459</v>
      </c>
      <c r="R328" s="1">
        <f t="shared" si="5"/>
        <v>4</v>
      </c>
      <c r="S328" s="4">
        <f>J328*K328*M328</f>
        <v>8100</v>
      </c>
    </row>
    <row r="329" spans="1:19" ht="43" hidden="1" customHeight="1">
      <c r="A329" s="1" t="s">
        <v>2280</v>
      </c>
      <c r="B329" s="1" t="s">
        <v>1461</v>
      </c>
      <c r="C329" s="29">
        <v>45933.358910983799</v>
      </c>
      <c r="D329" s="1" t="s">
        <v>3048</v>
      </c>
      <c r="E329" s="1" t="s">
        <v>3049</v>
      </c>
      <c r="F329" s="1">
        <v>6</v>
      </c>
      <c r="G329" s="12" t="s">
        <v>1339</v>
      </c>
      <c r="H329" s="1" t="s">
        <v>1339</v>
      </c>
      <c r="I329" s="1" t="s">
        <v>62</v>
      </c>
      <c r="J329" s="30">
        <v>12</v>
      </c>
      <c r="K329" s="30">
        <v>15000</v>
      </c>
      <c r="L329" s="31">
        <v>180000</v>
      </c>
      <c r="M329" s="1" t="s">
        <v>30</v>
      </c>
      <c r="N329" s="1" t="s">
        <v>17</v>
      </c>
      <c r="O329" s="1" t="s">
        <v>2057</v>
      </c>
      <c r="P329" s="1" t="s">
        <v>2056</v>
      </c>
      <c r="Q329" s="1" t="s">
        <v>1591</v>
      </c>
      <c r="R329" s="1">
        <f t="shared" si="5"/>
        <v>4</v>
      </c>
      <c r="S329" s="4">
        <f>J329*K329*M329</f>
        <v>18000</v>
      </c>
    </row>
    <row r="330" spans="1:19" ht="43" hidden="1" customHeight="1">
      <c r="A330" s="1" t="s">
        <v>2280</v>
      </c>
      <c r="B330" s="1" t="s">
        <v>188</v>
      </c>
      <c r="C330" s="29">
        <v>45928.944600393501</v>
      </c>
      <c r="D330" s="1" t="s">
        <v>3052</v>
      </c>
      <c r="E330" s="1" t="s">
        <v>3053</v>
      </c>
      <c r="F330" s="1">
        <v>15</v>
      </c>
      <c r="G330" s="12" t="s">
        <v>1339</v>
      </c>
      <c r="H330" s="1" t="s">
        <v>1339</v>
      </c>
      <c r="I330" s="1" t="s">
        <v>62</v>
      </c>
      <c r="J330" s="30">
        <v>4.5</v>
      </c>
      <c r="K330" s="30">
        <v>20000</v>
      </c>
      <c r="L330" s="31">
        <v>90000</v>
      </c>
      <c r="M330" s="1" t="s">
        <v>30</v>
      </c>
      <c r="N330" s="1" t="s">
        <v>17</v>
      </c>
      <c r="O330" s="1" t="s">
        <v>2057</v>
      </c>
      <c r="P330" s="1" t="s">
        <v>2056</v>
      </c>
      <c r="Q330" s="1" t="s">
        <v>546</v>
      </c>
      <c r="R330" s="1">
        <f t="shared" si="5"/>
        <v>3</v>
      </c>
      <c r="S330" s="4">
        <f>J330*K330*M330</f>
        <v>9000</v>
      </c>
    </row>
    <row r="331" spans="1:19" ht="43" hidden="1" customHeight="1">
      <c r="A331" s="1" t="s">
        <v>2280</v>
      </c>
      <c r="B331" s="1" t="s">
        <v>1034</v>
      </c>
      <c r="C331" s="29">
        <v>45928.7317327778</v>
      </c>
      <c r="D331" s="1" t="s">
        <v>3052</v>
      </c>
      <c r="E331" s="1" t="s">
        <v>3053</v>
      </c>
      <c r="F331" s="1">
        <v>12</v>
      </c>
      <c r="G331" s="12" t="s">
        <v>1339</v>
      </c>
      <c r="H331" s="1" t="s">
        <v>1339</v>
      </c>
      <c r="I331" s="1" t="s">
        <v>62</v>
      </c>
      <c r="J331" s="30">
        <v>6</v>
      </c>
      <c r="K331" s="30">
        <v>25000</v>
      </c>
      <c r="L331" s="31">
        <v>150000</v>
      </c>
      <c r="M331" s="1" t="s">
        <v>30</v>
      </c>
      <c r="N331" s="1" t="s">
        <v>17</v>
      </c>
      <c r="O331" s="1" t="s">
        <v>2057</v>
      </c>
      <c r="P331" s="1" t="s">
        <v>2056</v>
      </c>
      <c r="Q331" s="1" t="s">
        <v>546</v>
      </c>
      <c r="R331" s="1">
        <f t="shared" si="5"/>
        <v>3</v>
      </c>
      <c r="S331" s="4">
        <f>J331*K331*M331</f>
        <v>15000</v>
      </c>
    </row>
    <row r="332" spans="1:19" ht="43" hidden="1" customHeight="1">
      <c r="A332" s="1" t="s">
        <v>2280</v>
      </c>
      <c r="B332" s="1" t="s">
        <v>1274</v>
      </c>
      <c r="C332" s="29">
        <v>45833.380322511599</v>
      </c>
      <c r="D332" s="1" t="s">
        <v>3081</v>
      </c>
      <c r="E332" s="1" t="s">
        <v>3082</v>
      </c>
      <c r="F332" s="1">
        <v>1</v>
      </c>
      <c r="G332" s="12" t="s">
        <v>1339</v>
      </c>
      <c r="H332" s="1" t="s">
        <v>1339</v>
      </c>
      <c r="I332" s="1" t="s">
        <v>35</v>
      </c>
      <c r="J332" s="30">
        <v>500</v>
      </c>
      <c r="K332" s="30">
        <v>19000</v>
      </c>
      <c r="L332" s="31">
        <v>9500000</v>
      </c>
      <c r="M332" s="1" t="s">
        <v>30</v>
      </c>
      <c r="N332" s="1" t="s">
        <v>17</v>
      </c>
      <c r="O332" s="1" t="s">
        <v>2057</v>
      </c>
      <c r="P332" s="1" t="s">
        <v>2056</v>
      </c>
      <c r="Q332" s="1" t="s">
        <v>857</v>
      </c>
      <c r="R332" s="1">
        <f t="shared" si="5"/>
        <v>2</v>
      </c>
      <c r="S332" s="4">
        <f>J332*K332*M332</f>
        <v>950000</v>
      </c>
    </row>
    <row r="333" spans="1:19" ht="43" hidden="1" customHeight="1">
      <c r="A333" s="1" t="s">
        <v>2280</v>
      </c>
      <c r="B333" s="1" t="s">
        <v>1412</v>
      </c>
      <c r="C333" s="29">
        <v>45898.896986157401</v>
      </c>
      <c r="D333" s="1" t="s">
        <v>3052</v>
      </c>
      <c r="E333" s="1" t="s">
        <v>3053</v>
      </c>
      <c r="F333" s="1">
        <v>41</v>
      </c>
      <c r="G333" s="12" t="s">
        <v>773</v>
      </c>
      <c r="H333" s="1" t="s">
        <v>1692</v>
      </c>
      <c r="I333" s="1" t="s">
        <v>62</v>
      </c>
      <c r="J333" s="30">
        <v>1.5</v>
      </c>
      <c r="K333" s="30">
        <v>110000</v>
      </c>
      <c r="L333" s="31">
        <v>165000</v>
      </c>
      <c r="M333" s="1" t="s">
        <v>16</v>
      </c>
      <c r="N333" s="1" t="s">
        <v>17</v>
      </c>
      <c r="O333" s="1" t="s">
        <v>2057</v>
      </c>
      <c r="P333" s="1" t="s">
        <v>2056</v>
      </c>
      <c r="Q333" s="1" t="s">
        <v>652</v>
      </c>
      <c r="R333" s="1">
        <f t="shared" si="5"/>
        <v>3</v>
      </c>
      <c r="S333" s="4">
        <f>J333*K333*M333</f>
        <v>13200</v>
      </c>
    </row>
    <row r="334" spans="1:19" ht="43" hidden="1" customHeight="1">
      <c r="A334" s="1" t="s">
        <v>2280</v>
      </c>
      <c r="B334" s="1" t="s">
        <v>1462</v>
      </c>
      <c r="C334" s="29">
        <v>45928.944135983802</v>
      </c>
      <c r="D334" s="1" t="s">
        <v>3052</v>
      </c>
      <c r="E334" s="1" t="s">
        <v>3053</v>
      </c>
      <c r="F334" s="1">
        <v>19</v>
      </c>
      <c r="G334" s="12" t="s">
        <v>773</v>
      </c>
      <c r="H334" s="1" t="s">
        <v>773</v>
      </c>
      <c r="I334" s="1" t="s">
        <v>62</v>
      </c>
      <c r="J334" s="30">
        <v>1.5</v>
      </c>
      <c r="K334" s="30">
        <v>110000</v>
      </c>
      <c r="L334" s="31">
        <v>165000</v>
      </c>
      <c r="M334" s="1" t="s">
        <v>16</v>
      </c>
      <c r="N334" s="1" t="s">
        <v>17</v>
      </c>
      <c r="O334" s="1" t="s">
        <v>2057</v>
      </c>
      <c r="P334" s="1" t="s">
        <v>2056</v>
      </c>
      <c r="Q334" s="1" t="s">
        <v>546</v>
      </c>
      <c r="R334" s="1">
        <f t="shared" si="5"/>
        <v>3</v>
      </c>
      <c r="S334" s="4">
        <f>J334*K334*M334</f>
        <v>13200</v>
      </c>
    </row>
    <row r="335" spans="1:19" ht="43" hidden="1" customHeight="1">
      <c r="A335" s="1" t="s">
        <v>2072</v>
      </c>
      <c r="B335" s="1" t="s">
        <v>146</v>
      </c>
      <c r="C335" s="29">
        <v>46020.386763703696</v>
      </c>
      <c r="D335" s="1" t="s">
        <v>3052</v>
      </c>
      <c r="E335" s="1" t="s">
        <v>3053</v>
      </c>
      <c r="F335" s="1">
        <v>32</v>
      </c>
      <c r="G335" s="12" t="s">
        <v>1357</v>
      </c>
      <c r="H335" s="1" t="s">
        <v>1357</v>
      </c>
      <c r="I335" s="1" t="s">
        <v>130</v>
      </c>
      <c r="J335" s="30">
        <v>25</v>
      </c>
      <c r="K335" s="30">
        <v>40000</v>
      </c>
      <c r="L335" s="31">
        <v>1000000</v>
      </c>
      <c r="M335" s="1" t="s">
        <v>16</v>
      </c>
      <c r="N335" s="1" t="s">
        <v>17</v>
      </c>
      <c r="O335" s="1" t="s">
        <v>2057</v>
      </c>
      <c r="P335" s="1" t="s">
        <v>2056</v>
      </c>
      <c r="Q335" s="1" t="s">
        <v>275</v>
      </c>
      <c r="R335" s="1">
        <f t="shared" si="5"/>
        <v>4</v>
      </c>
      <c r="S335" s="4">
        <f>J335*K335*M335</f>
        <v>80000</v>
      </c>
    </row>
    <row r="336" spans="1:19" ht="43" hidden="1" customHeight="1">
      <c r="A336" s="1" t="s">
        <v>2072</v>
      </c>
      <c r="B336" s="1" t="s">
        <v>1294</v>
      </c>
      <c r="C336" s="29">
        <v>46021.613942164397</v>
      </c>
      <c r="D336" s="1" t="s">
        <v>3052</v>
      </c>
      <c r="E336" s="1" t="s">
        <v>3053</v>
      </c>
      <c r="F336" s="1">
        <v>44</v>
      </c>
      <c r="G336" s="12" t="s">
        <v>1486</v>
      </c>
      <c r="H336" s="1" t="s">
        <v>1486</v>
      </c>
      <c r="I336" s="1" t="s">
        <v>130</v>
      </c>
      <c r="J336" s="30">
        <v>100</v>
      </c>
      <c r="K336" s="30">
        <v>50000</v>
      </c>
      <c r="L336" s="31">
        <v>5000000</v>
      </c>
      <c r="M336" s="1" t="s">
        <v>16</v>
      </c>
      <c r="N336" s="1" t="s">
        <v>17</v>
      </c>
      <c r="O336" s="1" t="s">
        <v>2057</v>
      </c>
      <c r="P336" s="1" t="s">
        <v>2056</v>
      </c>
      <c r="Q336" s="1" t="s">
        <v>1474</v>
      </c>
      <c r="R336" s="1">
        <f t="shared" si="5"/>
        <v>4</v>
      </c>
      <c r="S336" s="4">
        <f>J336*K336*M336</f>
        <v>400000</v>
      </c>
    </row>
    <row r="337" spans="1:19" ht="43" hidden="1" customHeight="1">
      <c r="A337" s="1" t="s">
        <v>2072</v>
      </c>
      <c r="B337" s="1" t="s">
        <v>1294</v>
      </c>
      <c r="C337" s="29">
        <v>46021.613942164397</v>
      </c>
      <c r="D337" s="1" t="s">
        <v>3052</v>
      </c>
      <c r="E337" s="1" t="s">
        <v>3053</v>
      </c>
      <c r="F337" s="1">
        <v>45</v>
      </c>
      <c r="G337" s="12" t="s">
        <v>1487</v>
      </c>
      <c r="H337" s="1" t="s">
        <v>1487</v>
      </c>
      <c r="I337" s="1" t="s">
        <v>130</v>
      </c>
      <c r="J337" s="30">
        <v>2200</v>
      </c>
      <c r="K337" s="30">
        <v>2000</v>
      </c>
      <c r="L337" s="31">
        <v>4400000</v>
      </c>
      <c r="M337" s="1" t="s">
        <v>16</v>
      </c>
      <c r="N337" s="1" t="s">
        <v>17</v>
      </c>
      <c r="O337" s="1" t="s">
        <v>2057</v>
      </c>
      <c r="P337" s="1" t="s">
        <v>2056</v>
      </c>
      <c r="Q337" s="1" t="s">
        <v>1474</v>
      </c>
      <c r="R337" s="1">
        <f t="shared" si="5"/>
        <v>4</v>
      </c>
      <c r="S337" s="4">
        <f>J337*K337*M337</f>
        <v>352000</v>
      </c>
    </row>
    <row r="338" spans="1:19" ht="43" hidden="1" customHeight="1">
      <c r="A338" s="1" t="s">
        <v>2280</v>
      </c>
      <c r="B338" s="1" t="s">
        <v>1402</v>
      </c>
      <c r="C338" s="29">
        <v>45990.382403298601</v>
      </c>
      <c r="D338" s="1" t="s">
        <v>3052</v>
      </c>
      <c r="E338" s="1" t="s">
        <v>3053</v>
      </c>
      <c r="F338" s="1">
        <v>27</v>
      </c>
      <c r="G338" s="12" t="s">
        <v>1549</v>
      </c>
      <c r="H338" s="1" t="s">
        <v>1549</v>
      </c>
      <c r="I338" s="1" t="s">
        <v>130</v>
      </c>
      <c r="J338" s="30">
        <v>10</v>
      </c>
      <c r="K338" s="30">
        <v>100000</v>
      </c>
      <c r="L338" s="31">
        <v>1000000</v>
      </c>
      <c r="M338" s="1" t="s">
        <v>16</v>
      </c>
      <c r="N338" s="1" t="s">
        <v>17</v>
      </c>
      <c r="O338" s="1" t="s">
        <v>2057</v>
      </c>
      <c r="P338" s="1" t="s">
        <v>2056</v>
      </c>
      <c r="Q338" s="1" t="s">
        <v>1531</v>
      </c>
      <c r="R338" s="1">
        <f t="shared" si="5"/>
        <v>4</v>
      </c>
      <c r="S338" s="4">
        <f>J338*K338*M338</f>
        <v>80000</v>
      </c>
    </row>
    <row r="339" spans="1:19" ht="43" hidden="1" customHeight="1">
      <c r="A339" s="1" t="s">
        <v>2280</v>
      </c>
      <c r="B339" s="1" t="s">
        <v>1400</v>
      </c>
      <c r="C339" s="29">
        <v>45990.721094398097</v>
      </c>
      <c r="D339" s="1" t="s">
        <v>3052</v>
      </c>
      <c r="E339" s="1" t="s">
        <v>3053</v>
      </c>
      <c r="F339" s="1">
        <v>63</v>
      </c>
      <c r="G339" s="12" t="s">
        <v>1351</v>
      </c>
      <c r="H339" s="1" t="s">
        <v>1351</v>
      </c>
      <c r="I339" s="1" t="s">
        <v>130</v>
      </c>
      <c r="J339" s="30">
        <v>1</v>
      </c>
      <c r="K339" s="30">
        <v>45000</v>
      </c>
      <c r="L339" s="31">
        <v>45000</v>
      </c>
      <c r="M339" s="1" t="s">
        <v>16</v>
      </c>
      <c r="N339" s="1" t="s">
        <v>17</v>
      </c>
      <c r="O339" s="1" t="s">
        <v>2057</v>
      </c>
      <c r="P339" s="1" t="s">
        <v>2056</v>
      </c>
      <c r="Q339" s="1" t="s">
        <v>1531</v>
      </c>
      <c r="R339" s="1">
        <f t="shared" si="5"/>
        <v>4</v>
      </c>
      <c r="S339" s="4">
        <f>J339*K339*M339</f>
        <v>3600</v>
      </c>
    </row>
    <row r="340" spans="1:19" ht="43" hidden="1" customHeight="1">
      <c r="A340" s="1" t="s">
        <v>2280</v>
      </c>
      <c r="B340" s="1" t="s">
        <v>1402</v>
      </c>
      <c r="C340" s="29">
        <v>45990.382403298601</v>
      </c>
      <c r="D340" s="1" t="s">
        <v>3052</v>
      </c>
      <c r="E340" s="1" t="s">
        <v>3053</v>
      </c>
      <c r="F340" s="1">
        <v>25</v>
      </c>
      <c r="G340" s="12" t="s">
        <v>1351</v>
      </c>
      <c r="H340" s="1" t="s">
        <v>1351</v>
      </c>
      <c r="I340" s="1" t="s">
        <v>130</v>
      </c>
      <c r="J340" s="30">
        <v>20</v>
      </c>
      <c r="K340" s="30">
        <v>110000</v>
      </c>
      <c r="L340" s="31">
        <v>2200000</v>
      </c>
      <c r="M340" s="1" t="s">
        <v>16</v>
      </c>
      <c r="N340" s="1" t="s">
        <v>17</v>
      </c>
      <c r="O340" s="1" t="s">
        <v>2057</v>
      </c>
      <c r="P340" s="1" t="s">
        <v>2056</v>
      </c>
      <c r="Q340" s="1" t="s">
        <v>1531</v>
      </c>
      <c r="R340" s="1">
        <f t="shared" si="5"/>
        <v>4</v>
      </c>
      <c r="S340" s="4">
        <f>J340*K340*M340</f>
        <v>176000</v>
      </c>
    </row>
    <row r="341" spans="1:19" ht="43" hidden="1" customHeight="1">
      <c r="A341" s="1" t="s">
        <v>2072</v>
      </c>
      <c r="B341" s="1" t="s">
        <v>146</v>
      </c>
      <c r="C341" s="29">
        <v>46020.386763703696</v>
      </c>
      <c r="D341" s="1" t="s">
        <v>3052</v>
      </c>
      <c r="E341" s="1" t="s">
        <v>3053</v>
      </c>
      <c r="F341" s="1">
        <v>13</v>
      </c>
      <c r="G341" s="12" t="s">
        <v>492</v>
      </c>
      <c r="H341" s="1" t="s">
        <v>492</v>
      </c>
      <c r="I341" s="1" t="s">
        <v>130</v>
      </c>
      <c r="J341" s="30">
        <v>2</v>
      </c>
      <c r="K341" s="30">
        <v>25000</v>
      </c>
      <c r="L341" s="31">
        <v>50000</v>
      </c>
      <c r="M341" s="1" t="s">
        <v>16</v>
      </c>
      <c r="N341" s="1" t="s">
        <v>17</v>
      </c>
      <c r="O341" s="1" t="s">
        <v>2057</v>
      </c>
      <c r="P341" s="1" t="s">
        <v>2056</v>
      </c>
      <c r="Q341" s="1" t="s">
        <v>275</v>
      </c>
      <c r="R341" s="1">
        <f t="shared" si="5"/>
        <v>4</v>
      </c>
      <c r="S341" s="4">
        <f>J341*K341*M341</f>
        <v>4000</v>
      </c>
    </row>
    <row r="342" spans="1:19" ht="43" hidden="1" customHeight="1">
      <c r="A342" s="1" t="s">
        <v>2280</v>
      </c>
      <c r="B342" s="1" t="s">
        <v>379</v>
      </c>
      <c r="C342" s="29">
        <v>45959.6544954282</v>
      </c>
      <c r="D342" s="1" t="s">
        <v>3052</v>
      </c>
      <c r="E342" s="1" t="s">
        <v>3053</v>
      </c>
      <c r="F342" s="1">
        <v>28</v>
      </c>
      <c r="G342" s="12" t="s">
        <v>492</v>
      </c>
      <c r="H342" s="1" t="s">
        <v>492</v>
      </c>
      <c r="I342" s="1" t="s">
        <v>130</v>
      </c>
      <c r="J342" s="30">
        <v>1</v>
      </c>
      <c r="K342" s="30">
        <v>10000</v>
      </c>
      <c r="L342" s="31">
        <v>10000</v>
      </c>
      <c r="M342" s="1" t="s">
        <v>16</v>
      </c>
      <c r="N342" s="1" t="s">
        <v>17</v>
      </c>
      <c r="O342" s="1" t="s">
        <v>2057</v>
      </c>
      <c r="P342" s="1" t="s">
        <v>2056</v>
      </c>
      <c r="Q342" s="1" t="s">
        <v>1578</v>
      </c>
      <c r="R342" s="1">
        <f t="shared" si="5"/>
        <v>4</v>
      </c>
      <c r="S342" s="4">
        <f>J342*K342*M342</f>
        <v>800</v>
      </c>
    </row>
    <row r="343" spans="1:19" ht="43" hidden="1" customHeight="1">
      <c r="A343" s="1" t="s">
        <v>2072</v>
      </c>
      <c r="B343" s="1" t="s">
        <v>1294</v>
      </c>
      <c r="C343" s="29">
        <v>46021.613942164397</v>
      </c>
      <c r="D343" s="1" t="s">
        <v>3052</v>
      </c>
      <c r="E343" s="1" t="s">
        <v>3053</v>
      </c>
      <c r="F343" s="1">
        <v>69</v>
      </c>
      <c r="G343" s="12" t="s">
        <v>308</v>
      </c>
      <c r="H343" s="1" t="s">
        <v>308</v>
      </c>
      <c r="I343" s="1" t="s">
        <v>130</v>
      </c>
      <c r="J343" s="30">
        <v>1</v>
      </c>
      <c r="K343" s="30">
        <v>70000</v>
      </c>
      <c r="L343" s="31">
        <v>70000</v>
      </c>
      <c r="M343" s="1" t="s">
        <v>16</v>
      </c>
      <c r="N343" s="1" t="s">
        <v>17</v>
      </c>
      <c r="O343" s="1" t="s">
        <v>2057</v>
      </c>
      <c r="P343" s="1" t="s">
        <v>2056</v>
      </c>
      <c r="Q343" s="1" t="s">
        <v>1474</v>
      </c>
      <c r="R343" s="1">
        <f t="shared" si="5"/>
        <v>4</v>
      </c>
      <c r="S343" s="4">
        <f>J343*K343*M343</f>
        <v>5600</v>
      </c>
    </row>
    <row r="344" spans="1:19" ht="43" hidden="1" customHeight="1">
      <c r="A344" s="1" t="s">
        <v>2072</v>
      </c>
      <c r="B344" s="1" t="s">
        <v>146</v>
      </c>
      <c r="C344" s="29">
        <v>46020.386763703696</v>
      </c>
      <c r="D344" s="1" t="s">
        <v>3052</v>
      </c>
      <c r="E344" s="1" t="s">
        <v>3053</v>
      </c>
      <c r="F344" s="1">
        <v>36</v>
      </c>
      <c r="G344" s="12" t="s">
        <v>308</v>
      </c>
      <c r="H344" s="1" t="s">
        <v>308</v>
      </c>
      <c r="I344" s="1" t="s">
        <v>130</v>
      </c>
      <c r="J344" s="30">
        <v>3</v>
      </c>
      <c r="K344" s="30">
        <v>75000</v>
      </c>
      <c r="L344" s="31">
        <v>225000</v>
      </c>
      <c r="M344" s="1" t="s">
        <v>16</v>
      </c>
      <c r="N344" s="1" t="s">
        <v>17</v>
      </c>
      <c r="O344" s="1" t="s">
        <v>2057</v>
      </c>
      <c r="P344" s="1" t="s">
        <v>2056</v>
      </c>
      <c r="Q344" s="1" t="s">
        <v>275</v>
      </c>
      <c r="R344" s="1">
        <f t="shared" si="5"/>
        <v>4</v>
      </c>
      <c r="S344" s="4">
        <f>J344*K344*M344</f>
        <v>18000</v>
      </c>
    </row>
    <row r="345" spans="1:19" ht="43" hidden="1" customHeight="1">
      <c r="A345" s="1" t="s">
        <v>2280</v>
      </c>
      <c r="B345" s="1" t="s">
        <v>1400</v>
      </c>
      <c r="C345" s="29">
        <v>45990.721094398097</v>
      </c>
      <c r="D345" s="1" t="s">
        <v>3052</v>
      </c>
      <c r="E345" s="1" t="s">
        <v>3053</v>
      </c>
      <c r="F345" s="1">
        <v>26</v>
      </c>
      <c r="G345" s="12" t="s">
        <v>308</v>
      </c>
      <c r="H345" s="1" t="s">
        <v>308</v>
      </c>
      <c r="I345" s="1" t="s">
        <v>130</v>
      </c>
      <c r="J345" s="30">
        <v>1</v>
      </c>
      <c r="K345" s="30">
        <v>80000</v>
      </c>
      <c r="L345" s="31">
        <v>80000</v>
      </c>
      <c r="M345" s="1" t="s">
        <v>16</v>
      </c>
      <c r="N345" s="1" t="s">
        <v>17</v>
      </c>
      <c r="O345" s="1" t="s">
        <v>2057</v>
      </c>
      <c r="P345" s="1" t="s">
        <v>2056</v>
      </c>
      <c r="Q345" s="1" t="s">
        <v>1531</v>
      </c>
      <c r="R345" s="1">
        <f t="shared" si="5"/>
        <v>4</v>
      </c>
      <c r="S345" s="4">
        <f>J345*K345*M345</f>
        <v>6400</v>
      </c>
    </row>
    <row r="346" spans="1:19" ht="43" hidden="1" customHeight="1">
      <c r="A346" s="1" t="s">
        <v>2280</v>
      </c>
      <c r="B346" s="1" t="s">
        <v>1400</v>
      </c>
      <c r="C346" s="29">
        <v>45990.721094398097</v>
      </c>
      <c r="D346" s="1" t="s">
        <v>3052</v>
      </c>
      <c r="E346" s="1" t="s">
        <v>3053</v>
      </c>
      <c r="F346" s="1">
        <v>51</v>
      </c>
      <c r="G346" s="12" t="s">
        <v>1355</v>
      </c>
      <c r="H346" s="1" t="s">
        <v>1355</v>
      </c>
      <c r="I346" s="1" t="s">
        <v>130</v>
      </c>
      <c r="J346" s="30">
        <v>1</v>
      </c>
      <c r="K346" s="30">
        <v>80000</v>
      </c>
      <c r="L346" s="31">
        <v>80000</v>
      </c>
      <c r="M346" s="1" t="s">
        <v>16</v>
      </c>
      <c r="N346" s="1" t="s">
        <v>17</v>
      </c>
      <c r="O346" s="1" t="s">
        <v>2057</v>
      </c>
      <c r="P346" s="1" t="s">
        <v>2056</v>
      </c>
      <c r="Q346" s="1" t="s">
        <v>1531</v>
      </c>
      <c r="R346" s="1">
        <f t="shared" si="5"/>
        <v>4</v>
      </c>
      <c r="S346" s="4">
        <f>J346*K346*M346</f>
        <v>6400</v>
      </c>
    </row>
    <row r="347" spans="1:19" ht="43" hidden="1" customHeight="1">
      <c r="A347" s="1" t="s">
        <v>2072</v>
      </c>
      <c r="B347" s="1" t="s">
        <v>146</v>
      </c>
      <c r="C347" s="29">
        <v>46020.386763703696</v>
      </c>
      <c r="D347" s="1" t="s">
        <v>3052</v>
      </c>
      <c r="E347" s="1" t="s">
        <v>3053</v>
      </c>
      <c r="F347" s="1">
        <v>18</v>
      </c>
      <c r="G347" s="12" t="s">
        <v>1499</v>
      </c>
      <c r="H347" s="1" t="s">
        <v>1499</v>
      </c>
      <c r="I347" s="1" t="s">
        <v>130</v>
      </c>
      <c r="J347" s="30">
        <v>5</v>
      </c>
      <c r="K347" s="30">
        <v>15000</v>
      </c>
      <c r="L347" s="31">
        <v>75000</v>
      </c>
      <c r="M347" s="1" t="s">
        <v>16</v>
      </c>
      <c r="N347" s="1" t="s">
        <v>17</v>
      </c>
      <c r="O347" s="1" t="s">
        <v>2057</v>
      </c>
      <c r="P347" s="1" t="s">
        <v>2056</v>
      </c>
      <c r="Q347" s="1" t="s">
        <v>275</v>
      </c>
      <c r="R347" s="1">
        <f t="shared" si="5"/>
        <v>4</v>
      </c>
      <c r="S347" s="4">
        <f>J347*K347*M347</f>
        <v>6000</v>
      </c>
    </row>
    <row r="348" spans="1:19" ht="43" hidden="1" customHeight="1">
      <c r="A348" s="1" t="s">
        <v>2072</v>
      </c>
      <c r="B348" s="1" t="s">
        <v>146</v>
      </c>
      <c r="C348" s="29">
        <v>46020.386763703696</v>
      </c>
      <c r="D348" s="1" t="s">
        <v>3052</v>
      </c>
      <c r="E348" s="1" t="s">
        <v>3053</v>
      </c>
      <c r="F348" s="1">
        <v>11</v>
      </c>
      <c r="G348" s="12" t="s">
        <v>238</v>
      </c>
      <c r="H348" s="1" t="s">
        <v>238</v>
      </c>
      <c r="I348" s="1" t="s">
        <v>130</v>
      </c>
      <c r="J348" s="30">
        <v>3</v>
      </c>
      <c r="K348" s="30">
        <v>55000</v>
      </c>
      <c r="L348" s="31">
        <v>165000</v>
      </c>
      <c r="M348" s="1" t="s">
        <v>16</v>
      </c>
      <c r="N348" s="1" t="s">
        <v>17</v>
      </c>
      <c r="O348" s="1" t="s">
        <v>2057</v>
      </c>
      <c r="P348" s="1" t="s">
        <v>2056</v>
      </c>
      <c r="Q348" s="1" t="s">
        <v>275</v>
      </c>
      <c r="R348" s="1">
        <f t="shared" si="5"/>
        <v>4</v>
      </c>
      <c r="S348" s="4">
        <f>J348*K348*M348</f>
        <v>13200</v>
      </c>
    </row>
    <row r="349" spans="1:19" ht="43" hidden="1" customHeight="1">
      <c r="A349" s="1" t="s">
        <v>2280</v>
      </c>
      <c r="B349" s="1" t="s">
        <v>1442</v>
      </c>
      <c r="C349" s="29">
        <v>45960.6594943866</v>
      </c>
      <c r="D349" s="1" t="s">
        <v>3052</v>
      </c>
      <c r="E349" s="1" t="s">
        <v>3053</v>
      </c>
      <c r="F349" s="1">
        <v>17</v>
      </c>
      <c r="G349" s="12" t="s">
        <v>1568</v>
      </c>
      <c r="H349" s="1" t="s">
        <v>1568</v>
      </c>
      <c r="I349" s="1" t="s">
        <v>130</v>
      </c>
      <c r="J349" s="30">
        <v>1</v>
      </c>
      <c r="K349" s="30">
        <v>2650000</v>
      </c>
      <c r="L349" s="31">
        <v>2650000</v>
      </c>
      <c r="M349" s="1" t="s">
        <v>30</v>
      </c>
      <c r="N349" s="1" t="s">
        <v>17</v>
      </c>
      <c r="O349" s="1" t="s">
        <v>2057</v>
      </c>
      <c r="P349" s="1" t="s">
        <v>2056</v>
      </c>
      <c r="Q349" s="1" t="s">
        <v>533</v>
      </c>
      <c r="R349" s="1">
        <f t="shared" si="5"/>
        <v>4</v>
      </c>
      <c r="S349" s="4">
        <f>J349*K349*M349</f>
        <v>265000</v>
      </c>
    </row>
    <row r="350" spans="1:19" ht="43" hidden="1" customHeight="1">
      <c r="A350" s="1" t="s">
        <v>2072</v>
      </c>
      <c r="B350" s="1" t="s">
        <v>1294</v>
      </c>
      <c r="C350" s="29">
        <v>46021.613942164397</v>
      </c>
      <c r="D350" s="1" t="s">
        <v>3052</v>
      </c>
      <c r="E350" s="1" t="s">
        <v>3053</v>
      </c>
      <c r="F350" s="1">
        <v>5</v>
      </c>
      <c r="G350" s="12" t="s">
        <v>2102</v>
      </c>
      <c r="H350" s="1" t="s">
        <v>1475</v>
      </c>
      <c r="I350" s="1" t="s">
        <v>130</v>
      </c>
      <c r="J350" s="30">
        <v>2</v>
      </c>
      <c r="K350" s="30">
        <v>40000</v>
      </c>
      <c r="L350" s="31">
        <v>80000</v>
      </c>
      <c r="M350" s="1" t="s">
        <v>16</v>
      </c>
      <c r="N350" s="1" t="s">
        <v>17</v>
      </c>
      <c r="O350" s="1" t="s">
        <v>2057</v>
      </c>
      <c r="P350" s="1" t="s">
        <v>2056</v>
      </c>
      <c r="Q350" s="1" t="s">
        <v>1474</v>
      </c>
      <c r="R350" s="1">
        <f t="shared" si="5"/>
        <v>4</v>
      </c>
      <c r="S350" s="4">
        <f>J350*K350*M350</f>
        <v>6400</v>
      </c>
    </row>
    <row r="351" spans="1:19" ht="43" hidden="1" customHeight="1">
      <c r="A351" s="1" t="s">
        <v>2280</v>
      </c>
      <c r="B351" s="1" t="s">
        <v>1400</v>
      </c>
      <c r="C351" s="29">
        <v>45990.721094398097</v>
      </c>
      <c r="D351" s="1" t="s">
        <v>3052</v>
      </c>
      <c r="E351" s="1" t="s">
        <v>3053</v>
      </c>
      <c r="F351" s="1">
        <v>25</v>
      </c>
      <c r="G351" s="12" t="s">
        <v>2189</v>
      </c>
      <c r="H351" s="1" t="s">
        <v>1439</v>
      </c>
      <c r="I351" s="1" t="s">
        <v>62</v>
      </c>
      <c r="J351" s="30">
        <v>53.6</v>
      </c>
      <c r="K351" s="30">
        <v>21000</v>
      </c>
      <c r="L351" s="31">
        <v>1125600</v>
      </c>
      <c r="M351" s="1" t="s">
        <v>16</v>
      </c>
      <c r="N351" s="1" t="s">
        <v>17</v>
      </c>
      <c r="O351" s="1" t="s">
        <v>2057</v>
      </c>
      <c r="P351" s="1" t="s">
        <v>2056</v>
      </c>
      <c r="Q351" s="1" t="s">
        <v>1531</v>
      </c>
      <c r="R351" s="1">
        <f t="shared" si="5"/>
        <v>4</v>
      </c>
      <c r="S351" s="4">
        <f>J351*K351*M351</f>
        <v>90048</v>
      </c>
    </row>
    <row r="352" spans="1:19" ht="43" hidden="1" customHeight="1">
      <c r="A352" s="1" t="s">
        <v>2072</v>
      </c>
      <c r="B352" s="1" t="s">
        <v>146</v>
      </c>
      <c r="C352" s="29">
        <v>46020.386763703696</v>
      </c>
      <c r="D352" s="1" t="s">
        <v>3052</v>
      </c>
      <c r="E352" s="1" t="s">
        <v>3053</v>
      </c>
      <c r="F352" s="1">
        <v>3</v>
      </c>
      <c r="G352" s="12" t="s">
        <v>1330</v>
      </c>
      <c r="H352" s="1" t="s">
        <v>1330</v>
      </c>
      <c r="I352" s="1" t="s">
        <v>62</v>
      </c>
      <c r="J352" s="30">
        <v>3</v>
      </c>
      <c r="K352" s="30">
        <v>90000</v>
      </c>
      <c r="L352" s="31">
        <v>270000</v>
      </c>
      <c r="M352" s="1" t="s">
        <v>16</v>
      </c>
      <c r="N352" s="1" t="s">
        <v>17</v>
      </c>
      <c r="O352" s="1" t="s">
        <v>2057</v>
      </c>
      <c r="P352" s="1" t="s">
        <v>2056</v>
      </c>
      <c r="Q352" s="1" t="s">
        <v>275</v>
      </c>
      <c r="R352" s="1">
        <f t="shared" si="5"/>
        <v>4</v>
      </c>
      <c r="S352" s="4">
        <f>J352*K352*M352</f>
        <v>21600</v>
      </c>
    </row>
    <row r="353" spans="1:19" ht="43" hidden="1" customHeight="1">
      <c r="A353" s="1" t="s">
        <v>2280</v>
      </c>
      <c r="B353" s="1" t="s">
        <v>1402</v>
      </c>
      <c r="C353" s="29">
        <v>45990.382403298601</v>
      </c>
      <c r="D353" s="1" t="s">
        <v>3052</v>
      </c>
      <c r="E353" s="1" t="s">
        <v>3053</v>
      </c>
      <c r="F353" s="1">
        <v>6</v>
      </c>
      <c r="G353" s="12" t="s">
        <v>1330</v>
      </c>
      <c r="H353" s="1" t="s">
        <v>1330</v>
      </c>
      <c r="I353" s="1" t="s">
        <v>62</v>
      </c>
      <c r="J353" s="30">
        <v>10</v>
      </c>
      <c r="K353" s="30">
        <v>40000</v>
      </c>
      <c r="L353" s="31">
        <v>400000</v>
      </c>
      <c r="M353" s="1" t="s">
        <v>16</v>
      </c>
      <c r="N353" s="1" t="s">
        <v>17</v>
      </c>
      <c r="O353" s="1" t="s">
        <v>2057</v>
      </c>
      <c r="P353" s="1" t="s">
        <v>2056</v>
      </c>
      <c r="Q353" s="1" t="s">
        <v>1531</v>
      </c>
      <c r="R353" s="1">
        <f t="shared" si="5"/>
        <v>4</v>
      </c>
      <c r="S353" s="4">
        <f>J353*K353*M353</f>
        <v>32000</v>
      </c>
    </row>
    <row r="354" spans="1:19" ht="43" hidden="1" customHeight="1">
      <c r="A354" s="1" t="s">
        <v>2280</v>
      </c>
      <c r="B354" s="1" t="s">
        <v>379</v>
      </c>
      <c r="C354" s="29">
        <v>45959.6544954282</v>
      </c>
      <c r="D354" s="1" t="s">
        <v>3052</v>
      </c>
      <c r="E354" s="1" t="s">
        <v>3053</v>
      </c>
      <c r="F354" s="1">
        <v>7</v>
      </c>
      <c r="G354" s="12" t="s">
        <v>1330</v>
      </c>
      <c r="H354" s="1" t="s">
        <v>1330</v>
      </c>
      <c r="I354" s="1" t="s">
        <v>62</v>
      </c>
      <c r="J354" s="30">
        <v>6</v>
      </c>
      <c r="K354" s="30">
        <v>50000</v>
      </c>
      <c r="L354" s="31">
        <v>300000</v>
      </c>
      <c r="M354" s="1" t="s">
        <v>16</v>
      </c>
      <c r="N354" s="1" t="s">
        <v>17</v>
      </c>
      <c r="O354" s="1" t="s">
        <v>2057</v>
      </c>
      <c r="P354" s="1" t="s">
        <v>2056</v>
      </c>
      <c r="Q354" s="1" t="s">
        <v>1578</v>
      </c>
      <c r="R354" s="1">
        <f t="shared" si="5"/>
        <v>4</v>
      </c>
      <c r="S354" s="4">
        <f>J354*K354*M354</f>
        <v>24000</v>
      </c>
    </row>
    <row r="355" spans="1:19" ht="43" hidden="1" customHeight="1">
      <c r="A355" s="1" t="s">
        <v>2280</v>
      </c>
      <c r="B355" s="1" t="s">
        <v>1467</v>
      </c>
      <c r="C355" s="29">
        <v>45928.732318564798</v>
      </c>
      <c r="D355" s="1" t="s">
        <v>3052</v>
      </c>
      <c r="E355" s="1" t="s">
        <v>3053</v>
      </c>
      <c r="F355" s="1">
        <v>2</v>
      </c>
      <c r="G355" s="12" t="s">
        <v>1330</v>
      </c>
      <c r="H355" s="1" t="s">
        <v>1330</v>
      </c>
      <c r="I355" s="1" t="s">
        <v>45</v>
      </c>
      <c r="J355" s="30">
        <v>10</v>
      </c>
      <c r="K355" s="30">
        <v>40000</v>
      </c>
      <c r="L355" s="31">
        <v>400000</v>
      </c>
      <c r="M355" s="1" t="s">
        <v>16</v>
      </c>
      <c r="N355" s="1" t="s">
        <v>17</v>
      </c>
      <c r="O355" s="1" t="s">
        <v>2057</v>
      </c>
      <c r="P355" s="1" t="s">
        <v>2056</v>
      </c>
      <c r="Q355" s="1" t="s">
        <v>546</v>
      </c>
      <c r="R355" s="1">
        <f t="shared" si="5"/>
        <v>3</v>
      </c>
      <c r="S355" s="4">
        <f>J355*K355*M355</f>
        <v>32000</v>
      </c>
    </row>
    <row r="356" spans="1:19" ht="43" hidden="1" customHeight="1">
      <c r="A356" s="1" t="s">
        <v>2280</v>
      </c>
      <c r="B356" s="1" t="s">
        <v>1467</v>
      </c>
      <c r="C356" s="29">
        <v>45928.732318564798</v>
      </c>
      <c r="D356" s="1" t="s">
        <v>3052</v>
      </c>
      <c r="E356" s="1" t="s">
        <v>3053</v>
      </c>
      <c r="F356" s="1">
        <v>20</v>
      </c>
      <c r="G356" s="12" t="s">
        <v>1330</v>
      </c>
      <c r="H356" s="1" t="s">
        <v>1330</v>
      </c>
      <c r="I356" s="1" t="s">
        <v>62</v>
      </c>
      <c r="J356" s="30">
        <v>8.8000000000000007</v>
      </c>
      <c r="K356" s="30">
        <v>50000</v>
      </c>
      <c r="L356" s="31">
        <v>440000</v>
      </c>
      <c r="M356" s="1" t="s">
        <v>16</v>
      </c>
      <c r="N356" s="1" t="s">
        <v>17</v>
      </c>
      <c r="O356" s="1" t="s">
        <v>2057</v>
      </c>
      <c r="P356" s="1" t="s">
        <v>2056</v>
      </c>
      <c r="Q356" s="1" t="s">
        <v>546</v>
      </c>
      <c r="R356" s="1">
        <f t="shared" si="5"/>
        <v>3</v>
      </c>
      <c r="S356" s="4">
        <f>J356*K356*M356</f>
        <v>35200.000000000007</v>
      </c>
    </row>
    <row r="357" spans="1:19" ht="43" hidden="1" customHeight="1">
      <c r="A357" s="1" t="s">
        <v>2280</v>
      </c>
      <c r="B357" s="1" t="s">
        <v>91</v>
      </c>
      <c r="C357" s="29">
        <v>45899.644512638901</v>
      </c>
      <c r="D357" s="1" t="s">
        <v>3052</v>
      </c>
      <c r="E357" s="1" t="s">
        <v>3053</v>
      </c>
      <c r="F357" s="1">
        <v>12</v>
      </c>
      <c r="G357" s="12" t="s">
        <v>1330</v>
      </c>
      <c r="H357" s="1" t="s">
        <v>1330</v>
      </c>
      <c r="I357" s="1" t="s">
        <v>62</v>
      </c>
      <c r="J357" s="30">
        <v>3</v>
      </c>
      <c r="K357" s="30">
        <v>45000</v>
      </c>
      <c r="L357" s="31">
        <v>135000</v>
      </c>
      <c r="M357" s="1" t="s">
        <v>16</v>
      </c>
      <c r="N357" s="1" t="s">
        <v>17</v>
      </c>
      <c r="O357" s="1" t="s">
        <v>2057</v>
      </c>
      <c r="P357" s="1" t="s">
        <v>2056</v>
      </c>
      <c r="Q357" s="1" t="s">
        <v>636</v>
      </c>
      <c r="R357" s="1">
        <f t="shared" si="5"/>
        <v>3</v>
      </c>
      <c r="S357" s="4">
        <f>J357*K357*M357</f>
        <v>10800</v>
      </c>
    </row>
    <row r="358" spans="1:19" ht="43" hidden="1" customHeight="1">
      <c r="A358" s="1" t="s">
        <v>2280</v>
      </c>
      <c r="B358" s="1" t="s">
        <v>1158</v>
      </c>
      <c r="C358" s="29">
        <v>45868.606624756903</v>
      </c>
      <c r="D358" s="1" t="s">
        <v>3052</v>
      </c>
      <c r="E358" s="1" t="s">
        <v>3053</v>
      </c>
      <c r="F358" s="1">
        <v>28</v>
      </c>
      <c r="G358" s="12" t="s">
        <v>1330</v>
      </c>
      <c r="H358" s="1" t="s">
        <v>1330</v>
      </c>
      <c r="I358" s="1" t="s">
        <v>62</v>
      </c>
      <c r="J358" s="30">
        <v>60</v>
      </c>
      <c r="K358" s="30">
        <v>47033.34</v>
      </c>
      <c r="L358" s="31">
        <v>2822000</v>
      </c>
      <c r="M358" s="1" t="s">
        <v>16</v>
      </c>
      <c r="N358" s="1" t="s">
        <v>17</v>
      </c>
      <c r="O358" s="1" t="s">
        <v>2057</v>
      </c>
      <c r="P358" s="1" t="s">
        <v>2056</v>
      </c>
      <c r="Q358" s="1" t="s">
        <v>800</v>
      </c>
      <c r="R358" s="1">
        <f t="shared" si="5"/>
        <v>3</v>
      </c>
      <c r="S358" s="4">
        <f>J358*K358*M358</f>
        <v>225760.03200000001</v>
      </c>
    </row>
    <row r="359" spans="1:19" ht="43" hidden="1" customHeight="1">
      <c r="A359" s="1" t="s">
        <v>2280</v>
      </c>
      <c r="B359" s="1" t="s">
        <v>193</v>
      </c>
      <c r="C359" s="29">
        <v>45898.577999004599</v>
      </c>
      <c r="D359" s="1" t="s">
        <v>3058</v>
      </c>
      <c r="E359" s="1" t="s">
        <v>3059</v>
      </c>
      <c r="F359" s="1">
        <v>7</v>
      </c>
      <c r="G359" s="12" t="s">
        <v>1350</v>
      </c>
      <c r="H359" s="1" t="s">
        <v>1730</v>
      </c>
      <c r="I359" s="1" t="s">
        <v>1263</v>
      </c>
      <c r="J359" s="30">
        <v>1</v>
      </c>
      <c r="K359" s="30">
        <v>140000</v>
      </c>
      <c r="L359" s="31">
        <v>140000</v>
      </c>
      <c r="M359" s="1" t="s">
        <v>16</v>
      </c>
      <c r="N359" s="1" t="s">
        <v>17</v>
      </c>
      <c r="O359" s="1" t="s">
        <v>2057</v>
      </c>
      <c r="P359" s="1" t="s">
        <v>2056</v>
      </c>
      <c r="Q359" s="1" t="s">
        <v>652</v>
      </c>
      <c r="R359" s="1">
        <f t="shared" si="5"/>
        <v>3</v>
      </c>
      <c r="S359" s="4">
        <f>J359*K359*M359</f>
        <v>11200</v>
      </c>
    </row>
    <row r="360" spans="1:19" ht="43" hidden="1" customHeight="1">
      <c r="A360" s="1" t="s">
        <v>2280</v>
      </c>
      <c r="B360" s="1" t="s">
        <v>1193</v>
      </c>
      <c r="C360" s="29">
        <v>45989.802848981497</v>
      </c>
      <c r="D360" s="1" t="s">
        <v>3054</v>
      </c>
      <c r="E360" s="1" t="s">
        <v>3055</v>
      </c>
      <c r="F360" s="1">
        <v>5</v>
      </c>
      <c r="G360" s="12" t="s">
        <v>1285</v>
      </c>
      <c r="H360" s="1" t="s">
        <v>1285</v>
      </c>
      <c r="I360" s="1" t="s">
        <v>1263</v>
      </c>
      <c r="J360" s="30">
        <v>200</v>
      </c>
      <c r="K360" s="30">
        <v>4000</v>
      </c>
      <c r="L360" s="31">
        <v>800000</v>
      </c>
      <c r="M360" s="1" t="s">
        <v>16</v>
      </c>
      <c r="N360" s="1" t="s">
        <v>17</v>
      </c>
      <c r="O360" s="1" t="s">
        <v>2057</v>
      </c>
      <c r="P360" s="1" t="s">
        <v>2056</v>
      </c>
      <c r="Q360" s="1" t="s">
        <v>394</v>
      </c>
      <c r="R360" s="1">
        <f t="shared" si="5"/>
        <v>4</v>
      </c>
      <c r="S360" s="4">
        <f>J360*K360*M360</f>
        <v>64000</v>
      </c>
    </row>
    <row r="361" spans="1:19" ht="43" hidden="1" customHeight="1">
      <c r="A361" s="1" t="s">
        <v>2280</v>
      </c>
      <c r="B361" s="1" t="s">
        <v>326</v>
      </c>
      <c r="C361" s="29">
        <v>45960.658345080999</v>
      </c>
      <c r="D361" s="1" t="s">
        <v>3052</v>
      </c>
      <c r="E361" s="1" t="s">
        <v>3053</v>
      </c>
      <c r="F361" s="1">
        <v>14</v>
      </c>
      <c r="G361" s="12" t="s">
        <v>1285</v>
      </c>
      <c r="H361" s="1" t="s">
        <v>1285</v>
      </c>
      <c r="I361" s="1" t="s">
        <v>1263</v>
      </c>
      <c r="J361" s="30">
        <v>200</v>
      </c>
      <c r="K361" s="30">
        <v>4000</v>
      </c>
      <c r="L361" s="31">
        <v>800000</v>
      </c>
      <c r="M361" s="1" t="s">
        <v>16</v>
      </c>
      <c r="N361" s="1" t="s">
        <v>17</v>
      </c>
      <c r="O361" s="1" t="s">
        <v>2057</v>
      </c>
      <c r="P361" s="1" t="s">
        <v>2056</v>
      </c>
      <c r="Q361" s="1" t="s">
        <v>533</v>
      </c>
      <c r="R361" s="1">
        <f t="shared" si="5"/>
        <v>4</v>
      </c>
      <c r="S361" s="4">
        <f>J361*K361*M361</f>
        <v>64000</v>
      </c>
    </row>
    <row r="362" spans="1:19" ht="43" hidden="1" customHeight="1">
      <c r="A362" s="1" t="s">
        <v>2280</v>
      </c>
      <c r="B362" s="1" t="s">
        <v>1467</v>
      </c>
      <c r="C362" s="29">
        <v>45928.732318564798</v>
      </c>
      <c r="D362" s="1" t="s">
        <v>3052</v>
      </c>
      <c r="E362" s="1" t="s">
        <v>3053</v>
      </c>
      <c r="F362" s="1">
        <v>58</v>
      </c>
      <c r="G362" s="12" t="s">
        <v>1285</v>
      </c>
      <c r="H362" s="1" t="s">
        <v>1285</v>
      </c>
      <c r="I362" s="1" t="s">
        <v>1263</v>
      </c>
      <c r="J362" s="30">
        <v>100</v>
      </c>
      <c r="K362" s="30">
        <v>4000</v>
      </c>
      <c r="L362" s="31">
        <v>400000</v>
      </c>
      <c r="M362" s="1" t="s">
        <v>16</v>
      </c>
      <c r="N362" s="1" t="s">
        <v>17</v>
      </c>
      <c r="O362" s="1" t="s">
        <v>2057</v>
      </c>
      <c r="P362" s="1" t="s">
        <v>2056</v>
      </c>
      <c r="Q362" s="1" t="s">
        <v>546</v>
      </c>
      <c r="R362" s="1">
        <f t="shared" si="5"/>
        <v>3</v>
      </c>
      <c r="S362" s="4">
        <f>J362*K362*M362</f>
        <v>32000</v>
      </c>
    </row>
    <row r="363" spans="1:19" ht="43" hidden="1" customHeight="1">
      <c r="A363" s="1" t="s">
        <v>2280</v>
      </c>
      <c r="B363" s="1" t="s">
        <v>1420</v>
      </c>
      <c r="C363" s="29">
        <v>45866.7486208681</v>
      </c>
      <c r="D363" s="1" t="s">
        <v>3052</v>
      </c>
      <c r="E363" s="1" t="s">
        <v>3053</v>
      </c>
      <c r="F363" s="1">
        <v>22</v>
      </c>
      <c r="G363" s="12" t="s">
        <v>1285</v>
      </c>
      <c r="H363" s="1" t="s">
        <v>1285</v>
      </c>
      <c r="I363" s="1" t="s">
        <v>1263</v>
      </c>
      <c r="J363" s="30">
        <v>3</v>
      </c>
      <c r="K363" s="30">
        <v>10000</v>
      </c>
      <c r="L363" s="31">
        <v>30000</v>
      </c>
      <c r="M363" s="1" t="s">
        <v>16</v>
      </c>
      <c r="N363" s="1" t="s">
        <v>17</v>
      </c>
      <c r="O363" s="1" t="s">
        <v>2057</v>
      </c>
      <c r="P363" s="1" t="s">
        <v>2056</v>
      </c>
      <c r="Q363" s="1" t="s">
        <v>1763</v>
      </c>
      <c r="R363" s="1">
        <f t="shared" si="5"/>
        <v>3</v>
      </c>
      <c r="S363" s="4">
        <f>J363*K363*M363</f>
        <v>2400</v>
      </c>
    </row>
    <row r="364" spans="1:19" ht="43" hidden="1" customHeight="1">
      <c r="A364" s="1" t="s">
        <v>2072</v>
      </c>
      <c r="B364" s="1" t="s">
        <v>1294</v>
      </c>
      <c r="C364" s="29">
        <v>46021.613942164397</v>
      </c>
      <c r="D364" s="1" t="s">
        <v>3052</v>
      </c>
      <c r="E364" s="1" t="s">
        <v>3053</v>
      </c>
      <c r="F364" s="1">
        <v>38</v>
      </c>
      <c r="G364" s="12" t="s">
        <v>1350</v>
      </c>
      <c r="H364" s="1" t="s">
        <v>1350</v>
      </c>
      <c r="I364" s="1" t="s">
        <v>1263</v>
      </c>
      <c r="J364" s="30">
        <v>75</v>
      </c>
      <c r="K364" s="30">
        <v>35000</v>
      </c>
      <c r="L364" s="31">
        <v>2625000</v>
      </c>
      <c r="M364" s="1" t="s">
        <v>16</v>
      </c>
      <c r="N364" s="1" t="s">
        <v>17</v>
      </c>
      <c r="O364" s="1" t="s">
        <v>2057</v>
      </c>
      <c r="P364" s="1" t="s">
        <v>2056</v>
      </c>
      <c r="Q364" s="1" t="s">
        <v>1474</v>
      </c>
      <c r="R364" s="1">
        <f t="shared" si="5"/>
        <v>4</v>
      </c>
      <c r="S364" s="4">
        <f>J364*K364*M364</f>
        <v>210000</v>
      </c>
    </row>
    <row r="365" spans="1:19" ht="43" hidden="1" customHeight="1">
      <c r="A365" s="1" t="s">
        <v>2072</v>
      </c>
      <c r="B365" s="1" t="s">
        <v>146</v>
      </c>
      <c r="C365" s="29">
        <v>46020.386763703696</v>
      </c>
      <c r="D365" s="1" t="s">
        <v>3052</v>
      </c>
      <c r="E365" s="1" t="s">
        <v>3053</v>
      </c>
      <c r="F365" s="1">
        <v>19</v>
      </c>
      <c r="G365" s="12" t="s">
        <v>1350</v>
      </c>
      <c r="H365" s="1" t="s">
        <v>1350</v>
      </c>
      <c r="I365" s="1" t="s">
        <v>1263</v>
      </c>
      <c r="J365" s="30">
        <v>35</v>
      </c>
      <c r="K365" s="30">
        <v>35000</v>
      </c>
      <c r="L365" s="31">
        <v>1225000</v>
      </c>
      <c r="M365" s="1" t="s">
        <v>16</v>
      </c>
      <c r="N365" s="1" t="s">
        <v>17</v>
      </c>
      <c r="O365" s="1" t="s">
        <v>2057</v>
      </c>
      <c r="P365" s="1" t="s">
        <v>2056</v>
      </c>
      <c r="Q365" s="1" t="s">
        <v>275</v>
      </c>
      <c r="R365" s="1">
        <f t="shared" si="5"/>
        <v>4</v>
      </c>
      <c r="S365" s="4">
        <f>J365*K365*M365</f>
        <v>98000</v>
      </c>
    </row>
    <row r="366" spans="1:19" ht="43" hidden="1" customHeight="1">
      <c r="A366" s="1" t="s">
        <v>2280</v>
      </c>
      <c r="B366" s="1" t="s">
        <v>1193</v>
      </c>
      <c r="C366" s="29">
        <v>45989.802848981497</v>
      </c>
      <c r="D366" s="1" t="s">
        <v>3054</v>
      </c>
      <c r="E366" s="1" t="s">
        <v>3055</v>
      </c>
      <c r="F366" s="1">
        <v>4</v>
      </c>
      <c r="G366" s="12" t="s">
        <v>1350</v>
      </c>
      <c r="H366" s="1" t="s">
        <v>1350</v>
      </c>
      <c r="I366" s="1" t="s">
        <v>1263</v>
      </c>
      <c r="J366" s="30">
        <v>25</v>
      </c>
      <c r="K366" s="30">
        <v>35000</v>
      </c>
      <c r="L366" s="31">
        <v>875000</v>
      </c>
      <c r="M366" s="1" t="s">
        <v>16</v>
      </c>
      <c r="N366" s="1" t="s">
        <v>17</v>
      </c>
      <c r="O366" s="1" t="s">
        <v>2057</v>
      </c>
      <c r="P366" s="1" t="s">
        <v>2056</v>
      </c>
      <c r="Q366" s="1" t="s">
        <v>394</v>
      </c>
      <c r="R366" s="1">
        <f t="shared" si="5"/>
        <v>4</v>
      </c>
      <c r="S366" s="4">
        <f>J366*K366*M366</f>
        <v>70000</v>
      </c>
    </row>
    <row r="367" spans="1:19" ht="43" hidden="1" customHeight="1">
      <c r="A367" s="1" t="s">
        <v>2280</v>
      </c>
      <c r="B367" s="1" t="s">
        <v>326</v>
      </c>
      <c r="C367" s="29">
        <v>45960.658345080999</v>
      </c>
      <c r="D367" s="1" t="s">
        <v>3052</v>
      </c>
      <c r="E367" s="1" t="s">
        <v>3053</v>
      </c>
      <c r="F367" s="1">
        <v>4</v>
      </c>
      <c r="G367" s="12" t="s">
        <v>1350</v>
      </c>
      <c r="H367" s="1" t="s">
        <v>1350</v>
      </c>
      <c r="I367" s="1" t="s">
        <v>1263</v>
      </c>
      <c r="J367" s="30">
        <v>50</v>
      </c>
      <c r="K367" s="30">
        <v>35000</v>
      </c>
      <c r="L367" s="31">
        <v>1750000</v>
      </c>
      <c r="M367" s="1" t="s">
        <v>16</v>
      </c>
      <c r="N367" s="1" t="s">
        <v>17</v>
      </c>
      <c r="O367" s="1" t="s">
        <v>2057</v>
      </c>
      <c r="P367" s="1" t="s">
        <v>2056</v>
      </c>
      <c r="Q367" s="1" t="s">
        <v>533</v>
      </c>
      <c r="R367" s="1">
        <f t="shared" si="5"/>
        <v>4</v>
      </c>
      <c r="S367" s="4">
        <f>J367*K367*M367</f>
        <v>140000</v>
      </c>
    </row>
    <row r="368" spans="1:19" ht="43" hidden="1" customHeight="1">
      <c r="A368" s="1" t="s">
        <v>2280</v>
      </c>
      <c r="B368" s="1" t="s">
        <v>928</v>
      </c>
      <c r="C368" s="29">
        <v>45933.359213472198</v>
      </c>
      <c r="D368" s="1" t="s">
        <v>3048</v>
      </c>
      <c r="E368" s="1" t="s">
        <v>3049</v>
      </c>
      <c r="F368" s="1">
        <v>1</v>
      </c>
      <c r="G368" s="12" t="s">
        <v>1350</v>
      </c>
      <c r="H368" s="1" t="s">
        <v>1350</v>
      </c>
      <c r="I368" s="1" t="s">
        <v>1263</v>
      </c>
      <c r="J368" s="30">
        <v>4</v>
      </c>
      <c r="K368" s="30">
        <v>35000</v>
      </c>
      <c r="L368" s="31">
        <v>140000</v>
      </c>
      <c r="M368" s="1" t="s">
        <v>16</v>
      </c>
      <c r="N368" s="1" t="s">
        <v>17</v>
      </c>
      <c r="O368" s="1" t="s">
        <v>2057</v>
      </c>
      <c r="P368" s="1" t="s">
        <v>2056</v>
      </c>
      <c r="Q368" s="1" t="s">
        <v>1591</v>
      </c>
      <c r="R368" s="1">
        <f t="shared" si="5"/>
        <v>4</v>
      </c>
      <c r="S368" s="4">
        <f>J368*K368*M368</f>
        <v>11200</v>
      </c>
    </row>
    <row r="369" spans="1:19" ht="43" hidden="1" customHeight="1">
      <c r="A369" s="1" t="s">
        <v>2280</v>
      </c>
      <c r="B369" s="1" t="s">
        <v>1462</v>
      </c>
      <c r="C369" s="29">
        <v>45928.944135983802</v>
      </c>
      <c r="D369" s="1" t="s">
        <v>3052</v>
      </c>
      <c r="E369" s="1" t="s">
        <v>3053</v>
      </c>
      <c r="F369" s="1">
        <v>16</v>
      </c>
      <c r="G369" s="12" t="s">
        <v>1350</v>
      </c>
      <c r="H369" s="1" t="s">
        <v>1350</v>
      </c>
      <c r="I369" s="1" t="s">
        <v>1263</v>
      </c>
      <c r="J369" s="30">
        <v>75</v>
      </c>
      <c r="K369" s="30">
        <v>35000</v>
      </c>
      <c r="L369" s="31">
        <v>2625000</v>
      </c>
      <c r="M369" s="1" t="s">
        <v>16</v>
      </c>
      <c r="N369" s="1" t="s">
        <v>17</v>
      </c>
      <c r="O369" s="1" t="s">
        <v>2057</v>
      </c>
      <c r="P369" s="1" t="s">
        <v>2056</v>
      </c>
      <c r="Q369" s="1" t="s">
        <v>546</v>
      </c>
      <c r="R369" s="1">
        <f t="shared" si="5"/>
        <v>3</v>
      </c>
      <c r="S369" s="4">
        <f>J369*K369*M369</f>
        <v>210000</v>
      </c>
    </row>
    <row r="370" spans="1:19" ht="43" hidden="1" customHeight="1">
      <c r="A370" s="1" t="s">
        <v>2280</v>
      </c>
      <c r="B370" s="1" t="s">
        <v>1414</v>
      </c>
      <c r="C370" s="29">
        <v>45889.505948553197</v>
      </c>
      <c r="D370" s="1" t="s">
        <v>3054</v>
      </c>
      <c r="E370" s="1" t="s">
        <v>3055</v>
      </c>
      <c r="F370" s="1">
        <v>9</v>
      </c>
      <c r="G370" s="12" t="s">
        <v>1350</v>
      </c>
      <c r="H370" s="1" t="s">
        <v>1350</v>
      </c>
      <c r="I370" s="1" t="s">
        <v>1263</v>
      </c>
      <c r="J370" s="30">
        <v>25</v>
      </c>
      <c r="K370" s="30">
        <v>35000</v>
      </c>
      <c r="L370" s="31">
        <v>875000</v>
      </c>
      <c r="M370" s="1" t="s">
        <v>16</v>
      </c>
      <c r="N370" s="1" t="s">
        <v>17</v>
      </c>
      <c r="O370" s="1" t="s">
        <v>2057</v>
      </c>
      <c r="P370" s="1" t="s">
        <v>2056</v>
      </c>
      <c r="Q370" s="1" t="s">
        <v>674</v>
      </c>
      <c r="R370" s="1">
        <f t="shared" si="5"/>
        <v>3</v>
      </c>
      <c r="S370" s="4">
        <f>J370*K370*M370</f>
        <v>70000</v>
      </c>
    </row>
    <row r="371" spans="1:19" ht="43" hidden="1" customHeight="1">
      <c r="A371" s="1" t="s">
        <v>2280</v>
      </c>
      <c r="B371" s="1" t="s">
        <v>1420</v>
      </c>
      <c r="C371" s="29">
        <v>45866.7486208681</v>
      </c>
      <c r="D371" s="1" t="s">
        <v>3052</v>
      </c>
      <c r="E371" s="1" t="s">
        <v>3053</v>
      </c>
      <c r="F371" s="1">
        <v>8</v>
      </c>
      <c r="G371" s="12" t="s">
        <v>1350</v>
      </c>
      <c r="H371" s="1" t="s">
        <v>1350</v>
      </c>
      <c r="I371" s="1" t="s">
        <v>1263</v>
      </c>
      <c r="J371" s="30">
        <v>30</v>
      </c>
      <c r="K371" s="30">
        <v>35000</v>
      </c>
      <c r="L371" s="31">
        <v>1050000</v>
      </c>
      <c r="M371" s="1" t="s">
        <v>16</v>
      </c>
      <c r="N371" s="1" t="s">
        <v>17</v>
      </c>
      <c r="O371" s="1" t="s">
        <v>2057</v>
      </c>
      <c r="P371" s="1" t="s">
        <v>2056</v>
      </c>
      <c r="Q371" s="1" t="s">
        <v>1763</v>
      </c>
      <c r="R371" s="1">
        <f t="shared" si="5"/>
        <v>3</v>
      </c>
      <c r="S371" s="4">
        <f>J371*K371*M371</f>
        <v>84000</v>
      </c>
    </row>
    <row r="372" spans="1:19" ht="43" hidden="1" customHeight="1">
      <c r="A372" s="1" t="s">
        <v>2280</v>
      </c>
      <c r="B372" s="1" t="s">
        <v>717</v>
      </c>
      <c r="C372" s="29">
        <v>45807.729117129602</v>
      </c>
      <c r="D372" s="1" t="s">
        <v>3052</v>
      </c>
      <c r="E372" s="1" t="s">
        <v>3053</v>
      </c>
      <c r="F372" s="1">
        <v>3</v>
      </c>
      <c r="G372" s="12" t="s">
        <v>1350</v>
      </c>
      <c r="H372" s="1" t="s">
        <v>1350</v>
      </c>
      <c r="I372" s="1" t="s">
        <v>99</v>
      </c>
      <c r="J372" s="30">
        <v>30</v>
      </c>
      <c r="K372" s="30">
        <v>40000</v>
      </c>
      <c r="L372" s="31">
        <v>1200000</v>
      </c>
      <c r="M372" s="1" t="s">
        <v>30</v>
      </c>
      <c r="N372" s="1" t="s">
        <v>17</v>
      </c>
      <c r="O372" s="1" t="s">
        <v>2057</v>
      </c>
      <c r="P372" s="1" t="s">
        <v>2056</v>
      </c>
      <c r="Q372" s="1" t="s">
        <v>925</v>
      </c>
      <c r="R372" s="1">
        <f t="shared" si="5"/>
        <v>2</v>
      </c>
      <c r="S372" s="4">
        <f>J372*K372*M372</f>
        <v>120000</v>
      </c>
    </row>
    <row r="373" spans="1:19" ht="43" hidden="1" customHeight="1">
      <c r="A373" s="1" t="s">
        <v>2072</v>
      </c>
      <c r="B373" s="1" t="s">
        <v>1294</v>
      </c>
      <c r="C373" s="29">
        <v>46021.613942164397</v>
      </c>
      <c r="D373" s="1" t="s">
        <v>3052</v>
      </c>
      <c r="E373" s="1" t="s">
        <v>3053</v>
      </c>
      <c r="F373" s="1">
        <v>42</v>
      </c>
      <c r="G373" s="12" t="s">
        <v>1361</v>
      </c>
      <c r="H373" s="1" t="s">
        <v>1361</v>
      </c>
      <c r="I373" s="1" t="s">
        <v>1263</v>
      </c>
      <c r="J373" s="30">
        <v>20</v>
      </c>
      <c r="K373" s="30">
        <v>60000</v>
      </c>
      <c r="L373" s="31">
        <v>1200000</v>
      </c>
      <c r="M373" s="1" t="s">
        <v>16</v>
      </c>
      <c r="N373" s="1" t="s">
        <v>17</v>
      </c>
      <c r="O373" s="1" t="s">
        <v>2057</v>
      </c>
      <c r="P373" s="1" t="s">
        <v>2056</v>
      </c>
      <c r="Q373" s="1" t="s">
        <v>1474</v>
      </c>
      <c r="R373" s="1">
        <f t="shared" si="5"/>
        <v>4</v>
      </c>
      <c r="S373" s="4">
        <f>J373*K373*M373</f>
        <v>96000</v>
      </c>
    </row>
    <row r="374" spans="1:19" ht="43" hidden="1" customHeight="1">
      <c r="A374" s="1" t="s">
        <v>2280</v>
      </c>
      <c r="B374" s="1" t="s">
        <v>1462</v>
      </c>
      <c r="C374" s="29">
        <v>45928.944135983802</v>
      </c>
      <c r="D374" s="1" t="s">
        <v>3052</v>
      </c>
      <c r="E374" s="1" t="s">
        <v>3053</v>
      </c>
      <c r="F374" s="1">
        <v>21</v>
      </c>
      <c r="G374" s="12" t="s">
        <v>1361</v>
      </c>
      <c r="H374" s="1" t="s">
        <v>1361</v>
      </c>
      <c r="I374" s="1" t="s">
        <v>1263</v>
      </c>
      <c r="J374" s="30">
        <v>5</v>
      </c>
      <c r="K374" s="30">
        <v>90000</v>
      </c>
      <c r="L374" s="31">
        <v>450000</v>
      </c>
      <c r="M374" s="1" t="s">
        <v>16</v>
      </c>
      <c r="N374" s="1" t="s">
        <v>17</v>
      </c>
      <c r="O374" s="1" t="s">
        <v>2057</v>
      </c>
      <c r="P374" s="1" t="s">
        <v>2056</v>
      </c>
      <c r="Q374" s="1" t="s">
        <v>546</v>
      </c>
      <c r="R374" s="1">
        <f t="shared" si="5"/>
        <v>3</v>
      </c>
      <c r="S374" s="4">
        <f>J374*K374*M374</f>
        <v>36000</v>
      </c>
    </row>
    <row r="375" spans="1:19" ht="43" hidden="1" customHeight="1">
      <c r="A375" s="1" t="s">
        <v>2280</v>
      </c>
      <c r="B375" s="1" t="s">
        <v>91</v>
      </c>
      <c r="C375" s="29">
        <v>45899.644512638901</v>
      </c>
      <c r="D375" s="1" t="s">
        <v>3052</v>
      </c>
      <c r="E375" s="1" t="s">
        <v>3053</v>
      </c>
      <c r="F375" s="1">
        <v>5</v>
      </c>
      <c r="G375" s="12" t="s">
        <v>1361</v>
      </c>
      <c r="H375" s="1" t="s">
        <v>1361</v>
      </c>
      <c r="I375" s="1" t="s">
        <v>1263</v>
      </c>
      <c r="J375" s="30">
        <v>1</v>
      </c>
      <c r="K375" s="30">
        <v>60000</v>
      </c>
      <c r="L375" s="31">
        <v>60000</v>
      </c>
      <c r="M375" s="1" t="s">
        <v>16</v>
      </c>
      <c r="N375" s="1" t="s">
        <v>17</v>
      </c>
      <c r="O375" s="1" t="s">
        <v>2057</v>
      </c>
      <c r="P375" s="1" t="s">
        <v>2056</v>
      </c>
      <c r="Q375" s="1" t="s">
        <v>636</v>
      </c>
      <c r="R375" s="1">
        <f t="shared" si="5"/>
        <v>3</v>
      </c>
      <c r="S375" s="4">
        <f>J375*K375*M375</f>
        <v>4800</v>
      </c>
    </row>
    <row r="376" spans="1:19" ht="43" hidden="1" customHeight="1">
      <c r="A376" s="1" t="s">
        <v>2280</v>
      </c>
      <c r="B376" s="1" t="s">
        <v>1414</v>
      </c>
      <c r="C376" s="29">
        <v>45889.505948553197</v>
      </c>
      <c r="D376" s="1" t="s">
        <v>3054</v>
      </c>
      <c r="E376" s="1" t="s">
        <v>3055</v>
      </c>
      <c r="F376" s="1">
        <v>7</v>
      </c>
      <c r="G376" s="12" t="s">
        <v>1361</v>
      </c>
      <c r="H376" s="1" t="s">
        <v>1361</v>
      </c>
      <c r="I376" s="1" t="s">
        <v>1263</v>
      </c>
      <c r="J376" s="30">
        <v>30</v>
      </c>
      <c r="K376" s="30">
        <v>40000</v>
      </c>
      <c r="L376" s="31">
        <v>1200000</v>
      </c>
      <c r="M376" s="1" t="s">
        <v>16</v>
      </c>
      <c r="N376" s="1" t="s">
        <v>17</v>
      </c>
      <c r="O376" s="1" t="s">
        <v>2057</v>
      </c>
      <c r="P376" s="1" t="s">
        <v>2056</v>
      </c>
      <c r="Q376" s="1" t="s">
        <v>674</v>
      </c>
      <c r="R376" s="1">
        <f t="shared" si="5"/>
        <v>3</v>
      </c>
      <c r="S376" s="4">
        <f>J376*K376*M376</f>
        <v>96000</v>
      </c>
    </row>
    <row r="377" spans="1:19" ht="43" hidden="1" customHeight="1">
      <c r="A377" s="1" t="s">
        <v>2280</v>
      </c>
      <c r="B377" s="1" t="s">
        <v>1420</v>
      </c>
      <c r="C377" s="29">
        <v>45866.7486208681</v>
      </c>
      <c r="D377" s="1" t="s">
        <v>3052</v>
      </c>
      <c r="E377" s="1" t="s">
        <v>3053</v>
      </c>
      <c r="F377" s="1">
        <v>9</v>
      </c>
      <c r="G377" s="12" t="s">
        <v>1361</v>
      </c>
      <c r="H377" s="1" t="s">
        <v>1361</v>
      </c>
      <c r="I377" s="1" t="s">
        <v>1263</v>
      </c>
      <c r="J377" s="30">
        <v>5</v>
      </c>
      <c r="K377" s="30">
        <v>70000</v>
      </c>
      <c r="L377" s="31">
        <v>350000</v>
      </c>
      <c r="M377" s="1" t="s">
        <v>16</v>
      </c>
      <c r="N377" s="1" t="s">
        <v>17</v>
      </c>
      <c r="O377" s="1" t="s">
        <v>2057</v>
      </c>
      <c r="P377" s="1" t="s">
        <v>2056</v>
      </c>
      <c r="Q377" s="1" t="s">
        <v>1763</v>
      </c>
      <c r="R377" s="1">
        <f t="shared" si="5"/>
        <v>3</v>
      </c>
      <c r="S377" s="4">
        <f>J377*K377*M377</f>
        <v>28000</v>
      </c>
    </row>
    <row r="378" spans="1:19" ht="43" hidden="1" customHeight="1">
      <c r="A378" s="1" t="s">
        <v>2280</v>
      </c>
      <c r="B378" s="1" t="s">
        <v>1269</v>
      </c>
      <c r="C378" s="29">
        <v>45836.661507465302</v>
      </c>
      <c r="D378" s="1" t="s">
        <v>3072</v>
      </c>
      <c r="E378" s="1" t="s">
        <v>3073</v>
      </c>
      <c r="F378" s="1">
        <v>1</v>
      </c>
      <c r="G378" s="12" t="s">
        <v>1361</v>
      </c>
      <c r="H378" s="1" t="s">
        <v>1361</v>
      </c>
      <c r="I378" s="1" t="s">
        <v>1263</v>
      </c>
      <c r="J378" s="30">
        <v>14</v>
      </c>
      <c r="K378" s="30">
        <v>35000</v>
      </c>
      <c r="L378" s="31">
        <v>490000</v>
      </c>
      <c r="M378" s="1" t="s">
        <v>16</v>
      </c>
      <c r="N378" s="1" t="s">
        <v>17</v>
      </c>
      <c r="O378" s="1" t="s">
        <v>2057</v>
      </c>
      <c r="P378" s="1" t="s">
        <v>2056</v>
      </c>
      <c r="Q378" s="1" t="s">
        <v>845</v>
      </c>
      <c r="R378" s="1">
        <f t="shared" si="5"/>
        <v>2</v>
      </c>
      <c r="S378" s="4">
        <f>J378*K378*M378</f>
        <v>39200</v>
      </c>
    </row>
    <row r="379" spans="1:19" ht="43" hidden="1" customHeight="1">
      <c r="A379" s="1" t="s">
        <v>2280</v>
      </c>
      <c r="B379" s="1" t="s">
        <v>120</v>
      </c>
      <c r="C379" s="29">
        <v>45838.621748888901</v>
      </c>
      <c r="D379" s="1" t="s">
        <v>3052</v>
      </c>
      <c r="E379" s="1" t="s">
        <v>3053</v>
      </c>
      <c r="F379" s="1">
        <v>7</v>
      </c>
      <c r="G379" s="12" t="s">
        <v>847</v>
      </c>
      <c r="H379" s="1" t="s">
        <v>1823</v>
      </c>
      <c r="I379" s="1" t="s">
        <v>1263</v>
      </c>
      <c r="J379" s="30">
        <v>50</v>
      </c>
      <c r="K379" s="30">
        <v>5000</v>
      </c>
      <c r="L379" s="31">
        <v>250000</v>
      </c>
      <c r="M379" s="1" t="s">
        <v>16</v>
      </c>
      <c r="N379" s="1" t="s">
        <v>17</v>
      </c>
      <c r="O379" s="1" t="s">
        <v>2057</v>
      </c>
      <c r="P379" s="1" t="s">
        <v>2056</v>
      </c>
      <c r="Q379" s="1" t="s">
        <v>828</v>
      </c>
      <c r="R379" s="1">
        <f t="shared" si="5"/>
        <v>2</v>
      </c>
      <c r="S379" s="4">
        <f>J379*K379*M379</f>
        <v>20000</v>
      </c>
    </row>
    <row r="380" spans="1:19" ht="43" hidden="1" customHeight="1">
      <c r="A380" s="1" t="s">
        <v>2280</v>
      </c>
      <c r="B380" s="1" t="s">
        <v>928</v>
      </c>
      <c r="C380" s="29">
        <v>45933.359213472198</v>
      </c>
      <c r="D380" s="1" t="s">
        <v>3048</v>
      </c>
      <c r="E380" s="1" t="s">
        <v>3049</v>
      </c>
      <c r="F380" s="1">
        <v>2</v>
      </c>
      <c r="G380" s="12" t="s">
        <v>847</v>
      </c>
      <c r="H380" s="1" t="s">
        <v>1592</v>
      </c>
      <c r="I380" s="1" t="s">
        <v>1263</v>
      </c>
      <c r="J380" s="30">
        <v>20</v>
      </c>
      <c r="K380" s="30">
        <v>4000</v>
      </c>
      <c r="L380" s="31">
        <v>80000</v>
      </c>
      <c r="M380" s="1" t="s">
        <v>16</v>
      </c>
      <c r="N380" s="1" t="s">
        <v>17</v>
      </c>
      <c r="O380" s="1" t="s">
        <v>2057</v>
      </c>
      <c r="P380" s="1" t="s">
        <v>2056</v>
      </c>
      <c r="Q380" s="1" t="s">
        <v>1591</v>
      </c>
      <c r="R380" s="1">
        <f t="shared" si="5"/>
        <v>4</v>
      </c>
      <c r="S380" s="4">
        <f>J380*K380*M380</f>
        <v>6400</v>
      </c>
    </row>
    <row r="381" spans="1:19" ht="43" hidden="1" customHeight="1">
      <c r="A381" s="1" t="s">
        <v>2280</v>
      </c>
      <c r="B381" s="1" t="s">
        <v>1414</v>
      </c>
      <c r="C381" s="29">
        <v>45889.505948553197</v>
      </c>
      <c r="D381" s="1" t="s">
        <v>3054</v>
      </c>
      <c r="E381" s="1" t="s">
        <v>3055</v>
      </c>
      <c r="F381" s="1">
        <v>6</v>
      </c>
      <c r="G381" s="12" t="s">
        <v>847</v>
      </c>
      <c r="H381" s="1" t="s">
        <v>1741</v>
      </c>
      <c r="I381" s="1" t="s">
        <v>1263</v>
      </c>
      <c r="J381" s="30">
        <v>200</v>
      </c>
      <c r="K381" s="30">
        <v>4000</v>
      </c>
      <c r="L381" s="31">
        <v>800000</v>
      </c>
      <c r="M381" s="1" t="s">
        <v>16</v>
      </c>
      <c r="N381" s="1" t="s">
        <v>17</v>
      </c>
      <c r="O381" s="1" t="s">
        <v>2057</v>
      </c>
      <c r="P381" s="1" t="s">
        <v>2056</v>
      </c>
      <c r="Q381" s="1" t="s">
        <v>674</v>
      </c>
      <c r="R381" s="1">
        <f t="shared" si="5"/>
        <v>3</v>
      </c>
      <c r="S381" s="4">
        <f>J381*K381*M381</f>
        <v>64000</v>
      </c>
    </row>
    <row r="382" spans="1:19" ht="43" hidden="1" customHeight="1">
      <c r="A382" s="1" t="s">
        <v>2280</v>
      </c>
      <c r="B382" s="1" t="s">
        <v>1414</v>
      </c>
      <c r="C382" s="29">
        <v>45889.505948553197</v>
      </c>
      <c r="D382" s="1" t="s">
        <v>3054</v>
      </c>
      <c r="E382" s="1" t="s">
        <v>3055</v>
      </c>
      <c r="F382" s="1">
        <v>8</v>
      </c>
      <c r="G382" s="12" t="s">
        <v>1264</v>
      </c>
      <c r="H382" s="1" t="s">
        <v>1742</v>
      </c>
      <c r="I382" s="1" t="s">
        <v>1263</v>
      </c>
      <c r="J382" s="30">
        <v>200</v>
      </c>
      <c r="K382" s="30">
        <v>4000</v>
      </c>
      <c r="L382" s="31">
        <v>800000</v>
      </c>
      <c r="M382" s="1" t="s">
        <v>16</v>
      </c>
      <c r="N382" s="1" t="s">
        <v>17</v>
      </c>
      <c r="O382" s="1" t="s">
        <v>2057</v>
      </c>
      <c r="P382" s="1" t="s">
        <v>2056</v>
      </c>
      <c r="Q382" s="1" t="s">
        <v>674</v>
      </c>
      <c r="R382" s="1">
        <f t="shared" si="5"/>
        <v>3</v>
      </c>
      <c r="S382" s="4">
        <f>J382*K382*M382</f>
        <v>64000</v>
      </c>
    </row>
    <row r="383" spans="1:19" ht="43" hidden="1" customHeight="1">
      <c r="A383" s="1" t="s">
        <v>2280</v>
      </c>
      <c r="B383" s="1" t="s">
        <v>1462</v>
      </c>
      <c r="C383" s="29">
        <v>45928.944135983802</v>
      </c>
      <c r="D383" s="1" t="s">
        <v>3052</v>
      </c>
      <c r="E383" s="1" t="s">
        <v>3053</v>
      </c>
      <c r="F383" s="1">
        <v>45</v>
      </c>
      <c r="G383" s="12" t="s">
        <v>847</v>
      </c>
      <c r="H383" s="1" t="s">
        <v>1611</v>
      </c>
      <c r="I383" s="1" t="s">
        <v>1263</v>
      </c>
      <c r="J383" s="30">
        <v>100</v>
      </c>
      <c r="K383" s="30">
        <v>4000</v>
      </c>
      <c r="L383" s="31">
        <v>400000</v>
      </c>
      <c r="M383" s="1" t="s">
        <v>16</v>
      </c>
      <c r="N383" s="1" t="s">
        <v>17</v>
      </c>
      <c r="O383" s="1" t="s">
        <v>2057</v>
      </c>
      <c r="P383" s="1" t="s">
        <v>2056</v>
      </c>
      <c r="Q383" s="1" t="s">
        <v>546</v>
      </c>
      <c r="R383" s="1">
        <f t="shared" si="5"/>
        <v>3</v>
      </c>
      <c r="S383" s="4">
        <f>J383*K383*M383</f>
        <v>32000</v>
      </c>
    </row>
    <row r="384" spans="1:19" ht="43" hidden="1" customHeight="1">
      <c r="A384" s="1" t="s">
        <v>2072</v>
      </c>
      <c r="B384" s="1" t="s">
        <v>1294</v>
      </c>
      <c r="C384" s="29">
        <v>46021.613942164397</v>
      </c>
      <c r="D384" s="1" t="s">
        <v>3052</v>
      </c>
      <c r="E384" s="1" t="s">
        <v>3053</v>
      </c>
      <c r="F384" s="1">
        <v>16</v>
      </c>
      <c r="G384" s="12" t="s">
        <v>847</v>
      </c>
      <c r="H384" s="1" t="s">
        <v>847</v>
      </c>
      <c r="I384" s="1" t="s">
        <v>1263</v>
      </c>
      <c r="J384" s="30">
        <v>400</v>
      </c>
      <c r="K384" s="30">
        <v>4000</v>
      </c>
      <c r="L384" s="31">
        <v>1600000</v>
      </c>
      <c r="M384" s="1" t="s">
        <v>16</v>
      </c>
      <c r="N384" s="1" t="s">
        <v>17</v>
      </c>
      <c r="O384" s="1" t="s">
        <v>2057</v>
      </c>
      <c r="P384" s="1" t="s">
        <v>2056</v>
      </c>
      <c r="Q384" s="1" t="s">
        <v>1474</v>
      </c>
      <c r="R384" s="1">
        <f t="shared" si="5"/>
        <v>4</v>
      </c>
      <c r="S384" s="4">
        <f>J384*K384*M384</f>
        <v>128000</v>
      </c>
    </row>
    <row r="385" spans="1:19" ht="43" hidden="1" customHeight="1">
      <c r="A385" s="1" t="s">
        <v>2280</v>
      </c>
      <c r="B385" s="1" t="s">
        <v>1400</v>
      </c>
      <c r="C385" s="29">
        <v>45990.721094398097</v>
      </c>
      <c r="D385" s="1" t="s">
        <v>3052</v>
      </c>
      <c r="E385" s="1" t="s">
        <v>3053</v>
      </c>
      <c r="F385" s="1">
        <v>7</v>
      </c>
      <c r="G385" s="12" t="s">
        <v>847</v>
      </c>
      <c r="H385" s="1" t="s">
        <v>847</v>
      </c>
      <c r="I385" s="1" t="s">
        <v>1263</v>
      </c>
      <c r="J385" s="30">
        <v>200</v>
      </c>
      <c r="K385" s="30">
        <v>2500</v>
      </c>
      <c r="L385" s="31">
        <v>500000</v>
      </c>
      <c r="M385" s="1" t="s">
        <v>16</v>
      </c>
      <c r="N385" s="1" t="s">
        <v>17</v>
      </c>
      <c r="O385" s="1" t="s">
        <v>2057</v>
      </c>
      <c r="P385" s="1" t="s">
        <v>2056</v>
      </c>
      <c r="Q385" s="1" t="s">
        <v>1531</v>
      </c>
      <c r="R385" s="1">
        <f t="shared" si="5"/>
        <v>4</v>
      </c>
      <c r="S385" s="4">
        <f>J385*K385*M385</f>
        <v>40000</v>
      </c>
    </row>
    <row r="386" spans="1:19" ht="43" hidden="1" customHeight="1">
      <c r="A386" s="1" t="s">
        <v>2280</v>
      </c>
      <c r="B386" s="1" t="s">
        <v>1467</v>
      </c>
      <c r="C386" s="29">
        <v>45928.732318564798</v>
      </c>
      <c r="D386" s="1" t="s">
        <v>3052</v>
      </c>
      <c r="E386" s="1" t="s">
        <v>3053</v>
      </c>
      <c r="F386" s="1">
        <v>5</v>
      </c>
      <c r="G386" s="12" t="s">
        <v>847</v>
      </c>
      <c r="H386" s="1" t="s">
        <v>847</v>
      </c>
      <c r="I386" s="1" t="s">
        <v>1263</v>
      </c>
      <c r="J386" s="30">
        <v>30</v>
      </c>
      <c r="K386" s="30">
        <v>10000</v>
      </c>
      <c r="L386" s="31">
        <v>300000</v>
      </c>
      <c r="M386" s="1" t="s">
        <v>16</v>
      </c>
      <c r="N386" s="1" t="s">
        <v>17</v>
      </c>
      <c r="O386" s="1" t="s">
        <v>2057</v>
      </c>
      <c r="P386" s="1" t="s">
        <v>2056</v>
      </c>
      <c r="Q386" s="1" t="s">
        <v>546</v>
      </c>
      <c r="R386" s="1">
        <f t="shared" si="5"/>
        <v>3</v>
      </c>
      <c r="S386" s="4">
        <f>J386*K386*M386</f>
        <v>24000</v>
      </c>
    </row>
    <row r="387" spans="1:19" ht="43" hidden="1" customHeight="1">
      <c r="A387" s="1" t="s">
        <v>2280</v>
      </c>
      <c r="B387" s="1" t="s">
        <v>1412</v>
      </c>
      <c r="C387" s="29">
        <v>45898.896986157401</v>
      </c>
      <c r="D387" s="1" t="s">
        <v>3052</v>
      </c>
      <c r="E387" s="1" t="s">
        <v>3053</v>
      </c>
      <c r="F387" s="1">
        <v>42</v>
      </c>
      <c r="G387" s="12" t="s">
        <v>847</v>
      </c>
      <c r="H387" s="1" t="s">
        <v>847</v>
      </c>
      <c r="I387" s="1" t="s">
        <v>1263</v>
      </c>
      <c r="J387" s="30">
        <v>400</v>
      </c>
      <c r="K387" s="30">
        <v>4000</v>
      </c>
      <c r="L387" s="31">
        <v>1600000</v>
      </c>
      <c r="M387" s="1" t="s">
        <v>16</v>
      </c>
      <c r="N387" s="1" t="s">
        <v>17</v>
      </c>
      <c r="O387" s="1" t="s">
        <v>2057</v>
      </c>
      <c r="P387" s="1" t="s">
        <v>2056</v>
      </c>
      <c r="Q387" s="1" t="s">
        <v>652</v>
      </c>
      <c r="R387" s="1">
        <f t="shared" ref="R387:R450" si="6">ROUNDUP(MONTH(Q387)/3,0)</f>
        <v>3</v>
      </c>
      <c r="S387" s="4">
        <f>J387*K387*M387</f>
        <v>128000</v>
      </c>
    </row>
    <row r="388" spans="1:19" ht="43" hidden="1" customHeight="1">
      <c r="A388" s="1" t="s">
        <v>2280</v>
      </c>
      <c r="B388" s="1" t="s">
        <v>1420</v>
      </c>
      <c r="C388" s="29">
        <v>45866.7486208681</v>
      </c>
      <c r="D388" s="1" t="s">
        <v>3052</v>
      </c>
      <c r="E388" s="1" t="s">
        <v>3053</v>
      </c>
      <c r="F388" s="1">
        <v>10</v>
      </c>
      <c r="G388" s="12" t="s">
        <v>847</v>
      </c>
      <c r="H388" s="1" t="s">
        <v>847</v>
      </c>
      <c r="I388" s="1" t="s">
        <v>1263</v>
      </c>
      <c r="J388" s="30">
        <v>150</v>
      </c>
      <c r="K388" s="30">
        <v>4000</v>
      </c>
      <c r="L388" s="31">
        <v>600000</v>
      </c>
      <c r="M388" s="1" t="s">
        <v>16</v>
      </c>
      <c r="N388" s="1" t="s">
        <v>17</v>
      </c>
      <c r="O388" s="1" t="s">
        <v>2057</v>
      </c>
      <c r="P388" s="1" t="s">
        <v>2056</v>
      </c>
      <c r="Q388" s="1" t="s">
        <v>1763</v>
      </c>
      <c r="R388" s="1">
        <f t="shared" si="6"/>
        <v>3</v>
      </c>
      <c r="S388" s="4">
        <f>J388*K388*M388</f>
        <v>48000</v>
      </c>
    </row>
    <row r="389" spans="1:19" ht="43" hidden="1" customHeight="1">
      <c r="A389" s="1" t="s">
        <v>2280</v>
      </c>
      <c r="B389" s="1" t="s">
        <v>1420</v>
      </c>
      <c r="C389" s="29">
        <v>45866.7486208681</v>
      </c>
      <c r="D389" s="1" t="s">
        <v>3052</v>
      </c>
      <c r="E389" s="1" t="s">
        <v>3053</v>
      </c>
      <c r="F389" s="1">
        <v>17</v>
      </c>
      <c r="G389" s="12" t="s">
        <v>849</v>
      </c>
      <c r="H389" s="1" t="s">
        <v>849</v>
      </c>
      <c r="I389" s="1" t="s">
        <v>1263</v>
      </c>
      <c r="J389" s="30">
        <v>30</v>
      </c>
      <c r="K389" s="30">
        <v>40000</v>
      </c>
      <c r="L389" s="31">
        <v>1200000</v>
      </c>
      <c r="M389" s="1" t="s">
        <v>16</v>
      </c>
      <c r="N389" s="1" t="s">
        <v>17</v>
      </c>
      <c r="O389" s="1" t="s">
        <v>2057</v>
      </c>
      <c r="P389" s="1" t="s">
        <v>2056</v>
      </c>
      <c r="Q389" s="1" t="s">
        <v>1763</v>
      </c>
      <c r="R389" s="1">
        <f t="shared" si="6"/>
        <v>3</v>
      </c>
      <c r="S389" s="4">
        <f>J389*K389*M389</f>
        <v>96000</v>
      </c>
    </row>
    <row r="390" spans="1:19" ht="43" hidden="1" customHeight="1">
      <c r="A390" s="1" t="s">
        <v>2072</v>
      </c>
      <c r="B390" s="1" t="s">
        <v>1295</v>
      </c>
      <c r="C390" s="29">
        <v>46019.8874690046</v>
      </c>
      <c r="F390" s="1">
        <v>1</v>
      </c>
      <c r="G390" s="12" t="s">
        <v>1332</v>
      </c>
      <c r="H390" s="1" t="s">
        <v>1332</v>
      </c>
      <c r="I390" s="1" t="s">
        <v>1263</v>
      </c>
      <c r="J390" s="30">
        <v>20</v>
      </c>
      <c r="K390" s="30">
        <v>2200</v>
      </c>
      <c r="L390" s="31">
        <v>44000</v>
      </c>
      <c r="M390" s="1" t="s">
        <v>16</v>
      </c>
      <c r="N390" s="1" t="s">
        <v>17</v>
      </c>
      <c r="O390" s="1" t="s">
        <v>2057</v>
      </c>
      <c r="P390" s="1" t="s">
        <v>2056</v>
      </c>
      <c r="Q390" s="1" t="s">
        <v>260</v>
      </c>
      <c r="R390" s="1">
        <f t="shared" si="6"/>
        <v>4</v>
      </c>
      <c r="S390" s="4">
        <f>J390*K390*M390</f>
        <v>3520</v>
      </c>
    </row>
    <row r="391" spans="1:19" ht="43" hidden="1" customHeight="1">
      <c r="A391" s="1" t="s">
        <v>2072</v>
      </c>
      <c r="B391" s="1" t="s">
        <v>186</v>
      </c>
      <c r="C391" s="29">
        <v>46012.939181215297</v>
      </c>
      <c r="F391" s="1">
        <v>1</v>
      </c>
      <c r="G391" s="12" t="s">
        <v>1332</v>
      </c>
      <c r="H391" s="1" t="s">
        <v>1332</v>
      </c>
      <c r="I391" s="1" t="s">
        <v>1263</v>
      </c>
      <c r="J391" s="30">
        <v>20</v>
      </c>
      <c r="K391" s="30">
        <v>2200</v>
      </c>
      <c r="L391" s="31">
        <v>44000</v>
      </c>
      <c r="M391" s="1" t="s">
        <v>16</v>
      </c>
      <c r="N391" s="1" t="s">
        <v>17</v>
      </c>
      <c r="O391" s="1" t="s">
        <v>2057</v>
      </c>
      <c r="P391" s="1" t="s">
        <v>2056</v>
      </c>
      <c r="Q391" s="1" t="s">
        <v>295</v>
      </c>
      <c r="R391" s="1">
        <f t="shared" si="6"/>
        <v>4</v>
      </c>
      <c r="S391" s="4">
        <f>J391*K391*M391</f>
        <v>3520</v>
      </c>
    </row>
    <row r="392" spans="1:19" ht="43" hidden="1" customHeight="1">
      <c r="A392" s="1" t="s">
        <v>2280</v>
      </c>
      <c r="B392" s="1" t="s">
        <v>1400</v>
      </c>
      <c r="C392" s="29">
        <v>45990.721094398097</v>
      </c>
      <c r="D392" s="1" t="s">
        <v>3052</v>
      </c>
      <c r="E392" s="1" t="s">
        <v>3053</v>
      </c>
      <c r="F392" s="1">
        <v>18</v>
      </c>
      <c r="G392" s="12" t="s">
        <v>1332</v>
      </c>
      <c r="H392" s="1" t="s">
        <v>1332</v>
      </c>
      <c r="I392" s="1" t="s">
        <v>1263</v>
      </c>
      <c r="J392" s="30">
        <v>200</v>
      </c>
      <c r="K392" s="30">
        <v>4000</v>
      </c>
      <c r="L392" s="31">
        <v>800000</v>
      </c>
      <c r="M392" s="1" t="s">
        <v>16</v>
      </c>
      <c r="N392" s="1" t="s">
        <v>17</v>
      </c>
      <c r="O392" s="1" t="s">
        <v>2057</v>
      </c>
      <c r="P392" s="1" t="s">
        <v>2056</v>
      </c>
      <c r="Q392" s="1" t="s">
        <v>1531</v>
      </c>
      <c r="R392" s="1">
        <f t="shared" si="6"/>
        <v>4</v>
      </c>
      <c r="S392" s="4">
        <f>J392*K392*M392</f>
        <v>64000</v>
      </c>
    </row>
    <row r="393" spans="1:19" ht="43" hidden="1" customHeight="1">
      <c r="A393" s="1" t="s">
        <v>2072</v>
      </c>
      <c r="B393" s="1" t="s">
        <v>1294</v>
      </c>
      <c r="C393" s="29">
        <v>46021.613942164397</v>
      </c>
      <c r="D393" s="1" t="s">
        <v>3052</v>
      </c>
      <c r="E393" s="1" t="s">
        <v>3053</v>
      </c>
      <c r="F393" s="1">
        <v>11</v>
      </c>
      <c r="G393" s="12" t="s">
        <v>382</v>
      </c>
      <c r="H393" s="1" t="s">
        <v>382</v>
      </c>
      <c r="I393" s="1" t="s">
        <v>1263</v>
      </c>
      <c r="J393" s="30">
        <v>350</v>
      </c>
      <c r="K393" s="30">
        <v>6000</v>
      </c>
      <c r="L393" s="31">
        <v>2100000</v>
      </c>
      <c r="M393" s="1" t="s">
        <v>16</v>
      </c>
      <c r="N393" s="1" t="s">
        <v>17</v>
      </c>
      <c r="O393" s="1" t="s">
        <v>2057</v>
      </c>
      <c r="P393" s="1" t="s">
        <v>2056</v>
      </c>
      <c r="Q393" s="1" t="s">
        <v>1474</v>
      </c>
      <c r="R393" s="1">
        <f t="shared" si="6"/>
        <v>4</v>
      </c>
      <c r="S393" s="4">
        <f>J393*K393*M393</f>
        <v>168000</v>
      </c>
    </row>
    <row r="394" spans="1:19" ht="43" hidden="1" customHeight="1">
      <c r="A394" s="1" t="s">
        <v>2280</v>
      </c>
      <c r="B394" s="1" t="s">
        <v>1400</v>
      </c>
      <c r="C394" s="29">
        <v>45990.721094398097</v>
      </c>
      <c r="D394" s="1" t="s">
        <v>3052</v>
      </c>
      <c r="E394" s="1" t="s">
        <v>3053</v>
      </c>
      <c r="F394" s="1">
        <v>21</v>
      </c>
      <c r="G394" s="12" t="s">
        <v>383</v>
      </c>
      <c r="H394" s="1" t="s">
        <v>1536</v>
      </c>
      <c r="I394" s="1" t="s">
        <v>1263</v>
      </c>
      <c r="J394" s="30">
        <v>125</v>
      </c>
      <c r="K394" s="30">
        <v>35000</v>
      </c>
      <c r="L394" s="31">
        <v>4375000</v>
      </c>
      <c r="M394" s="1" t="s">
        <v>16</v>
      </c>
      <c r="N394" s="1" t="s">
        <v>17</v>
      </c>
      <c r="O394" s="1" t="s">
        <v>2057</v>
      </c>
      <c r="P394" s="1" t="s">
        <v>2056</v>
      </c>
      <c r="Q394" s="1" t="s">
        <v>1531</v>
      </c>
      <c r="R394" s="1">
        <f t="shared" si="6"/>
        <v>4</v>
      </c>
      <c r="S394" s="4">
        <f>J394*K394*M394</f>
        <v>350000</v>
      </c>
    </row>
    <row r="395" spans="1:19" ht="43" hidden="1" customHeight="1">
      <c r="A395" s="1" t="s">
        <v>2280</v>
      </c>
      <c r="B395" s="1" t="s">
        <v>1412</v>
      </c>
      <c r="C395" s="29">
        <v>45898.896986157401</v>
      </c>
      <c r="D395" s="1" t="s">
        <v>3052</v>
      </c>
      <c r="E395" s="1" t="s">
        <v>3053</v>
      </c>
      <c r="F395" s="1">
        <v>54</v>
      </c>
      <c r="G395" s="12" t="s">
        <v>1350</v>
      </c>
      <c r="H395" s="1" t="s">
        <v>1696</v>
      </c>
      <c r="I395" s="1" t="s">
        <v>1263</v>
      </c>
      <c r="J395" s="30">
        <v>30</v>
      </c>
      <c r="K395" s="30">
        <v>35000</v>
      </c>
      <c r="L395" s="31">
        <v>1050000</v>
      </c>
      <c r="M395" s="1" t="s">
        <v>16</v>
      </c>
      <c r="N395" s="1" t="s">
        <v>17</v>
      </c>
      <c r="O395" s="1" t="s">
        <v>2057</v>
      </c>
      <c r="P395" s="1" t="s">
        <v>2056</v>
      </c>
      <c r="Q395" s="1" t="s">
        <v>652</v>
      </c>
      <c r="R395" s="1">
        <f t="shared" si="6"/>
        <v>3</v>
      </c>
      <c r="S395" s="4">
        <f>J395*K395*M395</f>
        <v>84000</v>
      </c>
    </row>
    <row r="396" spans="1:19" ht="43" hidden="1" customHeight="1">
      <c r="A396" s="1" t="s">
        <v>2280</v>
      </c>
      <c r="B396" s="1" t="s">
        <v>1414</v>
      </c>
      <c r="C396" s="29">
        <v>45889.505948553197</v>
      </c>
      <c r="D396" s="1" t="s">
        <v>3054</v>
      </c>
      <c r="E396" s="1" t="s">
        <v>3055</v>
      </c>
      <c r="F396" s="1">
        <v>3</v>
      </c>
      <c r="G396" s="12" t="s">
        <v>912</v>
      </c>
      <c r="H396" s="1" t="s">
        <v>1740</v>
      </c>
      <c r="I396" s="1" t="s">
        <v>1263</v>
      </c>
      <c r="J396" s="30">
        <v>4</v>
      </c>
      <c r="K396" s="30">
        <v>165000</v>
      </c>
      <c r="L396" s="31">
        <v>660000</v>
      </c>
      <c r="M396" s="1" t="s">
        <v>16</v>
      </c>
      <c r="N396" s="1" t="s">
        <v>17</v>
      </c>
      <c r="O396" s="1" t="s">
        <v>2057</v>
      </c>
      <c r="P396" s="1" t="s">
        <v>2056</v>
      </c>
      <c r="Q396" s="1" t="s">
        <v>674</v>
      </c>
      <c r="R396" s="1">
        <f t="shared" si="6"/>
        <v>3</v>
      </c>
      <c r="S396" s="4">
        <f>J396*K396*M396</f>
        <v>52800</v>
      </c>
    </row>
    <row r="397" spans="1:19" ht="43" hidden="1" customHeight="1">
      <c r="A397" s="1" t="s">
        <v>2280</v>
      </c>
      <c r="B397" s="1" t="s">
        <v>120</v>
      </c>
      <c r="C397" s="29">
        <v>45838.621748888901</v>
      </c>
      <c r="D397" s="1" t="s">
        <v>3052</v>
      </c>
      <c r="E397" s="1" t="s">
        <v>3053</v>
      </c>
      <c r="F397" s="1">
        <v>27</v>
      </c>
      <c r="G397" s="12" t="s">
        <v>842</v>
      </c>
      <c r="H397" s="1" t="s">
        <v>842</v>
      </c>
      <c r="I397" s="1" t="s">
        <v>1263</v>
      </c>
      <c r="J397" s="30">
        <v>40</v>
      </c>
      <c r="K397" s="30">
        <v>12000</v>
      </c>
      <c r="L397" s="31">
        <v>480000</v>
      </c>
      <c r="M397" s="1" t="s">
        <v>16</v>
      </c>
      <c r="N397" s="1" t="s">
        <v>17</v>
      </c>
      <c r="O397" s="1" t="s">
        <v>2057</v>
      </c>
      <c r="P397" s="1" t="s">
        <v>2056</v>
      </c>
      <c r="Q397" s="1" t="s">
        <v>828</v>
      </c>
      <c r="R397" s="1">
        <f t="shared" si="6"/>
        <v>2</v>
      </c>
      <c r="S397" s="4">
        <f>J397*K397*M397</f>
        <v>38400</v>
      </c>
    </row>
    <row r="398" spans="1:19" ht="43" hidden="1" customHeight="1">
      <c r="A398" s="1" t="s">
        <v>2072</v>
      </c>
      <c r="B398" s="1" t="s">
        <v>1294</v>
      </c>
      <c r="C398" s="29">
        <v>46021.613942164397</v>
      </c>
      <c r="D398" s="1" t="s">
        <v>3052</v>
      </c>
      <c r="E398" s="1" t="s">
        <v>3053</v>
      </c>
      <c r="F398" s="1">
        <v>75</v>
      </c>
      <c r="G398" s="12" t="s">
        <v>1493</v>
      </c>
      <c r="H398" s="1" t="s">
        <v>1493</v>
      </c>
      <c r="I398" s="1" t="s">
        <v>1263</v>
      </c>
      <c r="J398" s="30">
        <v>50</v>
      </c>
      <c r="K398" s="30">
        <v>50000</v>
      </c>
      <c r="L398" s="31">
        <v>2500000</v>
      </c>
      <c r="M398" s="1" t="s">
        <v>16</v>
      </c>
      <c r="N398" s="1" t="s">
        <v>17</v>
      </c>
      <c r="O398" s="1" t="s">
        <v>2057</v>
      </c>
      <c r="P398" s="1" t="s">
        <v>2056</v>
      </c>
      <c r="Q398" s="1" t="s">
        <v>1474</v>
      </c>
      <c r="R398" s="1">
        <f t="shared" si="6"/>
        <v>4</v>
      </c>
      <c r="S398" s="4">
        <f>J398*K398*M398</f>
        <v>200000</v>
      </c>
    </row>
    <row r="399" spans="1:19" ht="43" hidden="1" customHeight="1">
      <c r="A399" s="1" t="s">
        <v>2072</v>
      </c>
      <c r="B399" s="1" t="s">
        <v>1294</v>
      </c>
      <c r="C399" s="29">
        <v>46021.613942164397</v>
      </c>
      <c r="D399" s="1" t="s">
        <v>3052</v>
      </c>
      <c r="E399" s="1" t="s">
        <v>3053</v>
      </c>
      <c r="F399" s="1">
        <v>8</v>
      </c>
      <c r="G399" s="12" t="s">
        <v>913</v>
      </c>
      <c r="H399" s="1" t="s">
        <v>913</v>
      </c>
      <c r="I399" s="1" t="s">
        <v>1263</v>
      </c>
      <c r="J399" s="30">
        <v>3</v>
      </c>
      <c r="K399" s="30">
        <v>450000</v>
      </c>
      <c r="L399" s="31">
        <v>1350000</v>
      </c>
      <c r="M399" s="1" t="s">
        <v>16</v>
      </c>
      <c r="N399" s="1" t="s">
        <v>17</v>
      </c>
      <c r="O399" s="1" t="s">
        <v>2057</v>
      </c>
      <c r="P399" s="1" t="s">
        <v>2056</v>
      </c>
      <c r="Q399" s="1" t="s">
        <v>1474</v>
      </c>
      <c r="R399" s="1">
        <f t="shared" si="6"/>
        <v>4</v>
      </c>
      <c r="S399" s="4">
        <f>J399*K399*M399</f>
        <v>108000</v>
      </c>
    </row>
    <row r="400" spans="1:19" ht="43" hidden="1" customHeight="1">
      <c r="A400" s="1" t="s">
        <v>2280</v>
      </c>
      <c r="B400" s="1" t="s">
        <v>1467</v>
      </c>
      <c r="C400" s="29">
        <v>45928.732318564798</v>
      </c>
      <c r="D400" s="1" t="s">
        <v>3052</v>
      </c>
      <c r="E400" s="1" t="s">
        <v>3053</v>
      </c>
      <c r="F400" s="1">
        <v>57</v>
      </c>
      <c r="G400" s="12" t="s">
        <v>841</v>
      </c>
      <c r="H400" s="1" t="s">
        <v>841</v>
      </c>
      <c r="I400" s="1" t="s">
        <v>1263</v>
      </c>
      <c r="J400" s="30">
        <v>50</v>
      </c>
      <c r="K400" s="30">
        <v>9000</v>
      </c>
      <c r="L400" s="31">
        <v>450000</v>
      </c>
      <c r="M400" s="1" t="s">
        <v>16</v>
      </c>
      <c r="N400" s="1" t="s">
        <v>17</v>
      </c>
      <c r="O400" s="1" t="s">
        <v>2057</v>
      </c>
      <c r="P400" s="1" t="s">
        <v>2056</v>
      </c>
      <c r="Q400" s="1" t="s">
        <v>546</v>
      </c>
      <c r="R400" s="1">
        <f t="shared" si="6"/>
        <v>3</v>
      </c>
      <c r="S400" s="4">
        <f>J400*K400*M400</f>
        <v>36000</v>
      </c>
    </row>
    <row r="401" spans="1:19" ht="43" hidden="1" customHeight="1">
      <c r="A401" s="1" t="s">
        <v>2280</v>
      </c>
      <c r="B401" s="1" t="s">
        <v>1158</v>
      </c>
      <c r="C401" s="29">
        <v>45868.606624756903</v>
      </c>
      <c r="D401" s="1" t="s">
        <v>3052</v>
      </c>
      <c r="E401" s="1" t="s">
        <v>3053</v>
      </c>
      <c r="F401" s="1">
        <v>21</v>
      </c>
      <c r="G401" s="12" t="s">
        <v>841</v>
      </c>
      <c r="H401" s="1" t="s">
        <v>841</v>
      </c>
      <c r="I401" s="1" t="s">
        <v>1263</v>
      </c>
      <c r="J401" s="30">
        <v>10</v>
      </c>
      <c r="K401" s="30">
        <v>10000</v>
      </c>
      <c r="L401" s="31">
        <v>100000</v>
      </c>
      <c r="M401" s="1" t="s">
        <v>16</v>
      </c>
      <c r="N401" s="1" t="s">
        <v>17</v>
      </c>
      <c r="O401" s="1" t="s">
        <v>2057</v>
      </c>
      <c r="P401" s="1" t="s">
        <v>2056</v>
      </c>
      <c r="Q401" s="1" t="s">
        <v>800</v>
      </c>
      <c r="R401" s="1">
        <f t="shared" si="6"/>
        <v>3</v>
      </c>
      <c r="S401" s="4">
        <f>J401*K401*M401</f>
        <v>8000</v>
      </c>
    </row>
    <row r="402" spans="1:19" ht="43" hidden="1" customHeight="1">
      <c r="A402" s="1" t="s">
        <v>2280</v>
      </c>
      <c r="B402" s="1" t="s">
        <v>120</v>
      </c>
      <c r="C402" s="29">
        <v>45838.621748888901</v>
      </c>
      <c r="D402" s="1" t="s">
        <v>3052</v>
      </c>
      <c r="E402" s="1" t="s">
        <v>3053</v>
      </c>
      <c r="F402" s="1">
        <v>26</v>
      </c>
      <c r="G402" s="12" t="s">
        <v>841</v>
      </c>
      <c r="H402" s="1" t="s">
        <v>841</v>
      </c>
      <c r="I402" s="1" t="s">
        <v>1263</v>
      </c>
      <c r="J402" s="30">
        <v>40</v>
      </c>
      <c r="K402" s="30">
        <v>8000</v>
      </c>
      <c r="L402" s="31">
        <v>320000</v>
      </c>
      <c r="M402" s="1" t="s">
        <v>16</v>
      </c>
      <c r="N402" s="1" t="s">
        <v>17</v>
      </c>
      <c r="O402" s="1" t="s">
        <v>2057</v>
      </c>
      <c r="P402" s="1" t="s">
        <v>2056</v>
      </c>
      <c r="Q402" s="1" t="s">
        <v>828</v>
      </c>
      <c r="R402" s="1">
        <f t="shared" si="6"/>
        <v>2</v>
      </c>
      <c r="S402" s="4">
        <f>J402*K402*M402</f>
        <v>25600</v>
      </c>
    </row>
    <row r="403" spans="1:19" ht="43" hidden="1" customHeight="1">
      <c r="A403" s="1" t="s">
        <v>2280</v>
      </c>
      <c r="B403" s="1" t="s">
        <v>1402</v>
      </c>
      <c r="C403" s="29">
        <v>45990.382403298601</v>
      </c>
      <c r="D403" s="1" t="s">
        <v>3052</v>
      </c>
      <c r="E403" s="1" t="s">
        <v>3053</v>
      </c>
      <c r="F403" s="1">
        <v>10</v>
      </c>
      <c r="G403" s="12" t="s">
        <v>843</v>
      </c>
      <c r="H403" s="1" t="s">
        <v>843</v>
      </c>
      <c r="I403" s="1" t="s">
        <v>1263</v>
      </c>
      <c r="J403" s="30">
        <v>25</v>
      </c>
      <c r="K403" s="30">
        <v>50000</v>
      </c>
      <c r="L403" s="31">
        <v>1250000</v>
      </c>
      <c r="M403" s="1" t="s">
        <v>16</v>
      </c>
      <c r="N403" s="1" t="s">
        <v>17</v>
      </c>
      <c r="O403" s="1" t="s">
        <v>2057</v>
      </c>
      <c r="P403" s="1" t="s">
        <v>2056</v>
      </c>
      <c r="Q403" s="1" t="s">
        <v>1531</v>
      </c>
      <c r="R403" s="1">
        <f t="shared" si="6"/>
        <v>4</v>
      </c>
      <c r="S403" s="4">
        <f>J403*K403*M403</f>
        <v>100000</v>
      </c>
    </row>
    <row r="404" spans="1:19" ht="43" hidden="1" customHeight="1">
      <c r="A404" s="1" t="s">
        <v>2280</v>
      </c>
      <c r="B404" s="1" t="s">
        <v>1467</v>
      </c>
      <c r="C404" s="29">
        <v>45928.732318564798</v>
      </c>
      <c r="D404" s="1" t="s">
        <v>3052</v>
      </c>
      <c r="E404" s="1" t="s">
        <v>3053</v>
      </c>
      <c r="F404" s="1">
        <v>47</v>
      </c>
      <c r="G404" s="12" t="s">
        <v>843</v>
      </c>
      <c r="H404" s="1" t="s">
        <v>843</v>
      </c>
      <c r="I404" s="1" t="s">
        <v>1263</v>
      </c>
      <c r="J404" s="30">
        <v>5</v>
      </c>
      <c r="K404" s="30">
        <v>45000</v>
      </c>
      <c r="L404" s="31">
        <v>225000</v>
      </c>
      <c r="M404" s="1" t="s">
        <v>16</v>
      </c>
      <c r="N404" s="1" t="s">
        <v>17</v>
      </c>
      <c r="O404" s="1" t="s">
        <v>2057</v>
      </c>
      <c r="P404" s="1" t="s">
        <v>2056</v>
      </c>
      <c r="Q404" s="1" t="s">
        <v>546</v>
      </c>
      <c r="R404" s="1">
        <f t="shared" si="6"/>
        <v>3</v>
      </c>
      <c r="S404" s="4">
        <f>J404*K404*M404</f>
        <v>18000</v>
      </c>
    </row>
    <row r="405" spans="1:19" ht="43" hidden="1" customHeight="1">
      <c r="A405" s="1" t="s">
        <v>2280</v>
      </c>
      <c r="B405" s="1" t="s">
        <v>1420</v>
      </c>
      <c r="C405" s="29">
        <v>45866.7486208681</v>
      </c>
      <c r="D405" s="1" t="s">
        <v>3052</v>
      </c>
      <c r="E405" s="1" t="s">
        <v>3053</v>
      </c>
      <c r="F405" s="1">
        <v>13</v>
      </c>
      <c r="G405" s="12" t="s">
        <v>843</v>
      </c>
      <c r="H405" s="1" t="s">
        <v>843</v>
      </c>
      <c r="I405" s="1" t="s">
        <v>1263</v>
      </c>
      <c r="J405" s="30">
        <v>10</v>
      </c>
      <c r="K405" s="30">
        <v>53000</v>
      </c>
      <c r="L405" s="31">
        <v>530000</v>
      </c>
      <c r="M405" s="1" t="s">
        <v>16</v>
      </c>
      <c r="N405" s="1" t="s">
        <v>17</v>
      </c>
      <c r="O405" s="1" t="s">
        <v>2057</v>
      </c>
      <c r="P405" s="1" t="s">
        <v>2056</v>
      </c>
      <c r="Q405" s="1" t="s">
        <v>1763</v>
      </c>
      <c r="R405" s="1">
        <f t="shared" si="6"/>
        <v>3</v>
      </c>
      <c r="S405" s="4">
        <f>J405*K405*M405</f>
        <v>42400</v>
      </c>
    </row>
    <row r="406" spans="1:19" ht="43" hidden="1" customHeight="1">
      <c r="A406" s="1" t="s">
        <v>2280</v>
      </c>
      <c r="B406" s="1" t="s">
        <v>120</v>
      </c>
      <c r="C406" s="29">
        <v>45838.621748888901</v>
      </c>
      <c r="D406" s="1" t="s">
        <v>3052</v>
      </c>
      <c r="E406" s="1" t="s">
        <v>3053</v>
      </c>
      <c r="F406" s="1">
        <v>29</v>
      </c>
      <c r="G406" s="12" t="s">
        <v>843</v>
      </c>
      <c r="H406" s="1" t="s">
        <v>843</v>
      </c>
      <c r="I406" s="1" t="s">
        <v>1263</v>
      </c>
      <c r="J406" s="30">
        <v>9</v>
      </c>
      <c r="K406" s="30">
        <v>21000</v>
      </c>
      <c r="L406" s="31">
        <v>189000</v>
      </c>
      <c r="M406" s="1" t="s">
        <v>16</v>
      </c>
      <c r="N406" s="1" t="s">
        <v>17</v>
      </c>
      <c r="O406" s="1" t="s">
        <v>2057</v>
      </c>
      <c r="P406" s="1" t="s">
        <v>2056</v>
      </c>
      <c r="Q406" s="1" t="s">
        <v>828</v>
      </c>
      <c r="R406" s="1">
        <f t="shared" si="6"/>
        <v>2</v>
      </c>
      <c r="S406" s="4">
        <f>J406*K406*M406</f>
        <v>15120</v>
      </c>
    </row>
    <row r="407" spans="1:19" ht="43" hidden="1" customHeight="1">
      <c r="A407" s="1" t="s">
        <v>2280</v>
      </c>
      <c r="B407" s="1" t="s">
        <v>152</v>
      </c>
      <c r="C407" s="29">
        <v>45836.413450243097</v>
      </c>
      <c r="D407" s="1" t="s">
        <v>3052</v>
      </c>
      <c r="E407" s="1" t="s">
        <v>3053</v>
      </c>
      <c r="F407" s="1">
        <v>20</v>
      </c>
      <c r="G407" s="12" t="s">
        <v>843</v>
      </c>
      <c r="H407" s="1" t="s">
        <v>843</v>
      </c>
      <c r="I407" s="1" t="s">
        <v>1263</v>
      </c>
      <c r="J407" s="30">
        <v>3</v>
      </c>
      <c r="K407" s="30">
        <v>20000</v>
      </c>
      <c r="L407" s="31">
        <v>60000</v>
      </c>
      <c r="M407" s="1" t="s">
        <v>16</v>
      </c>
      <c r="N407" s="1" t="s">
        <v>17</v>
      </c>
      <c r="O407" s="1" t="s">
        <v>2057</v>
      </c>
      <c r="P407" s="1" t="s">
        <v>2056</v>
      </c>
      <c r="Q407" s="1" t="s">
        <v>845</v>
      </c>
      <c r="R407" s="1">
        <f t="shared" si="6"/>
        <v>2</v>
      </c>
      <c r="S407" s="4">
        <f>J407*K407*M407</f>
        <v>4800</v>
      </c>
    </row>
    <row r="408" spans="1:19" ht="43" hidden="1" customHeight="1">
      <c r="A408" s="1" t="s">
        <v>2280</v>
      </c>
      <c r="B408" s="1" t="s">
        <v>1400</v>
      </c>
      <c r="C408" s="29">
        <v>45990.721094398097</v>
      </c>
      <c r="D408" s="1" t="s">
        <v>3052</v>
      </c>
      <c r="E408" s="1" t="s">
        <v>3053</v>
      </c>
      <c r="F408" s="1">
        <v>19</v>
      </c>
      <c r="G408" s="12" t="s">
        <v>1367</v>
      </c>
      <c r="H408" s="1" t="s">
        <v>1367</v>
      </c>
      <c r="I408" s="1" t="s">
        <v>1263</v>
      </c>
      <c r="J408" s="30">
        <v>141</v>
      </c>
      <c r="K408" s="30">
        <v>50000</v>
      </c>
      <c r="L408" s="31">
        <v>7050000</v>
      </c>
      <c r="M408" s="1" t="s">
        <v>16</v>
      </c>
      <c r="N408" s="1" t="s">
        <v>17</v>
      </c>
      <c r="O408" s="1" t="s">
        <v>2057</v>
      </c>
      <c r="P408" s="1" t="s">
        <v>2056</v>
      </c>
      <c r="Q408" s="1" t="s">
        <v>1531</v>
      </c>
      <c r="R408" s="1">
        <f t="shared" si="6"/>
        <v>4</v>
      </c>
      <c r="S408" s="4">
        <f>J408*K408*M408</f>
        <v>564000</v>
      </c>
    </row>
    <row r="409" spans="1:19" ht="43" hidden="1" customHeight="1">
      <c r="A409" s="1" t="s">
        <v>2280</v>
      </c>
      <c r="B409" s="1" t="s">
        <v>1402</v>
      </c>
      <c r="C409" s="29">
        <v>45990.382403298601</v>
      </c>
      <c r="D409" s="1" t="s">
        <v>3052</v>
      </c>
      <c r="E409" s="1" t="s">
        <v>3053</v>
      </c>
      <c r="F409" s="1">
        <v>9</v>
      </c>
      <c r="G409" s="12" t="s">
        <v>1367</v>
      </c>
      <c r="H409" s="1" t="s">
        <v>1367</v>
      </c>
      <c r="I409" s="1" t="s">
        <v>1263</v>
      </c>
      <c r="J409" s="30">
        <v>2</v>
      </c>
      <c r="K409" s="30">
        <v>35000</v>
      </c>
      <c r="L409" s="31">
        <v>70000</v>
      </c>
      <c r="M409" s="1" t="s">
        <v>16</v>
      </c>
      <c r="N409" s="1" t="s">
        <v>17</v>
      </c>
      <c r="O409" s="1" t="s">
        <v>2057</v>
      </c>
      <c r="P409" s="1" t="s">
        <v>2056</v>
      </c>
      <c r="Q409" s="1" t="s">
        <v>1531</v>
      </c>
      <c r="R409" s="1">
        <f t="shared" si="6"/>
        <v>4</v>
      </c>
      <c r="S409" s="4">
        <f>J409*K409*M409</f>
        <v>5600</v>
      </c>
    </row>
    <row r="410" spans="1:19" ht="43" hidden="1" customHeight="1">
      <c r="A410" s="1" t="s">
        <v>2280</v>
      </c>
      <c r="B410" s="1" t="s">
        <v>326</v>
      </c>
      <c r="C410" s="29">
        <v>45960.658345080999</v>
      </c>
      <c r="D410" s="1" t="s">
        <v>3052</v>
      </c>
      <c r="E410" s="1" t="s">
        <v>3053</v>
      </c>
      <c r="F410" s="1">
        <v>35</v>
      </c>
      <c r="G410" s="12" t="s">
        <v>1367</v>
      </c>
      <c r="H410" s="1" t="s">
        <v>1367</v>
      </c>
      <c r="I410" s="1" t="s">
        <v>1263</v>
      </c>
      <c r="J410" s="30">
        <v>20</v>
      </c>
      <c r="K410" s="30">
        <v>35000</v>
      </c>
      <c r="L410" s="31">
        <v>700000</v>
      </c>
      <c r="M410" s="1" t="s">
        <v>16</v>
      </c>
      <c r="N410" s="1" t="s">
        <v>17</v>
      </c>
      <c r="O410" s="1" t="s">
        <v>2057</v>
      </c>
      <c r="P410" s="1" t="s">
        <v>2056</v>
      </c>
      <c r="Q410" s="1" t="s">
        <v>533</v>
      </c>
      <c r="R410" s="1">
        <f t="shared" si="6"/>
        <v>4</v>
      </c>
      <c r="S410" s="4">
        <f>J410*K410*M410</f>
        <v>56000</v>
      </c>
    </row>
    <row r="411" spans="1:19" ht="43" hidden="1" customHeight="1">
      <c r="A411" s="1" t="s">
        <v>2280</v>
      </c>
      <c r="B411" s="1" t="s">
        <v>91</v>
      </c>
      <c r="C411" s="29">
        <v>45899.644512638901</v>
      </c>
      <c r="D411" s="1" t="s">
        <v>3052</v>
      </c>
      <c r="E411" s="1" t="s">
        <v>3053</v>
      </c>
      <c r="F411" s="1">
        <v>13</v>
      </c>
      <c r="G411" s="12" t="s">
        <v>1367</v>
      </c>
      <c r="H411" s="1" t="s">
        <v>1367</v>
      </c>
      <c r="I411" s="1" t="s">
        <v>1263</v>
      </c>
      <c r="J411" s="30">
        <v>10</v>
      </c>
      <c r="K411" s="30">
        <v>35000</v>
      </c>
      <c r="L411" s="31">
        <v>350000</v>
      </c>
      <c r="M411" s="1" t="s">
        <v>16</v>
      </c>
      <c r="N411" s="1" t="s">
        <v>17</v>
      </c>
      <c r="O411" s="1" t="s">
        <v>2057</v>
      </c>
      <c r="P411" s="1" t="s">
        <v>2056</v>
      </c>
      <c r="Q411" s="1" t="s">
        <v>636</v>
      </c>
      <c r="R411" s="1">
        <f t="shared" si="6"/>
        <v>3</v>
      </c>
      <c r="S411" s="4">
        <f>J411*K411*M411</f>
        <v>28000</v>
      </c>
    </row>
    <row r="412" spans="1:19" ht="43" hidden="1" customHeight="1">
      <c r="A412" s="1" t="s">
        <v>2072</v>
      </c>
      <c r="B412" s="1" t="s">
        <v>1294</v>
      </c>
      <c r="C412" s="29">
        <v>46021.613942164397</v>
      </c>
      <c r="D412" s="1" t="s">
        <v>3052</v>
      </c>
      <c r="E412" s="1" t="s">
        <v>3053</v>
      </c>
      <c r="F412" s="1">
        <v>46</v>
      </c>
      <c r="G412" s="12" t="s">
        <v>1264</v>
      </c>
      <c r="H412" s="1" t="s">
        <v>1264</v>
      </c>
      <c r="I412" s="1" t="s">
        <v>1263</v>
      </c>
      <c r="J412" s="30">
        <v>350</v>
      </c>
      <c r="K412" s="30">
        <v>2000</v>
      </c>
      <c r="L412" s="31">
        <v>700000</v>
      </c>
      <c r="M412" s="1" t="s">
        <v>16</v>
      </c>
      <c r="N412" s="1" t="s">
        <v>17</v>
      </c>
      <c r="O412" s="1" t="s">
        <v>2057</v>
      </c>
      <c r="P412" s="1" t="s">
        <v>2056</v>
      </c>
      <c r="Q412" s="1" t="s">
        <v>1474</v>
      </c>
      <c r="R412" s="1">
        <f t="shared" si="6"/>
        <v>4</v>
      </c>
      <c r="S412" s="4">
        <f>J412*K412*M412</f>
        <v>56000</v>
      </c>
    </row>
    <row r="413" spans="1:19" ht="43" hidden="1" customHeight="1">
      <c r="A413" s="1" t="s">
        <v>2280</v>
      </c>
      <c r="B413" s="1" t="s">
        <v>1420</v>
      </c>
      <c r="C413" s="29">
        <v>45866.7486208681</v>
      </c>
      <c r="D413" s="1" t="s">
        <v>3052</v>
      </c>
      <c r="E413" s="1" t="s">
        <v>3053</v>
      </c>
      <c r="F413" s="1">
        <v>11</v>
      </c>
      <c r="G413" s="12" t="s">
        <v>1264</v>
      </c>
      <c r="H413" s="1" t="s">
        <v>1264</v>
      </c>
      <c r="I413" s="1" t="s">
        <v>1263</v>
      </c>
      <c r="J413" s="30">
        <v>25</v>
      </c>
      <c r="K413" s="30">
        <v>9000</v>
      </c>
      <c r="L413" s="31">
        <v>225000</v>
      </c>
      <c r="M413" s="1" t="s">
        <v>16</v>
      </c>
      <c r="N413" s="1" t="s">
        <v>17</v>
      </c>
      <c r="O413" s="1" t="s">
        <v>2057</v>
      </c>
      <c r="P413" s="1" t="s">
        <v>2056</v>
      </c>
      <c r="Q413" s="1" t="s">
        <v>1763</v>
      </c>
      <c r="R413" s="1">
        <f t="shared" si="6"/>
        <v>3</v>
      </c>
      <c r="S413" s="4">
        <f>J413*K413*M413</f>
        <v>18000</v>
      </c>
    </row>
    <row r="414" spans="1:19" ht="43" hidden="1" customHeight="1">
      <c r="A414" s="1" t="s">
        <v>2280</v>
      </c>
      <c r="B414" s="1" t="s">
        <v>1414</v>
      </c>
      <c r="C414" s="29">
        <v>45889.505948553197</v>
      </c>
      <c r="D414" s="1" t="s">
        <v>3054</v>
      </c>
      <c r="E414" s="1" t="s">
        <v>3055</v>
      </c>
      <c r="F414" s="1">
        <v>2</v>
      </c>
      <c r="G414" s="12" t="s">
        <v>1318</v>
      </c>
      <c r="H414" s="1" t="s">
        <v>1318</v>
      </c>
      <c r="I414" s="1" t="s">
        <v>1263</v>
      </c>
      <c r="J414" s="30">
        <v>2</v>
      </c>
      <c r="K414" s="30">
        <v>165000</v>
      </c>
      <c r="L414" s="31">
        <v>330000</v>
      </c>
      <c r="M414" s="1" t="s">
        <v>16</v>
      </c>
      <c r="N414" s="1" t="s">
        <v>17</v>
      </c>
      <c r="O414" s="1" t="s">
        <v>2057</v>
      </c>
      <c r="P414" s="1" t="s">
        <v>2056</v>
      </c>
      <c r="Q414" s="1" t="s">
        <v>674</v>
      </c>
      <c r="R414" s="1">
        <f t="shared" si="6"/>
        <v>3</v>
      </c>
      <c r="S414" s="4">
        <f>J414*K414*M414</f>
        <v>26400</v>
      </c>
    </row>
    <row r="415" spans="1:19" ht="43" customHeight="1">
      <c r="A415" s="1" t="s">
        <v>2280</v>
      </c>
      <c r="B415" s="1" t="s">
        <v>120</v>
      </c>
      <c r="C415" s="29">
        <v>45838.621748888901</v>
      </c>
      <c r="D415" s="1" t="s">
        <v>3052</v>
      </c>
      <c r="E415" s="1" t="s">
        <v>3053</v>
      </c>
      <c r="F415" s="1">
        <v>20</v>
      </c>
      <c r="H415" s="1" t="s">
        <v>1831</v>
      </c>
      <c r="I415" s="1" t="s">
        <v>130</v>
      </c>
      <c r="J415" s="30">
        <v>6</v>
      </c>
      <c r="K415" s="30">
        <v>15000</v>
      </c>
      <c r="L415" s="31">
        <v>90000</v>
      </c>
      <c r="M415" s="1" t="s">
        <v>16</v>
      </c>
      <c r="N415" s="1" t="s">
        <v>17</v>
      </c>
      <c r="O415" s="1" t="s">
        <v>2057</v>
      </c>
      <c r="P415" s="1" t="s">
        <v>2056</v>
      </c>
      <c r="Q415" s="1" t="s">
        <v>828</v>
      </c>
      <c r="R415" s="1">
        <f t="shared" si="6"/>
        <v>2</v>
      </c>
      <c r="S415" s="4">
        <f>J415*K415*M415</f>
        <v>7200</v>
      </c>
    </row>
    <row r="416" spans="1:19" ht="43" customHeight="1">
      <c r="A416" s="1" t="s">
        <v>2280</v>
      </c>
      <c r="B416" s="1" t="s">
        <v>1412</v>
      </c>
      <c r="C416" s="29">
        <v>45898.896986157401</v>
      </c>
      <c r="D416" s="1" t="s">
        <v>3052</v>
      </c>
      <c r="E416" s="1" t="s">
        <v>3053</v>
      </c>
      <c r="F416" s="1">
        <v>22</v>
      </c>
      <c r="H416" s="1" t="s">
        <v>1676</v>
      </c>
      <c r="I416" s="1" t="s">
        <v>130</v>
      </c>
      <c r="J416" s="30">
        <v>1</v>
      </c>
      <c r="K416" s="30">
        <v>10000</v>
      </c>
      <c r="L416" s="31">
        <v>10000</v>
      </c>
      <c r="M416" s="1" t="s">
        <v>16</v>
      </c>
      <c r="N416" s="1" t="s">
        <v>17</v>
      </c>
      <c r="O416" s="1" t="s">
        <v>2057</v>
      </c>
      <c r="P416" s="1" t="s">
        <v>2056</v>
      </c>
      <c r="Q416" s="1" t="s">
        <v>652</v>
      </c>
      <c r="R416" s="1">
        <f t="shared" si="6"/>
        <v>3</v>
      </c>
      <c r="S416" s="4">
        <f>J416*K416*M416</f>
        <v>800</v>
      </c>
    </row>
    <row r="417" spans="1:19" ht="43" hidden="1" customHeight="1">
      <c r="A417" s="1" t="s">
        <v>2280</v>
      </c>
      <c r="B417" s="1" t="s">
        <v>1412</v>
      </c>
      <c r="C417" s="29">
        <v>45898.896986157401</v>
      </c>
      <c r="D417" s="1" t="s">
        <v>3052</v>
      </c>
      <c r="E417" s="1" t="s">
        <v>3053</v>
      </c>
      <c r="F417" s="1">
        <v>24</v>
      </c>
      <c r="G417" s="12" t="s">
        <v>987</v>
      </c>
      <c r="H417" s="1" t="s">
        <v>1678</v>
      </c>
      <c r="I417" s="1" t="s">
        <v>130</v>
      </c>
      <c r="J417" s="30">
        <v>1</v>
      </c>
      <c r="K417" s="30">
        <v>15000</v>
      </c>
      <c r="L417" s="31">
        <v>15000</v>
      </c>
      <c r="M417" s="1" t="s">
        <v>16</v>
      </c>
      <c r="N417" s="1" t="s">
        <v>17</v>
      </c>
      <c r="O417" s="1" t="s">
        <v>2057</v>
      </c>
      <c r="P417" s="1" t="s">
        <v>2056</v>
      </c>
      <c r="Q417" s="1" t="s">
        <v>652</v>
      </c>
      <c r="R417" s="1">
        <f t="shared" si="6"/>
        <v>3</v>
      </c>
      <c r="S417" s="4">
        <f>J417*K417*M417</f>
        <v>1200</v>
      </c>
    </row>
    <row r="418" spans="1:19" ht="43" hidden="1" customHeight="1">
      <c r="A418" s="1" t="s">
        <v>2280</v>
      </c>
      <c r="B418" s="1" t="s">
        <v>13</v>
      </c>
      <c r="C418" s="29">
        <v>45776.499996342602</v>
      </c>
      <c r="D418" s="1" t="s">
        <v>3052</v>
      </c>
      <c r="E418" s="1" t="s">
        <v>3053</v>
      </c>
      <c r="F418" s="1">
        <v>26</v>
      </c>
      <c r="G418" s="12" t="s">
        <v>1940</v>
      </c>
      <c r="H418" s="1" t="s">
        <v>1940</v>
      </c>
      <c r="I418" s="1" t="s">
        <v>130</v>
      </c>
      <c r="J418" s="30">
        <v>20</v>
      </c>
      <c r="K418" s="30">
        <v>12000</v>
      </c>
      <c r="L418" s="31">
        <v>240000</v>
      </c>
      <c r="M418" s="1" t="s">
        <v>16</v>
      </c>
      <c r="N418" s="1" t="s">
        <v>17</v>
      </c>
      <c r="O418" s="1" t="s">
        <v>2057</v>
      </c>
      <c r="P418" s="1" t="s">
        <v>2056</v>
      </c>
      <c r="Q418" s="1" t="s">
        <v>937</v>
      </c>
      <c r="R418" s="1">
        <f t="shared" si="6"/>
        <v>2</v>
      </c>
      <c r="S418" s="4">
        <f>J418*K418*M418</f>
        <v>19200</v>
      </c>
    </row>
    <row r="419" spans="1:19" ht="43" hidden="1" customHeight="1">
      <c r="A419" s="1" t="s">
        <v>2280</v>
      </c>
      <c r="B419" s="1" t="s">
        <v>1412</v>
      </c>
      <c r="C419" s="29">
        <v>45898.896986157401</v>
      </c>
      <c r="D419" s="1" t="s">
        <v>3052</v>
      </c>
      <c r="E419" s="1" t="s">
        <v>3053</v>
      </c>
      <c r="F419" s="1">
        <v>9</v>
      </c>
      <c r="G419" s="12" t="s">
        <v>957</v>
      </c>
      <c r="H419" s="1" t="s">
        <v>1665</v>
      </c>
      <c r="I419" s="1" t="s">
        <v>130</v>
      </c>
      <c r="J419" s="30">
        <v>20</v>
      </c>
      <c r="K419" s="30">
        <v>3000</v>
      </c>
      <c r="L419" s="31">
        <v>60000</v>
      </c>
      <c r="M419" s="1" t="s">
        <v>16</v>
      </c>
      <c r="N419" s="1" t="s">
        <v>17</v>
      </c>
      <c r="O419" s="1" t="s">
        <v>2057</v>
      </c>
      <c r="P419" s="1" t="s">
        <v>2056</v>
      </c>
      <c r="Q419" s="1" t="s">
        <v>652</v>
      </c>
      <c r="R419" s="1">
        <f t="shared" si="6"/>
        <v>3</v>
      </c>
      <c r="S419" s="4">
        <f>J419*K419*M419</f>
        <v>4800</v>
      </c>
    </row>
    <row r="420" spans="1:19" ht="43" hidden="1" customHeight="1">
      <c r="A420" s="1" t="s">
        <v>2280</v>
      </c>
      <c r="B420" s="1" t="s">
        <v>120</v>
      </c>
      <c r="C420" s="29">
        <v>45838.621748888901</v>
      </c>
      <c r="D420" s="1" t="s">
        <v>3052</v>
      </c>
      <c r="E420" s="1" t="s">
        <v>3053</v>
      </c>
      <c r="F420" s="1">
        <v>24</v>
      </c>
      <c r="G420" s="12" t="s">
        <v>957</v>
      </c>
      <c r="H420" s="1" t="s">
        <v>957</v>
      </c>
      <c r="I420" s="1" t="s">
        <v>130</v>
      </c>
      <c r="J420" s="30">
        <v>25</v>
      </c>
      <c r="K420" s="30">
        <v>3000</v>
      </c>
      <c r="L420" s="31">
        <v>75000</v>
      </c>
      <c r="M420" s="1" t="s">
        <v>16</v>
      </c>
      <c r="N420" s="1" t="s">
        <v>17</v>
      </c>
      <c r="O420" s="1" t="s">
        <v>2057</v>
      </c>
      <c r="P420" s="1" t="s">
        <v>2056</v>
      </c>
      <c r="Q420" s="1" t="s">
        <v>828</v>
      </c>
      <c r="R420" s="1">
        <f t="shared" si="6"/>
        <v>2</v>
      </c>
      <c r="S420" s="4">
        <f>J420*K420*M420</f>
        <v>6000</v>
      </c>
    </row>
    <row r="421" spans="1:19" ht="43" hidden="1" customHeight="1">
      <c r="A421" s="1" t="s">
        <v>2280</v>
      </c>
      <c r="B421" s="1" t="s">
        <v>1419</v>
      </c>
      <c r="C421" s="29">
        <v>45866.749486990702</v>
      </c>
      <c r="D421" s="1" t="s">
        <v>3052</v>
      </c>
      <c r="E421" s="1" t="s">
        <v>3053</v>
      </c>
      <c r="F421" s="1">
        <v>13</v>
      </c>
      <c r="G421" s="12" t="s">
        <v>1249</v>
      </c>
      <c r="H421" s="1" t="s">
        <v>1249</v>
      </c>
      <c r="I421" s="1" t="s">
        <v>130</v>
      </c>
      <c r="J421" s="30">
        <v>10</v>
      </c>
      <c r="K421" s="30">
        <v>40000</v>
      </c>
      <c r="L421" s="31">
        <v>400000</v>
      </c>
      <c r="M421" s="1" t="s">
        <v>30</v>
      </c>
      <c r="N421" s="1" t="s">
        <v>17</v>
      </c>
      <c r="O421" s="1" t="s">
        <v>2057</v>
      </c>
      <c r="P421" s="1" t="s">
        <v>2056</v>
      </c>
      <c r="Q421" s="1" t="s">
        <v>1763</v>
      </c>
      <c r="R421" s="1">
        <f t="shared" si="6"/>
        <v>3</v>
      </c>
      <c r="S421" s="4">
        <f>J421*K421*M421</f>
        <v>40000</v>
      </c>
    </row>
    <row r="422" spans="1:19" ht="43" customHeight="1">
      <c r="A422" s="1" t="s">
        <v>2280</v>
      </c>
      <c r="B422" s="1" t="s">
        <v>1315</v>
      </c>
      <c r="C422" s="29">
        <v>45747.658940451402</v>
      </c>
      <c r="D422" s="1" t="s">
        <v>3071</v>
      </c>
      <c r="E422" s="1" t="s">
        <v>3053</v>
      </c>
      <c r="F422" s="1">
        <v>30</v>
      </c>
      <c r="H422" s="1" t="s">
        <v>2023</v>
      </c>
      <c r="I422" s="1" t="s">
        <v>130</v>
      </c>
      <c r="J422" s="30">
        <v>100</v>
      </c>
      <c r="K422" s="30">
        <v>4500</v>
      </c>
      <c r="L422" s="31">
        <v>450000</v>
      </c>
      <c r="M422" s="1" t="s">
        <v>30</v>
      </c>
      <c r="N422" s="1" t="s">
        <v>17</v>
      </c>
      <c r="O422" s="1" t="s">
        <v>2057</v>
      </c>
      <c r="P422" s="1" t="s">
        <v>2056</v>
      </c>
      <c r="Q422" s="1" t="s">
        <v>42</v>
      </c>
      <c r="R422" s="1">
        <f t="shared" si="6"/>
        <v>1</v>
      </c>
      <c r="S422" s="4">
        <f>J422*K422*M422</f>
        <v>45000</v>
      </c>
    </row>
    <row r="423" spans="1:19" ht="43" customHeight="1">
      <c r="A423" s="1" t="s">
        <v>2280</v>
      </c>
      <c r="B423" s="1" t="s">
        <v>221</v>
      </c>
      <c r="C423" s="29">
        <v>45776.500553657403</v>
      </c>
      <c r="D423" s="1" t="s">
        <v>3052</v>
      </c>
      <c r="E423" s="1" t="s">
        <v>3053</v>
      </c>
      <c r="F423" s="1">
        <v>32</v>
      </c>
      <c r="H423" s="1" t="s">
        <v>1922</v>
      </c>
      <c r="I423" s="1" t="s">
        <v>130</v>
      </c>
      <c r="J423" s="30">
        <v>50</v>
      </c>
      <c r="K423" s="30">
        <v>4000</v>
      </c>
      <c r="L423" s="31">
        <v>200000</v>
      </c>
      <c r="M423" s="1" t="s">
        <v>30</v>
      </c>
      <c r="N423" s="1" t="s">
        <v>17</v>
      </c>
      <c r="O423" s="1" t="s">
        <v>2057</v>
      </c>
      <c r="P423" s="1" t="s">
        <v>2056</v>
      </c>
      <c r="Q423" s="1" t="s">
        <v>937</v>
      </c>
      <c r="R423" s="1">
        <f t="shared" si="6"/>
        <v>2</v>
      </c>
      <c r="S423" s="4">
        <f>J423*K423*M423</f>
        <v>20000</v>
      </c>
    </row>
    <row r="424" spans="1:19" ht="43" customHeight="1">
      <c r="A424" s="1" t="s">
        <v>2280</v>
      </c>
      <c r="B424" s="1" t="s">
        <v>1315</v>
      </c>
      <c r="C424" s="29">
        <v>45747.658940451402</v>
      </c>
      <c r="D424" s="1" t="s">
        <v>3071</v>
      </c>
      <c r="E424" s="1" t="s">
        <v>3053</v>
      </c>
      <c r="F424" s="1">
        <v>3</v>
      </c>
      <c r="H424" s="1" t="s">
        <v>1999</v>
      </c>
      <c r="I424" s="1" t="s">
        <v>130</v>
      </c>
      <c r="J424" s="30">
        <v>150</v>
      </c>
      <c r="K424" s="30">
        <v>12000</v>
      </c>
      <c r="L424" s="31">
        <v>1800000</v>
      </c>
      <c r="M424" s="1" t="s">
        <v>30</v>
      </c>
      <c r="N424" s="1" t="s">
        <v>17</v>
      </c>
      <c r="O424" s="1" t="s">
        <v>2057</v>
      </c>
      <c r="P424" s="1" t="s">
        <v>2056</v>
      </c>
      <c r="Q424" s="1" t="s">
        <v>42</v>
      </c>
      <c r="R424" s="1">
        <f t="shared" si="6"/>
        <v>1</v>
      </c>
      <c r="S424" s="4">
        <f>J424*K424*M424</f>
        <v>180000</v>
      </c>
    </row>
    <row r="425" spans="1:19" ht="43" hidden="1" customHeight="1">
      <c r="A425" s="1" t="s">
        <v>2072</v>
      </c>
      <c r="B425" s="1" t="s">
        <v>1294</v>
      </c>
      <c r="C425" s="29">
        <v>46021.613942164397</v>
      </c>
      <c r="D425" s="1" t="s">
        <v>3052</v>
      </c>
      <c r="E425" s="1" t="s">
        <v>3053</v>
      </c>
      <c r="F425" s="1">
        <v>71</v>
      </c>
      <c r="G425" s="12" t="s">
        <v>1390</v>
      </c>
      <c r="H425" s="1" t="s">
        <v>1390</v>
      </c>
      <c r="I425" s="1" t="s">
        <v>130</v>
      </c>
      <c r="J425" s="30">
        <v>2</v>
      </c>
      <c r="K425" s="30">
        <v>35000</v>
      </c>
      <c r="L425" s="31">
        <v>70000</v>
      </c>
      <c r="M425" s="1" t="s">
        <v>16</v>
      </c>
      <c r="N425" s="1" t="s">
        <v>17</v>
      </c>
      <c r="O425" s="1" t="s">
        <v>2057</v>
      </c>
      <c r="P425" s="1" t="s">
        <v>2056</v>
      </c>
      <c r="Q425" s="1" t="s">
        <v>1474</v>
      </c>
      <c r="R425" s="1">
        <f t="shared" si="6"/>
        <v>4</v>
      </c>
      <c r="S425" s="4">
        <f>J425*K425*M425</f>
        <v>5600</v>
      </c>
    </row>
    <row r="426" spans="1:19" ht="43" customHeight="1">
      <c r="A426" s="1" t="s">
        <v>2280</v>
      </c>
      <c r="B426" s="1" t="s">
        <v>1315</v>
      </c>
      <c r="C426" s="29">
        <v>45747.658940451402</v>
      </c>
      <c r="D426" s="1" t="s">
        <v>3071</v>
      </c>
      <c r="E426" s="1" t="s">
        <v>3053</v>
      </c>
      <c r="F426" s="1">
        <v>11</v>
      </c>
      <c r="H426" s="1" t="s">
        <v>2006</v>
      </c>
      <c r="I426" s="1" t="s">
        <v>130</v>
      </c>
      <c r="J426" s="30">
        <v>2</v>
      </c>
      <c r="K426" s="30">
        <v>60000</v>
      </c>
      <c r="L426" s="31">
        <v>120000</v>
      </c>
      <c r="M426" s="1" t="s">
        <v>30</v>
      </c>
      <c r="N426" s="1" t="s">
        <v>17</v>
      </c>
      <c r="O426" s="1" t="s">
        <v>2057</v>
      </c>
      <c r="P426" s="1" t="s">
        <v>2056</v>
      </c>
      <c r="Q426" s="1" t="s">
        <v>42</v>
      </c>
      <c r="R426" s="1">
        <f t="shared" si="6"/>
        <v>1</v>
      </c>
      <c r="S426" s="4">
        <f>J426*K426*M426</f>
        <v>12000</v>
      </c>
    </row>
    <row r="427" spans="1:19" ht="43" hidden="1" customHeight="1">
      <c r="A427" s="1" t="s">
        <v>2280</v>
      </c>
      <c r="B427" s="1" t="s">
        <v>153</v>
      </c>
      <c r="C427" s="29">
        <v>45747.668173564802</v>
      </c>
      <c r="D427" s="1" t="s">
        <v>3071</v>
      </c>
      <c r="E427" s="1" t="s">
        <v>3053</v>
      </c>
      <c r="F427" s="1">
        <v>4</v>
      </c>
      <c r="G427" s="12" t="s">
        <v>1166</v>
      </c>
      <c r="H427" s="1" t="s">
        <v>1166</v>
      </c>
      <c r="I427" s="1" t="s">
        <v>130</v>
      </c>
      <c r="J427" s="30">
        <v>1</v>
      </c>
      <c r="K427" s="30">
        <v>18000000</v>
      </c>
      <c r="L427" s="31">
        <v>18000000</v>
      </c>
      <c r="M427" s="1" t="s">
        <v>16</v>
      </c>
      <c r="N427" s="1" t="s">
        <v>17</v>
      </c>
      <c r="O427" s="1" t="s">
        <v>2057</v>
      </c>
      <c r="P427" s="1" t="s">
        <v>2056</v>
      </c>
      <c r="Q427" s="1" t="s">
        <v>42</v>
      </c>
      <c r="R427" s="1">
        <f t="shared" si="6"/>
        <v>1</v>
      </c>
      <c r="S427" s="4">
        <f>J427*K427*M427</f>
        <v>1440000</v>
      </c>
    </row>
    <row r="428" spans="1:19" ht="43" hidden="1" customHeight="1">
      <c r="A428" s="1" t="s">
        <v>2280</v>
      </c>
      <c r="B428" s="1" t="s">
        <v>1412</v>
      </c>
      <c r="C428" s="29">
        <v>45898.896986157401</v>
      </c>
      <c r="D428" s="1" t="s">
        <v>3052</v>
      </c>
      <c r="E428" s="1" t="s">
        <v>3053</v>
      </c>
      <c r="F428" s="1">
        <v>4</v>
      </c>
      <c r="G428" s="12" t="s">
        <v>1075</v>
      </c>
      <c r="H428" s="1" t="s">
        <v>1662</v>
      </c>
      <c r="I428" s="1" t="s">
        <v>130</v>
      </c>
      <c r="J428" s="30">
        <v>10</v>
      </c>
      <c r="K428" s="30">
        <v>2000</v>
      </c>
      <c r="L428" s="31">
        <v>20000</v>
      </c>
      <c r="M428" s="1" t="s">
        <v>16</v>
      </c>
      <c r="N428" s="1" t="s">
        <v>17</v>
      </c>
      <c r="O428" s="1" t="s">
        <v>2057</v>
      </c>
      <c r="P428" s="1" t="s">
        <v>2056</v>
      </c>
      <c r="Q428" s="1" t="s">
        <v>652</v>
      </c>
      <c r="R428" s="1">
        <f t="shared" si="6"/>
        <v>3</v>
      </c>
      <c r="S428" s="4">
        <f>J428*K428*M428</f>
        <v>1600</v>
      </c>
    </row>
    <row r="429" spans="1:19" ht="43" hidden="1" customHeight="1">
      <c r="A429" s="1" t="s">
        <v>2280</v>
      </c>
      <c r="B429" s="1" t="s">
        <v>1412</v>
      </c>
      <c r="C429" s="29">
        <v>45898.896986157401</v>
      </c>
      <c r="D429" s="1" t="s">
        <v>3052</v>
      </c>
      <c r="E429" s="1" t="s">
        <v>3053</v>
      </c>
      <c r="F429" s="1">
        <v>35</v>
      </c>
      <c r="G429" s="12" t="s">
        <v>1075</v>
      </c>
      <c r="H429" s="1" t="s">
        <v>1688</v>
      </c>
      <c r="I429" s="1" t="s">
        <v>130</v>
      </c>
      <c r="J429" s="30">
        <v>2</v>
      </c>
      <c r="K429" s="30">
        <v>5000</v>
      </c>
      <c r="L429" s="31">
        <v>10000</v>
      </c>
      <c r="M429" s="1" t="s">
        <v>16</v>
      </c>
      <c r="N429" s="1" t="s">
        <v>17</v>
      </c>
      <c r="O429" s="1" t="s">
        <v>2057</v>
      </c>
      <c r="P429" s="1" t="s">
        <v>2056</v>
      </c>
      <c r="Q429" s="1" t="s">
        <v>652</v>
      </c>
      <c r="R429" s="1">
        <f t="shared" si="6"/>
        <v>3</v>
      </c>
      <c r="S429" s="4">
        <f>J429*K429*M429</f>
        <v>800</v>
      </c>
    </row>
    <row r="430" spans="1:19" ht="43" hidden="1" customHeight="1">
      <c r="A430" s="1" t="s">
        <v>2280</v>
      </c>
      <c r="B430" s="1" t="s">
        <v>1467</v>
      </c>
      <c r="C430" s="29">
        <v>45928.732318564798</v>
      </c>
      <c r="D430" s="1" t="s">
        <v>3052</v>
      </c>
      <c r="E430" s="1" t="s">
        <v>3053</v>
      </c>
      <c r="F430" s="1">
        <v>26</v>
      </c>
      <c r="G430" s="12" t="s">
        <v>1071</v>
      </c>
      <c r="H430" s="1" t="s">
        <v>1071</v>
      </c>
      <c r="I430" s="1" t="s">
        <v>130</v>
      </c>
      <c r="J430" s="30">
        <v>4</v>
      </c>
      <c r="K430" s="30">
        <v>69638</v>
      </c>
      <c r="L430" s="31">
        <v>278552</v>
      </c>
      <c r="M430" s="1" t="s">
        <v>16</v>
      </c>
      <c r="N430" s="1" t="s">
        <v>17</v>
      </c>
      <c r="O430" s="1" t="s">
        <v>2057</v>
      </c>
      <c r="P430" s="1" t="s">
        <v>2056</v>
      </c>
      <c r="Q430" s="1" t="s">
        <v>546</v>
      </c>
      <c r="R430" s="1">
        <f t="shared" si="6"/>
        <v>3</v>
      </c>
      <c r="S430" s="4">
        <f>J430*K430*M430</f>
        <v>22284.16</v>
      </c>
    </row>
    <row r="431" spans="1:19" ht="43" hidden="1" customHeight="1">
      <c r="A431" s="1" t="s">
        <v>2280</v>
      </c>
      <c r="B431" s="1" t="s">
        <v>1412</v>
      </c>
      <c r="C431" s="29">
        <v>45898.896986157401</v>
      </c>
      <c r="D431" s="1" t="s">
        <v>3052</v>
      </c>
      <c r="E431" s="1" t="s">
        <v>3053</v>
      </c>
      <c r="F431" s="1">
        <v>15</v>
      </c>
      <c r="G431" s="12" t="s">
        <v>976</v>
      </c>
      <c r="H431" s="1" t="s">
        <v>976</v>
      </c>
      <c r="I431" s="1" t="s">
        <v>130</v>
      </c>
      <c r="J431" s="30">
        <v>2</v>
      </c>
      <c r="K431" s="30">
        <v>10000</v>
      </c>
      <c r="L431" s="31">
        <v>20000</v>
      </c>
      <c r="M431" s="1" t="s">
        <v>16</v>
      </c>
      <c r="N431" s="1" t="s">
        <v>17</v>
      </c>
      <c r="O431" s="1" t="s">
        <v>2057</v>
      </c>
      <c r="P431" s="1" t="s">
        <v>2056</v>
      </c>
      <c r="Q431" s="1" t="s">
        <v>652</v>
      </c>
      <c r="R431" s="1">
        <f t="shared" si="6"/>
        <v>3</v>
      </c>
      <c r="S431" s="4">
        <f>J431*K431*M431</f>
        <v>1600</v>
      </c>
    </row>
    <row r="432" spans="1:19" ht="43" hidden="1" customHeight="1">
      <c r="A432" s="1" t="s">
        <v>2280</v>
      </c>
      <c r="B432" s="1" t="s">
        <v>1467</v>
      </c>
      <c r="C432" s="29">
        <v>45928.732318564798</v>
      </c>
      <c r="D432" s="1" t="s">
        <v>3052</v>
      </c>
      <c r="E432" s="1" t="s">
        <v>3053</v>
      </c>
      <c r="F432" s="1">
        <v>31</v>
      </c>
      <c r="G432" s="12" t="s">
        <v>1070</v>
      </c>
      <c r="H432" s="1" t="s">
        <v>1070</v>
      </c>
      <c r="I432" s="1" t="s">
        <v>130</v>
      </c>
      <c r="J432" s="30">
        <v>8</v>
      </c>
      <c r="K432" s="30">
        <v>13650</v>
      </c>
      <c r="L432" s="31">
        <v>109200</v>
      </c>
      <c r="M432" s="1" t="s">
        <v>16</v>
      </c>
      <c r="N432" s="1" t="s">
        <v>17</v>
      </c>
      <c r="O432" s="1" t="s">
        <v>2057</v>
      </c>
      <c r="P432" s="1" t="s">
        <v>2056</v>
      </c>
      <c r="Q432" s="1" t="s">
        <v>546</v>
      </c>
      <c r="R432" s="1">
        <f t="shared" si="6"/>
        <v>3</v>
      </c>
      <c r="S432" s="4">
        <f>J432*K432*M432</f>
        <v>8736</v>
      </c>
    </row>
    <row r="433" spans="1:19" ht="43" hidden="1" customHeight="1">
      <c r="A433" s="1" t="s">
        <v>2280</v>
      </c>
      <c r="B433" s="1" t="s">
        <v>1420</v>
      </c>
      <c r="C433" s="29">
        <v>45866.7486208681</v>
      </c>
      <c r="D433" s="1" t="s">
        <v>3052</v>
      </c>
      <c r="E433" s="1" t="s">
        <v>3053</v>
      </c>
      <c r="F433" s="1">
        <v>23</v>
      </c>
      <c r="G433" s="12" t="s">
        <v>1069</v>
      </c>
      <c r="H433" s="1" t="s">
        <v>1069</v>
      </c>
      <c r="I433" s="1" t="s">
        <v>130</v>
      </c>
      <c r="J433" s="30">
        <v>1</v>
      </c>
      <c r="K433" s="30">
        <v>25000</v>
      </c>
      <c r="L433" s="31">
        <v>25000</v>
      </c>
      <c r="M433" s="1" t="s">
        <v>16</v>
      </c>
      <c r="N433" s="1" t="s">
        <v>17</v>
      </c>
      <c r="O433" s="1" t="s">
        <v>2057</v>
      </c>
      <c r="P433" s="1" t="s">
        <v>2056</v>
      </c>
      <c r="Q433" s="1" t="s">
        <v>1763</v>
      </c>
      <c r="R433" s="1">
        <f t="shared" si="6"/>
        <v>3</v>
      </c>
      <c r="S433" s="4">
        <f>J433*K433*M433</f>
        <v>2000</v>
      </c>
    </row>
    <row r="434" spans="1:19" ht="43" hidden="1" customHeight="1">
      <c r="A434" s="1" t="s">
        <v>2280</v>
      </c>
      <c r="B434" s="1" t="s">
        <v>1412</v>
      </c>
      <c r="C434" s="29">
        <v>45898.896986157401</v>
      </c>
      <c r="D434" s="1" t="s">
        <v>3052</v>
      </c>
      <c r="E434" s="1" t="s">
        <v>3053</v>
      </c>
      <c r="F434" s="1">
        <v>18</v>
      </c>
      <c r="G434" s="12" t="s">
        <v>2840</v>
      </c>
      <c r="H434" s="1" t="s">
        <v>1672</v>
      </c>
      <c r="I434" s="1" t="s">
        <v>130</v>
      </c>
      <c r="J434" s="30">
        <v>1</v>
      </c>
      <c r="K434" s="30">
        <v>35000</v>
      </c>
      <c r="L434" s="31">
        <v>35000</v>
      </c>
      <c r="M434" s="1" t="s">
        <v>16</v>
      </c>
      <c r="N434" s="1" t="s">
        <v>17</v>
      </c>
      <c r="O434" s="1" t="s">
        <v>2057</v>
      </c>
      <c r="P434" s="1" t="s">
        <v>2056</v>
      </c>
      <c r="Q434" s="1" t="s">
        <v>652</v>
      </c>
      <c r="R434" s="1">
        <f t="shared" si="6"/>
        <v>3</v>
      </c>
      <c r="S434" s="4">
        <f>J434*K434*M434</f>
        <v>2800</v>
      </c>
    </row>
    <row r="435" spans="1:19" ht="43" hidden="1" customHeight="1">
      <c r="A435" s="1" t="s">
        <v>2280</v>
      </c>
      <c r="B435" s="1" t="s">
        <v>13</v>
      </c>
      <c r="C435" s="29">
        <v>45776.499996342602</v>
      </c>
      <c r="D435" s="1" t="s">
        <v>3052</v>
      </c>
      <c r="E435" s="1" t="s">
        <v>3053</v>
      </c>
      <c r="F435" s="1">
        <v>65</v>
      </c>
      <c r="G435" s="12" t="s">
        <v>2840</v>
      </c>
      <c r="H435" s="1" t="s">
        <v>1970</v>
      </c>
      <c r="I435" s="1" t="s">
        <v>130</v>
      </c>
      <c r="J435" s="30">
        <v>3</v>
      </c>
      <c r="K435" s="30">
        <v>25000</v>
      </c>
      <c r="L435" s="31">
        <v>75000</v>
      </c>
      <c r="M435" s="1" t="s">
        <v>16</v>
      </c>
      <c r="N435" s="1" t="s">
        <v>17</v>
      </c>
      <c r="O435" s="1" t="s">
        <v>2057</v>
      </c>
      <c r="P435" s="1" t="s">
        <v>2056</v>
      </c>
      <c r="Q435" s="1" t="s">
        <v>937</v>
      </c>
      <c r="R435" s="1">
        <f t="shared" si="6"/>
        <v>2</v>
      </c>
      <c r="S435" s="4">
        <f>J435*K435*M435</f>
        <v>6000</v>
      </c>
    </row>
    <row r="436" spans="1:19" ht="43" hidden="1" customHeight="1">
      <c r="A436" s="1" t="s">
        <v>2280</v>
      </c>
      <c r="B436" s="1" t="s">
        <v>13</v>
      </c>
      <c r="C436" s="29">
        <v>45776.499996342602</v>
      </c>
      <c r="D436" s="1" t="s">
        <v>3052</v>
      </c>
      <c r="E436" s="1" t="s">
        <v>3053</v>
      </c>
      <c r="F436" s="1">
        <v>58</v>
      </c>
      <c r="G436" s="12" t="s">
        <v>1069</v>
      </c>
      <c r="H436" s="1" t="s">
        <v>1964</v>
      </c>
      <c r="I436" s="1" t="s">
        <v>130</v>
      </c>
      <c r="J436" s="30">
        <v>1</v>
      </c>
      <c r="K436" s="30">
        <v>35000</v>
      </c>
      <c r="L436" s="31">
        <v>35000</v>
      </c>
      <c r="M436" s="1" t="s">
        <v>16</v>
      </c>
      <c r="N436" s="1" t="s">
        <v>17</v>
      </c>
      <c r="O436" s="1" t="s">
        <v>2057</v>
      </c>
      <c r="P436" s="1" t="s">
        <v>2056</v>
      </c>
      <c r="Q436" s="1" t="s">
        <v>937</v>
      </c>
      <c r="R436" s="1">
        <f t="shared" si="6"/>
        <v>2</v>
      </c>
      <c r="S436" s="4">
        <f>J436*K436*M436</f>
        <v>2800</v>
      </c>
    </row>
    <row r="437" spans="1:19" ht="43" customHeight="1">
      <c r="A437" s="1" t="s">
        <v>2280</v>
      </c>
      <c r="B437" s="1" t="s">
        <v>1412</v>
      </c>
      <c r="C437" s="29">
        <v>45898.896986157401</v>
      </c>
      <c r="D437" s="1" t="s">
        <v>3052</v>
      </c>
      <c r="E437" s="1" t="s">
        <v>3053</v>
      </c>
      <c r="F437" s="1">
        <v>28</v>
      </c>
      <c r="H437" s="1" t="s">
        <v>1682</v>
      </c>
      <c r="I437" s="1" t="s">
        <v>130</v>
      </c>
      <c r="J437" s="30">
        <v>2</v>
      </c>
      <c r="K437" s="30">
        <v>15000</v>
      </c>
      <c r="L437" s="31">
        <v>30000</v>
      </c>
      <c r="M437" s="1" t="s">
        <v>16</v>
      </c>
      <c r="N437" s="1" t="s">
        <v>17</v>
      </c>
      <c r="O437" s="1" t="s">
        <v>2057</v>
      </c>
      <c r="P437" s="1" t="s">
        <v>2056</v>
      </c>
      <c r="Q437" s="1" t="s">
        <v>652</v>
      </c>
      <c r="R437" s="1">
        <f t="shared" si="6"/>
        <v>3</v>
      </c>
      <c r="S437" s="4">
        <f>J437*K437*M437</f>
        <v>2400</v>
      </c>
    </row>
    <row r="438" spans="1:19" ht="43" customHeight="1">
      <c r="A438" s="1" t="s">
        <v>2280</v>
      </c>
      <c r="B438" s="1" t="s">
        <v>1412</v>
      </c>
      <c r="C438" s="29">
        <v>45898.896986157401</v>
      </c>
      <c r="D438" s="1" t="s">
        <v>3052</v>
      </c>
      <c r="E438" s="1" t="s">
        <v>3053</v>
      </c>
      <c r="F438" s="1">
        <v>37</v>
      </c>
      <c r="H438" s="1" t="s">
        <v>1690</v>
      </c>
      <c r="I438" s="1" t="s">
        <v>130</v>
      </c>
      <c r="J438" s="30">
        <v>2</v>
      </c>
      <c r="K438" s="30">
        <v>20000</v>
      </c>
      <c r="L438" s="31">
        <v>40000</v>
      </c>
      <c r="M438" s="1" t="s">
        <v>16</v>
      </c>
      <c r="N438" s="1" t="s">
        <v>17</v>
      </c>
      <c r="O438" s="1" t="s">
        <v>2057</v>
      </c>
      <c r="P438" s="1" t="s">
        <v>2056</v>
      </c>
      <c r="Q438" s="1" t="s">
        <v>652</v>
      </c>
      <c r="R438" s="1">
        <f t="shared" si="6"/>
        <v>3</v>
      </c>
      <c r="S438" s="4">
        <f>J438*K438*M438</f>
        <v>3200</v>
      </c>
    </row>
    <row r="439" spans="1:19" ht="43" hidden="1" customHeight="1">
      <c r="A439" s="1" t="s">
        <v>2280</v>
      </c>
      <c r="B439" s="1" t="s">
        <v>1462</v>
      </c>
      <c r="C439" s="29">
        <v>45928.944135983802</v>
      </c>
      <c r="D439" s="1" t="s">
        <v>3052</v>
      </c>
      <c r="E439" s="1" t="s">
        <v>3053</v>
      </c>
      <c r="F439" s="1">
        <v>11</v>
      </c>
      <c r="G439" s="12" t="s">
        <v>1305</v>
      </c>
      <c r="H439" s="1" t="s">
        <v>1305</v>
      </c>
      <c r="I439" s="1" t="s">
        <v>130</v>
      </c>
      <c r="J439" s="30">
        <v>10</v>
      </c>
      <c r="K439" s="30">
        <v>3000</v>
      </c>
      <c r="L439" s="31">
        <v>30000</v>
      </c>
      <c r="M439" s="1" t="s">
        <v>16</v>
      </c>
      <c r="N439" s="1" t="s">
        <v>17</v>
      </c>
      <c r="O439" s="1" t="s">
        <v>2057</v>
      </c>
      <c r="P439" s="1" t="s">
        <v>2056</v>
      </c>
      <c r="Q439" s="1" t="s">
        <v>546</v>
      </c>
      <c r="R439" s="1">
        <f t="shared" si="6"/>
        <v>3</v>
      </c>
      <c r="S439" s="4">
        <f>J439*K439*M439</f>
        <v>2400</v>
      </c>
    </row>
    <row r="440" spans="1:19" ht="43" hidden="1" customHeight="1">
      <c r="A440" s="1" t="s">
        <v>2280</v>
      </c>
      <c r="B440" s="1" t="s">
        <v>1467</v>
      </c>
      <c r="C440" s="29">
        <v>45928.732318564798</v>
      </c>
      <c r="D440" s="1" t="s">
        <v>3052</v>
      </c>
      <c r="E440" s="1" t="s">
        <v>3053</v>
      </c>
      <c r="F440" s="1">
        <v>37</v>
      </c>
      <c r="G440" s="12" t="s">
        <v>1305</v>
      </c>
      <c r="H440" s="1" t="s">
        <v>1305</v>
      </c>
      <c r="I440" s="1" t="s">
        <v>130</v>
      </c>
      <c r="J440" s="30">
        <v>10</v>
      </c>
      <c r="K440" s="30">
        <v>1296</v>
      </c>
      <c r="L440" s="31">
        <v>12960</v>
      </c>
      <c r="M440" s="1" t="s">
        <v>16</v>
      </c>
      <c r="N440" s="1" t="s">
        <v>17</v>
      </c>
      <c r="O440" s="1" t="s">
        <v>2057</v>
      </c>
      <c r="P440" s="1" t="s">
        <v>2056</v>
      </c>
      <c r="Q440" s="1" t="s">
        <v>546</v>
      </c>
      <c r="R440" s="1">
        <f t="shared" si="6"/>
        <v>3</v>
      </c>
      <c r="S440" s="4">
        <f>J440*K440*M440</f>
        <v>1036.8</v>
      </c>
    </row>
    <row r="441" spans="1:19" ht="43" hidden="1" customHeight="1">
      <c r="A441" s="1" t="s">
        <v>2280</v>
      </c>
      <c r="B441" s="1" t="s">
        <v>1158</v>
      </c>
      <c r="C441" s="29">
        <v>45868.606624756903</v>
      </c>
      <c r="D441" s="1" t="s">
        <v>3052</v>
      </c>
      <c r="E441" s="1" t="s">
        <v>3053</v>
      </c>
      <c r="F441" s="1">
        <v>16</v>
      </c>
      <c r="G441" s="12" t="s">
        <v>1305</v>
      </c>
      <c r="H441" s="1" t="s">
        <v>1305</v>
      </c>
      <c r="I441" s="1" t="s">
        <v>130</v>
      </c>
      <c r="J441" s="30">
        <v>4</v>
      </c>
      <c r="K441" s="30">
        <v>5000</v>
      </c>
      <c r="L441" s="31">
        <v>20000</v>
      </c>
      <c r="M441" s="1" t="s">
        <v>16</v>
      </c>
      <c r="N441" s="1" t="s">
        <v>17</v>
      </c>
      <c r="O441" s="1" t="s">
        <v>2057</v>
      </c>
      <c r="P441" s="1" t="s">
        <v>2056</v>
      </c>
      <c r="Q441" s="1" t="s">
        <v>800</v>
      </c>
      <c r="R441" s="1">
        <f t="shared" si="6"/>
        <v>3</v>
      </c>
      <c r="S441" s="4">
        <f>J441*K441*M441</f>
        <v>1600</v>
      </c>
    </row>
    <row r="442" spans="1:19" ht="43" hidden="1" customHeight="1">
      <c r="A442" s="1" t="s">
        <v>2280</v>
      </c>
      <c r="B442" s="1" t="s">
        <v>1467</v>
      </c>
      <c r="C442" s="29">
        <v>45928.732318564798</v>
      </c>
      <c r="D442" s="1" t="s">
        <v>3052</v>
      </c>
      <c r="E442" s="1" t="s">
        <v>3053</v>
      </c>
      <c r="F442" s="1">
        <v>69</v>
      </c>
      <c r="G442" s="12" t="s">
        <v>1441</v>
      </c>
      <c r="H442" s="1" t="s">
        <v>1441</v>
      </c>
      <c r="I442" s="1" t="s">
        <v>130</v>
      </c>
      <c r="J442" s="30">
        <v>12</v>
      </c>
      <c r="K442" s="30">
        <v>19500</v>
      </c>
      <c r="L442" s="31">
        <v>234000</v>
      </c>
      <c r="M442" s="1" t="s">
        <v>16</v>
      </c>
      <c r="N442" s="1" t="s">
        <v>17</v>
      </c>
      <c r="O442" s="1" t="s">
        <v>2057</v>
      </c>
      <c r="P442" s="1" t="s">
        <v>2056</v>
      </c>
      <c r="Q442" s="1" t="s">
        <v>546</v>
      </c>
      <c r="R442" s="1">
        <f t="shared" si="6"/>
        <v>3</v>
      </c>
      <c r="S442" s="4">
        <f>J442*K442*M442</f>
        <v>18720</v>
      </c>
    </row>
    <row r="443" spans="1:19" ht="43" hidden="1" customHeight="1">
      <c r="A443" s="1" t="s">
        <v>2280</v>
      </c>
      <c r="B443" s="1" t="s">
        <v>120</v>
      </c>
      <c r="C443" s="29">
        <v>45838.621748888901</v>
      </c>
      <c r="D443" s="1" t="s">
        <v>3052</v>
      </c>
      <c r="E443" s="1" t="s">
        <v>3053</v>
      </c>
      <c r="F443" s="1">
        <v>32</v>
      </c>
      <c r="G443" s="12" t="s">
        <v>1441</v>
      </c>
      <c r="H443" s="1" t="s">
        <v>1441</v>
      </c>
      <c r="I443" s="1" t="s">
        <v>130</v>
      </c>
      <c r="J443" s="30">
        <v>20</v>
      </c>
      <c r="K443" s="30">
        <v>4000</v>
      </c>
      <c r="L443" s="31">
        <v>80000</v>
      </c>
      <c r="M443" s="1" t="s">
        <v>16</v>
      </c>
      <c r="N443" s="1" t="s">
        <v>17</v>
      </c>
      <c r="O443" s="1" t="s">
        <v>2057</v>
      </c>
      <c r="P443" s="1" t="s">
        <v>2056</v>
      </c>
      <c r="Q443" s="1" t="s">
        <v>828</v>
      </c>
      <c r="R443" s="1">
        <f t="shared" si="6"/>
        <v>2</v>
      </c>
      <c r="S443" s="4">
        <f>J443*K443*M443</f>
        <v>6400</v>
      </c>
    </row>
    <row r="444" spans="1:19" ht="43" hidden="1" customHeight="1">
      <c r="A444" s="1" t="s">
        <v>2280</v>
      </c>
      <c r="B444" s="1" t="s">
        <v>1295</v>
      </c>
      <c r="C444" s="29">
        <v>45807.7287575347</v>
      </c>
      <c r="D444" s="1" t="s">
        <v>3052</v>
      </c>
      <c r="E444" s="1" t="s">
        <v>3053</v>
      </c>
      <c r="F444" s="1">
        <v>18</v>
      </c>
      <c r="G444" s="12" t="s">
        <v>1436</v>
      </c>
      <c r="H444" s="1" t="s">
        <v>1888</v>
      </c>
      <c r="I444" s="1" t="s">
        <v>130</v>
      </c>
      <c r="J444" s="30">
        <v>5</v>
      </c>
      <c r="K444" s="30">
        <v>5000</v>
      </c>
      <c r="L444" s="31">
        <v>25000</v>
      </c>
      <c r="M444" s="1" t="s">
        <v>16</v>
      </c>
      <c r="N444" s="1" t="s">
        <v>17</v>
      </c>
      <c r="O444" s="1" t="s">
        <v>2057</v>
      </c>
      <c r="P444" s="1" t="s">
        <v>2056</v>
      </c>
      <c r="Q444" s="1" t="s">
        <v>925</v>
      </c>
      <c r="R444" s="1">
        <f t="shared" si="6"/>
        <v>2</v>
      </c>
      <c r="S444" s="4">
        <f>J444*K444*M444</f>
        <v>2000</v>
      </c>
    </row>
    <row r="445" spans="1:19" ht="43" hidden="1" customHeight="1">
      <c r="A445" s="1" t="s">
        <v>2280</v>
      </c>
      <c r="B445" s="1" t="s">
        <v>1462</v>
      </c>
      <c r="C445" s="29">
        <v>45928.944135983802</v>
      </c>
      <c r="D445" s="1" t="s">
        <v>3052</v>
      </c>
      <c r="E445" s="1" t="s">
        <v>3053</v>
      </c>
      <c r="F445" s="1">
        <v>23</v>
      </c>
      <c r="G445" s="12" t="s">
        <v>1436</v>
      </c>
      <c r="H445" s="1" t="s">
        <v>1436</v>
      </c>
      <c r="I445" s="1" t="s">
        <v>130</v>
      </c>
      <c r="J445" s="30">
        <v>2</v>
      </c>
      <c r="K445" s="30">
        <v>12000</v>
      </c>
      <c r="L445" s="31">
        <v>24000</v>
      </c>
      <c r="M445" s="1" t="s">
        <v>16</v>
      </c>
      <c r="N445" s="1" t="s">
        <v>17</v>
      </c>
      <c r="O445" s="1" t="s">
        <v>2057</v>
      </c>
      <c r="P445" s="1" t="s">
        <v>2056</v>
      </c>
      <c r="Q445" s="1" t="s">
        <v>546</v>
      </c>
      <c r="R445" s="1">
        <f t="shared" si="6"/>
        <v>3</v>
      </c>
      <c r="S445" s="4">
        <f>J445*K445*M445</f>
        <v>1920</v>
      </c>
    </row>
    <row r="446" spans="1:19" ht="43" hidden="1" customHeight="1">
      <c r="A446" s="1" t="s">
        <v>2280</v>
      </c>
      <c r="B446" s="1" t="s">
        <v>1467</v>
      </c>
      <c r="C446" s="29">
        <v>45928.732318564798</v>
      </c>
      <c r="D446" s="1" t="s">
        <v>3052</v>
      </c>
      <c r="E446" s="1" t="s">
        <v>3053</v>
      </c>
      <c r="F446" s="1">
        <v>29</v>
      </c>
      <c r="G446" s="12" t="s">
        <v>1343</v>
      </c>
      <c r="H446" s="1" t="s">
        <v>1343</v>
      </c>
      <c r="I446" s="1" t="s">
        <v>130</v>
      </c>
      <c r="J446" s="30">
        <v>8</v>
      </c>
      <c r="K446" s="30">
        <v>7463</v>
      </c>
      <c r="L446" s="31">
        <v>59704</v>
      </c>
      <c r="M446" s="1" t="s">
        <v>16</v>
      </c>
      <c r="N446" s="1" t="s">
        <v>17</v>
      </c>
      <c r="O446" s="1" t="s">
        <v>2057</v>
      </c>
      <c r="P446" s="1" t="s">
        <v>2056</v>
      </c>
      <c r="Q446" s="1" t="s">
        <v>546</v>
      </c>
      <c r="R446" s="1">
        <f t="shared" si="6"/>
        <v>3</v>
      </c>
      <c r="S446" s="4">
        <f>J446*K446*M446</f>
        <v>4776.32</v>
      </c>
    </row>
    <row r="447" spans="1:19" ht="43" hidden="1" customHeight="1">
      <c r="A447" s="1" t="s">
        <v>2280</v>
      </c>
      <c r="B447" s="1" t="s">
        <v>1467</v>
      </c>
      <c r="C447" s="29">
        <v>45928.732318564798</v>
      </c>
      <c r="D447" s="1" t="s">
        <v>3052</v>
      </c>
      <c r="E447" s="1" t="s">
        <v>3053</v>
      </c>
      <c r="F447" s="1">
        <v>80</v>
      </c>
      <c r="G447" s="12" t="s">
        <v>1343</v>
      </c>
      <c r="H447" s="1" t="s">
        <v>1343</v>
      </c>
      <c r="I447" s="1" t="s">
        <v>130</v>
      </c>
      <c r="J447" s="30">
        <v>4</v>
      </c>
      <c r="K447" s="30">
        <v>58816</v>
      </c>
      <c r="L447" s="31">
        <v>235264</v>
      </c>
      <c r="M447" s="1" t="s">
        <v>16</v>
      </c>
      <c r="N447" s="1" t="s">
        <v>17</v>
      </c>
      <c r="O447" s="1" t="s">
        <v>2057</v>
      </c>
      <c r="P447" s="1" t="s">
        <v>2056</v>
      </c>
      <c r="Q447" s="1" t="s">
        <v>546</v>
      </c>
      <c r="R447" s="1">
        <f t="shared" si="6"/>
        <v>3</v>
      </c>
      <c r="S447" s="4">
        <f>J447*K447*M447</f>
        <v>18821.12</v>
      </c>
    </row>
    <row r="448" spans="1:19" ht="43" hidden="1" customHeight="1">
      <c r="A448" s="1" t="s">
        <v>2280</v>
      </c>
      <c r="B448" s="1" t="s">
        <v>1158</v>
      </c>
      <c r="C448" s="29">
        <v>45868.606624756903</v>
      </c>
      <c r="D448" s="1" t="s">
        <v>3052</v>
      </c>
      <c r="E448" s="1" t="s">
        <v>3053</v>
      </c>
      <c r="F448" s="1">
        <v>10</v>
      </c>
      <c r="G448" s="12" t="s">
        <v>1343</v>
      </c>
      <c r="H448" s="1" t="s">
        <v>1343</v>
      </c>
      <c r="I448" s="1" t="s">
        <v>130</v>
      </c>
      <c r="J448" s="30">
        <v>3</v>
      </c>
      <c r="K448" s="30">
        <v>10000</v>
      </c>
      <c r="L448" s="31">
        <v>30000</v>
      </c>
      <c r="M448" s="1" t="s">
        <v>16</v>
      </c>
      <c r="N448" s="1" t="s">
        <v>17</v>
      </c>
      <c r="O448" s="1" t="s">
        <v>2057</v>
      </c>
      <c r="P448" s="1" t="s">
        <v>2056</v>
      </c>
      <c r="Q448" s="1" t="s">
        <v>800</v>
      </c>
      <c r="R448" s="1">
        <f t="shared" si="6"/>
        <v>3</v>
      </c>
      <c r="S448" s="4">
        <f>J448*K448*M448</f>
        <v>2400</v>
      </c>
    </row>
    <row r="449" spans="1:19" ht="43" hidden="1" customHeight="1">
      <c r="A449" s="1" t="s">
        <v>2280</v>
      </c>
      <c r="B449" s="1" t="s">
        <v>152</v>
      </c>
      <c r="C449" s="29">
        <v>45836.413450243097</v>
      </c>
      <c r="D449" s="1" t="s">
        <v>3052</v>
      </c>
      <c r="E449" s="1" t="s">
        <v>3053</v>
      </c>
      <c r="F449" s="1">
        <v>6</v>
      </c>
      <c r="G449" s="12" t="s">
        <v>1343</v>
      </c>
      <c r="H449" s="1" t="s">
        <v>1343</v>
      </c>
      <c r="I449" s="1" t="s">
        <v>130</v>
      </c>
      <c r="J449" s="30">
        <v>20</v>
      </c>
      <c r="K449" s="30">
        <v>10000</v>
      </c>
      <c r="L449" s="31">
        <v>200000</v>
      </c>
      <c r="M449" s="1" t="s">
        <v>16</v>
      </c>
      <c r="N449" s="1" t="s">
        <v>17</v>
      </c>
      <c r="O449" s="1" t="s">
        <v>2057</v>
      </c>
      <c r="P449" s="1" t="s">
        <v>2056</v>
      </c>
      <c r="Q449" s="1" t="s">
        <v>845</v>
      </c>
      <c r="R449" s="1">
        <f t="shared" si="6"/>
        <v>2</v>
      </c>
      <c r="S449" s="4">
        <f>J449*K449*M449</f>
        <v>16000</v>
      </c>
    </row>
    <row r="450" spans="1:19" ht="43" hidden="1" customHeight="1">
      <c r="A450" s="1" t="s">
        <v>2280</v>
      </c>
      <c r="B450" s="1" t="s">
        <v>1158</v>
      </c>
      <c r="C450" s="29">
        <v>45868.606624756903</v>
      </c>
      <c r="D450" s="1" t="s">
        <v>3052</v>
      </c>
      <c r="E450" s="1" t="s">
        <v>3053</v>
      </c>
      <c r="F450" s="1">
        <v>15</v>
      </c>
      <c r="G450" s="12" t="s">
        <v>1436</v>
      </c>
      <c r="H450" s="1" t="s">
        <v>1753</v>
      </c>
      <c r="I450" s="1" t="s">
        <v>130</v>
      </c>
      <c r="J450" s="30">
        <v>4</v>
      </c>
      <c r="K450" s="30">
        <v>10000</v>
      </c>
      <c r="L450" s="31">
        <v>40000</v>
      </c>
      <c r="M450" s="1" t="s">
        <v>16</v>
      </c>
      <c r="N450" s="1" t="s">
        <v>17</v>
      </c>
      <c r="O450" s="1" t="s">
        <v>2057</v>
      </c>
      <c r="P450" s="1" t="s">
        <v>2056</v>
      </c>
      <c r="Q450" s="1" t="s">
        <v>800</v>
      </c>
      <c r="R450" s="1">
        <f t="shared" si="6"/>
        <v>3</v>
      </c>
      <c r="S450" s="4">
        <f>J450*K450*M450</f>
        <v>3200</v>
      </c>
    </row>
    <row r="451" spans="1:19" ht="43" customHeight="1">
      <c r="A451" s="1" t="s">
        <v>2280</v>
      </c>
      <c r="B451" s="1" t="s">
        <v>1412</v>
      </c>
      <c r="C451" s="29">
        <v>45898.896986157401</v>
      </c>
      <c r="D451" s="1" t="s">
        <v>3052</v>
      </c>
      <c r="E451" s="1" t="s">
        <v>3053</v>
      </c>
      <c r="F451" s="1">
        <v>27</v>
      </c>
      <c r="H451" s="1" t="s">
        <v>1681</v>
      </c>
      <c r="I451" s="1" t="s">
        <v>130</v>
      </c>
      <c r="J451" s="30">
        <v>2</v>
      </c>
      <c r="K451" s="30">
        <v>15000</v>
      </c>
      <c r="L451" s="31">
        <v>30000</v>
      </c>
      <c r="M451" s="1" t="s">
        <v>16</v>
      </c>
      <c r="N451" s="1" t="s">
        <v>17</v>
      </c>
      <c r="O451" s="1" t="s">
        <v>2057</v>
      </c>
      <c r="P451" s="1" t="s">
        <v>2056</v>
      </c>
      <c r="Q451" s="1" t="s">
        <v>652</v>
      </c>
      <c r="R451" s="1">
        <f t="shared" ref="R451:R514" si="7">ROUNDUP(MONTH(Q451)/3,0)</f>
        <v>3</v>
      </c>
      <c r="S451" s="4">
        <f>J451*K451*M451</f>
        <v>2400</v>
      </c>
    </row>
    <row r="452" spans="1:19" ht="43" customHeight="1">
      <c r="A452" s="1" t="s">
        <v>2280</v>
      </c>
      <c r="B452" s="1" t="s">
        <v>1412</v>
      </c>
      <c r="C452" s="29">
        <v>45898.896986157401</v>
      </c>
      <c r="D452" s="1" t="s">
        <v>3052</v>
      </c>
      <c r="E452" s="1" t="s">
        <v>3053</v>
      </c>
      <c r="F452" s="1">
        <v>21</v>
      </c>
      <c r="H452" s="1" t="s">
        <v>1675</v>
      </c>
      <c r="I452" s="1" t="s">
        <v>130</v>
      </c>
      <c r="J452" s="30">
        <v>1</v>
      </c>
      <c r="K452" s="30">
        <v>10000</v>
      </c>
      <c r="L452" s="31">
        <v>10000</v>
      </c>
      <c r="M452" s="1" t="s">
        <v>16</v>
      </c>
      <c r="N452" s="1" t="s">
        <v>17</v>
      </c>
      <c r="O452" s="1" t="s">
        <v>2057</v>
      </c>
      <c r="P452" s="1" t="s">
        <v>2056</v>
      </c>
      <c r="Q452" s="1" t="s">
        <v>652</v>
      </c>
      <c r="R452" s="1">
        <f t="shared" si="7"/>
        <v>3</v>
      </c>
      <c r="S452" s="4">
        <f>J452*K452*M452</f>
        <v>800</v>
      </c>
    </row>
    <row r="453" spans="1:19" ht="43" customHeight="1">
      <c r="A453" s="1" t="s">
        <v>2280</v>
      </c>
      <c r="B453" s="1" t="s">
        <v>1412</v>
      </c>
      <c r="C453" s="29">
        <v>45898.896986157401</v>
      </c>
      <c r="D453" s="1" t="s">
        <v>3052</v>
      </c>
      <c r="E453" s="1" t="s">
        <v>3053</v>
      </c>
      <c r="F453" s="1">
        <v>23</v>
      </c>
      <c r="H453" s="1" t="s">
        <v>1677</v>
      </c>
      <c r="I453" s="1" t="s">
        <v>130</v>
      </c>
      <c r="J453" s="30">
        <v>1</v>
      </c>
      <c r="K453" s="30">
        <v>15000</v>
      </c>
      <c r="L453" s="31">
        <v>15000</v>
      </c>
      <c r="M453" s="1" t="s">
        <v>16</v>
      </c>
      <c r="N453" s="1" t="s">
        <v>17</v>
      </c>
      <c r="O453" s="1" t="s">
        <v>2057</v>
      </c>
      <c r="P453" s="1" t="s">
        <v>2056</v>
      </c>
      <c r="Q453" s="1" t="s">
        <v>652</v>
      </c>
      <c r="R453" s="1">
        <f t="shared" si="7"/>
        <v>3</v>
      </c>
      <c r="S453" s="4">
        <f>J453*K453*M453</f>
        <v>1200</v>
      </c>
    </row>
    <row r="454" spans="1:19" ht="43" customHeight="1">
      <c r="A454" s="1" t="s">
        <v>2280</v>
      </c>
      <c r="B454" s="1" t="s">
        <v>221</v>
      </c>
      <c r="C454" s="29">
        <v>45776.500553657403</v>
      </c>
      <c r="D454" s="1" t="s">
        <v>3052</v>
      </c>
      <c r="E454" s="1" t="s">
        <v>3053</v>
      </c>
      <c r="F454" s="1">
        <v>26</v>
      </c>
      <c r="H454" s="1" t="s">
        <v>1917</v>
      </c>
      <c r="I454" s="1" t="s">
        <v>130</v>
      </c>
      <c r="J454" s="30">
        <v>5</v>
      </c>
      <c r="K454" s="30">
        <v>25000</v>
      </c>
      <c r="L454" s="31">
        <v>125000</v>
      </c>
      <c r="M454" s="1" t="s">
        <v>30</v>
      </c>
      <c r="N454" s="1" t="s">
        <v>17</v>
      </c>
      <c r="O454" s="1" t="s">
        <v>2057</v>
      </c>
      <c r="P454" s="1" t="s">
        <v>2056</v>
      </c>
      <c r="Q454" s="1" t="s">
        <v>937</v>
      </c>
      <c r="R454" s="1">
        <f t="shared" si="7"/>
        <v>2</v>
      </c>
      <c r="S454" s="4">
        <f>J454*K454*M454</f>
        <v>12500</v>
      </c>
    </row>
    <row r="455" spans="1:19" ht="43" hidden="1" customHeight="1">
      <c r="A455" s="1" t="s">
        <v>2072</v>
      </c>
      <c r="B455" s="1" t="s">
        <v>1294</v>
      </c>
      <c r="C455" s="29">
        <v>46021.613942164397</v>
      </c>
      <c r="D455" s="1" t="s">
        <v>3052</v>
      </c>
      <c r="E455" s="1" t="s">
        <v>3053</v>
      </c>
      <c r="F455" s="1">
        <v>61</v>
      </c>
      <c r="G455" s="12" t="s">
        <v>403</v>
      </c>
      <c r="H455" s="1" t="s">
        <v>403</v>
      </c>
      <c r="I455" s="1" t="s">
        <v>130</v>
      </c>
      <c r="J455" s="30">
        <v>10</v>
      </c>
      <c r="K455" s="30">
        <v>25000</v>
      </c>
      <c r="L455" s="31">
        <v>250000</v>
      </c>
      <c r="M455" s="1" t="s">
        <v>16</v>
      </c>
      <c r="N455" s="1" t="s">
        <v>17</v>
      </c>
      <c r="O455" s="1" t="s">
        <v>2057</v>
      </c>
      <c r="P455" s="1" t="s">
        <v>2056</v>
      </c>
      <c r="Q455" s="1" t="s">
        <v>1474</v>
      </c>
      <c r="R455" s="1">
        <f t="shared" si="7"/>
        <v>4</v>
      </c>
      <c r="S455" s="4">
        <f>J455*K455*M455</f>
        <v>20000</v>
      </c>
    </row>
    <row r="456" spans="1:19" ht="43" hidden="1" customHeight="1">
      <c r="A456" s="1" t="s">
        <v>2280</v>
      </c>
      <c r="B456" s="1" t="s">
        <v>1315</v>
      </c>
      <c r="C456" s="29">
        <v>45747.658940451402</v>
      </c>
      <c r="D456" s="1" t="s">
        <v>3071</v>
      </c>
      <c r="E456" s="1" t="s">
        <v>3053</v>
      </c>
      <c r="F456" s="1">
        <v>32</v>
      </c>
      <c r="G456" s="12" t="s">
        <v>2943</v>
      </c>
      <c r="H456" s="1" t="s">
        <v>2025</v>
      </c>
      <c r="I456" s="1" t="s">
        <v>130</v>
      </c>
      <c r="J456" s="30">
        <v>16</v>
      </c>
      <c r="K456" s="30">
        <v>12000</v>
      </c>
      <c r="L456" s="31">
        <v>192000</v>
      </c>
      <c r="M456" s="1" t="s">
        <v>30</v>
      </c>
      <c r="N456" s="1" t="s">
        <v>17</v>
      </c>
      <c r="O456" s="1" t="s">
        <v>2057</v>
      </c>
      <c r="P456" s="1" t="s">
        <v>2056</v>
      </c>
      <c r="Q456" s="1" t="s">
        <v>42</v>
      </c>
      <c r="R456" s="1">
        <f t="shared" si="7"/>
        <v>1</v>
      </c>
      <c r="S456" s="4">
        <f>J456*K456*M456</f>
        <v>19200</v>
      </c>
    </row>
    <row r="457" spans="1:19" ht="43" customHeight="1">
      <c r="A457" s="1" t="s">
        <v>2280</v>
      </c>
      <c r="B457" s="1" t="s">
        <v>1315</v>
      </c>
      <c r="C457" s="29">
        <v>45747.658940451402</v>
      </c>
      <c r="D457" s="1" t="s">
        <v>3071</v>
      </c>
      <c r="E457" s="1" t="s">
        <v>3053</v>
      </c>
      <c r="F457" s="1">
        <v>4</v>
      </c>
      <c r="H457" s="1" t="s">
        <v>2000</v>
      </c>
      <c r="I457" s="1" t="s">
        <v>130</v>
      </c>
      <c r="J457" s="30">
        <v>15</v>
      </c>
      <c r="K457" s="30">
        <v>12000</v>
      </c>
      <c r="L457" s="31">
        <v>180000</v>
      </c>
      <c r="M457" s="1" t="s">
        <v>30</v>
      </c>
      <c r="N457" s="1" t="s">
        <v>17</v>
      </c>
      <c r="O457" s="1" t="s">
        <v>2057</v>
      </c>
      <c r="P457" s="1" t="s">
        <v>2056</v>
      </c>
      <c r="Q457" s="1" t="s">
        <v>42</v>
      </c>
      <c r="R457" s="1">
        <f t="shared" si="7"/>
        <v>1</v>
      </c>
      <c r="S457" s="4">
        <f>J457*K457*M457</f>
        <v>18000</v>
      </c>
    </row>
    <row r="458" spans="1:19" ht="43" customHeight="1">
      <c r="A458" s="1" t="s">
        <v>2280</v>
      </c>
      <c r="B458" s="1" t="s">
        <v>1315</v>
      </c>
      <c r="C458" s="29">
        <v>45747.658940451402</v>
      </c>
      <c r="D458" s="1" t="s">
        <v>3071</v>
      </c>
      <c r="E458" s="1" t="s">
        <v>3053</v>
      </c>
      <c r="F458" s="1">
        <v>5</v>
      </c>
      <c r="H458" s="1" t="s">
        <v>2000</v>
      </c>
      <c r="I458" s="1" t="s">
        <v>130</v>
      </c>
      <c r="J458" s="30">
        <v>15</v>
      </c>
      <c r="K458" s="30">
        <v>10000</v>
      </c>
      <c r="L458" s="31">
        <v>150000</v>
      </c>
      <c r="M458" s="1" t="s">
        <v>30</v>
      </c>
      <c r="N458" s="1" t="s">
        <v>17</v>
      </c>
      <c r="O458" s="1" t="s">
        <v>2057</v>
      </c>
      <c r="P458" s="1" t="s">
        <v>2056</v>
      </c>
      <c r="Q458" s="1" t="s">
        <v>42</v>
      </c>
      <c r="R458" s="1">
        <f t="shared" si="7"/>
        <v>1</v>
      </c>
      <c r="S458" s="4">
        <f>J458*K458*M458</f>
        <v>15000</v>
      </c>
    </row>
    <row r="459" spans="1:19" ht="43" customHeight="1">
      <c r="A459" s="1" t="s">
        <v>2280</v>
      </c>
      <c r="B459" s="1" t="s">
        <v>13</v>
      </c>
      <c r="C459" s="29">
        <v>45776.499996342602</v>
      </c>
      <c r="D459" s="1" t="s">
        <v>3052</v>
      </c>
      <c r="E459" s="1" t="s">
        <v>3053</v>
      </c>
      <c r="F459" s="1">
        <v>60</v>
      </c>
      <c r="H459" s="1" t="s">
        <v>1965</v>
      </c>
      <c r="I459" s="1" t="s">
        <v>130</v>
      </c>
      <c r="J459" s="30">
        <v>10</v>
      </c>
      <c r="K459" s="30">
        <v>800000</v>
      </c>
      <c r="L459" s="31">
        <v>8000000</v>
      </c>
      <c r="M459" s="1" t="s">
        <v>16</v>
      </c>
      <c r="N459" s="1" t="s">
        <v>17</v>
      </c>
      <c r="O459" s="1" t="s">
        <v>2057</v>
      </c>
      <c r="P459" s="1" t="s">
        <v>2056</v>
      </c>
      <c r="Q459" s="1" t="s">
        <v>937</v>
      </c>
      <c r="R459" s="1">
        <f t="shared" si="7"/>
        <v>2</v>
      </c>
      <c r="S459" s="4">
        <f>J459*K459*M459</f>
        <v>640000</v>
      </c>
    </row>
    <row r="460" spans="1:19" ht="43" customHeight="1">
      <c r="A460" s="1" t="s">
        <v>2280</v>
      </c>
      <c r="B460" s="1" t="s">
        <v>13</v>
      </c>
      <c r="C460" s="29">
        <v>45776.499996342602</v>
      </c>
      <c r="D460" s="1" t="s">
        <v>3052</v>
      </c>
      <c r="E460" s="1" t="s">
        <v>3053</v>
      </c>
      <c r="F460" s="1">
        <v>20</v>
      </c>
      <c r="H460" s="1" t="s">
        <v>1935</v>
      </c>
      <c r="I460" s="1" t="s">
        <v>15</v>
      </c>
      <c r="J460" s="30">
        <v>5</v>
      </c>
      <c r="K460" s="30">
        <v>160000</v>
      </c>
      <c r="L460" s="31">
        <v>800000</v>
      </c>
      <c r="M460" s="1" t="s">
        <v>16</v>
      </c>
      <c r="N460" s="1" t="s">
        <v>17</v>
      </c>
      <c r="O460" s="1" t="s">
        <v>2057</v>
      </c>
      <c r="P460" s="1" t="s">
        <v>2056</v>
      </c>
      <c r="Q460" s="1" t="s">
        <v>937</v>
      </c>
      <c r="R460" s="1">
        <f t="shared" si="7"/>
        <v>2</v>
      </c>
      <c r="S460" s="4">
        <f>J460*K460*M460</f>
        <v>64000</v>
      </c>
    </row>
    <row r="461" spans="1:19" ht="43" customHeight="1">
      <c r="A461" s="1" t="s">
        <v>2280</v>
      </c>
      <c r="B461" s="1" t="s">
        <v>1412</v>
      </c>
      <c r="C461" s="29">
        <v>45898.896986157401</v>
      </c>
      <c r="D461" s="1" t="s">
        <v>3052</v>
      </c>
      <c r="E461" s="1" t="s">
        <v>3053</v>
      </c>
      <c r="F461" s="1">
        <v>53</v>
      </c>
      <c r="H461" s="1" t="s">
        <v>1695</v>
      </c>
      <c r="I461" s="1" t="s">
        <v>130</v>
      </c>
      <c r="J461" s="30">
        <v>10</v>
      </c>
      <c r="K461" s="30">
        <v>830000</v>
      </c>
      <c r="L461" s="31">
        <v>8300000</v>
      </c>
      <c r="M461" s="1" t="s">
        <v>16</v>
      </c>
      <c r="N461" s="1" t="s">
        <v>17</v>
      </c>
      <c r="O461" s="1" t="s">
        <v>2057</v>
      </c>
      <c r="P461" s="1" t="s">
        <v>2056</v>
      </c>
      <c r="Q461" s="1" t="s">
        <v>652</v>
      </c>
      <c r="R461" s="1">
        <f t="shared" si="7"/>
        <v>3</v>
      </c>
      <c r="S461" s="4">
        <f>J461*K461*M461</f>
        <v>664000</v>
      </c>
    </row>
    <row r="462" spans="1:19" ht="43" hidden="1" customHeight="1">
      <c r="A462" s="1" t="s">
        <v>2280</v>
      </c>
      <c r="B462" s="1" t="s">
        <v>1295</v>
      </c>
      <c r="C462" s="29">
        <v>45807.7287575347</v>
      </c>
      <c r="D462" s="1" t="s">
        <v>3052</v>
      </c>
      <c r="E462" s="1" t="s">
        <v>3053</v>
      </c>
      <c r="F462" s="1">
        <v>16</v>
      </c>
      <c r="G462" s="12" t="s">
        <v>2164</v>
      </c>
      <c r="H462" s="1" t="s">
        <v>1887</v>
      </c>
      <c r="I462" s="1" t="s">
        <v>130</v>
      </c>
      <c r="J462" s="30">
        <v>10</v>
      </c>
      <c r="K462" s="30">
        <v>830000</v>
      </c>
      <c r="L462" s="31">
        <v>8300000</v>
      </c>
      <c r="M462" s="1" t="s">
        <v>16</v>
      </c>
      <c r="N462" s="1" t="s">
        <v>17</v>
      </c>
      <c r="O462" s="1" t="s">
        <v>2057</v>
      </c>
      <c r="P462" s="1" t="s">
        <v>2056</v>
      </c>
      <c r="Q462" s="1" t="s">
        <v>925</v>
      </c>
      <c r="R462" s="1">
        <f t="shared" si="7"/>
        <v>2</v>
      </c>
      <c r="S462" s="4">
        <f>J462*K462*M462</f>
        <v>664000</v>
      </c>
    </row>
    <row r="463" spans="1:19" ht="43" hidden="1" customHeight="1">
      <c r="A463" s="1" t="s">
        <v>2280</v>
      </c>
      <c r="B463" s="1" t="s">
        <v>1462</v>
      </c>
      <c r="C463" s="29">
        <v>45928.944135983802</v>
      </c>
      <c r="D463" s="1" t="s">
        <v>3052</v>
      </c>
      <c r="E463" s="1" t="s">
        <v>3053</v>
      </c>
      <c r="F463" s="1">
        <v>55</v>
      </c>
      <c r="G463" s="12" t="s">
        <v>2164</v>
      </c>
      <c r="H463" s="1" t="s">
        <v>1613</v>
      </c>
      <c r="I463" s="1" t="s">
        <v>130</v>
      </c>
      <c r="J463" s="30">
        <v>8</v>
      </c>
      <c r="K463" s="30">
        <v>830000</v>
      </c>
      <c r="L463" s="31">
        <v>6640000</v>
      </c>
      <c r="M463" s="1" t="s">
        <v>16</v>
      </c>
      <c r="N463" s="1" t="s">
        <v>17</v>
      </c>
      <c r="O463" s="1" t="s">
        <v>2057</v>
      </c>
      <c r="P463" s="1" t="s">
        <v>2056</v>
      </c>
      <c r="Q463" s="1" t="s">
        <v>546</v>
      </c>
      <c r="R463" s="1">
        <f t="shared" si="7"/>
        <v>3</v>
      </c>
      <c r="S463" s="4">
        <f>J463*K463*M463</f>
        <v>531200</v>
      </c>
    </row>
    <row r="464" spans="1:19" ht="43" hidden="1" customHeight="1">
      <c r="A464" s="1" t="s">
        <v>2072</v>
      </c>
      <c r="B464" s="1" t="s">
        <v>1294</v>
      </c>
      <c r="C464" s="29">
        <v>46021.613942164397</v>
      </c>
      <c r="D464" s="1" t="s">
        <v>3052</v>
      </c>
      <c r="E464" s="1" t="s">
        <v>3053</v>
      </c>
      <c r="F464" s="1">
        <v>35</v>
      </c>
      <c r="G464" s="12" t="s">
        <v>2164</v>
      </c>
      <c r="H464" s="1" t="s">
        <v>1485</v>
      </c>
      <c r="I464" s="1" t="s">
        <v>130</v>
      </c>
      <c r="J464" s="30">
        <v>28</v>
      </c>
      <c r="K464" s="30">
        <v>800000</v>
      </c>
      <c r="L464" s="31">
        <v>22400000</v>
      </c>
      <c r="M464" s="1" t="s">
        <v>16</v>
      </c>
      <c r="N464" s="1" t="s">
        <v>17</v>
      </c>
      <c r="O464" s="1" t="s">
        <v>2057</v>
      </c>
      <c r="P464" s="1" t="s">
        <v>2056</v>
      </c>
      <c r="Q464" s="1" t="s">
        <v>1474</v>
      </c>
      <c r="R464" s="1">
        <f t="shared" si="7"/>
        <v>4</v>
      </c>
      <c r="S464" s="4">
        <f>J464*K464*M464</f>
        <v>1792000</v>
      </c>
    </row>
    <row r="465" spans="1:19" ht="43" hidden="1" customHeight="1">
      <c r="A465" s="1" t="s">
        <v>2072</v>
      </c>
      <c r="B465" s="1" t="s">
        <v>146</v>
      </c>
      <c r="C465" s="29">
        <v>46020.386763703696</v>
      </c>
      <c r="D465" s="1" t="s">
        <v>3052</v>
      </c>
      <c r="E465" s="1" t="s">
        <v>3053</v>
      </c>
      <c r="F465" s="1">
        <v>33</v>
      </c>
      <c r="G465" s="12" t="s">
        <v>2164</v>
      </c>
      <c r="H465" s="1" t="s">
        <v>1485</v>
      </c>
      <c r="I465" s="1" t="s">
        <v>130</v>
      </c>
      <c r="J465" s="30">
        <v>4</v>
      </c>
      <c r="K465" s="30">
        <v>800000</v>
      </c>
      <c r="L465" s="31">
        <v>3200000</v>
      </c>
      <c r="M465" s="1" t="s">
        <v>16</v>
      </c>
      <c r="N465" s="1" t="s">
        <v>17</v>
      </c>
      <c r="O465" s="1" t="s">
        <v>2057</v>
      </c>
      <c r="P465" s="1" t="s">
        <v>2056</v>
      </c>
      <c r="Q465" s="1" t="s">
        <v>275</v>
      </c>
      <c r="R465" s="1">
        <f t="shared" si="7"/>
        <v>4</v>
      </c>
      <c r="S465" s="4">
        <f>J465*K465*M465</f>
        <v>256000</v>
      </c>
    </row>
    <row r="466" spans="1:19" ht="43" hidden="1" customHeight="1">
      <c r="A466" s="1" t="s">
        <v>2280</v>
      </c>
      <c r="B466" s="1" t="s">
        <v>1158</v>
      </c>
      <c r="C466" s="29">
        <v>45868.606624756903</v>
      </c>
      <c r="D466" s="1" t="s">
        <v>3052</v>
      </c>
      <c r="E466" s="1" t="s">
        <v>3053</v>
      </c>
      <c r="F466" s="1">
        <v>22</v>
      </c>
      <c r="G466" s="12" t="s">
        <v>2164</v>
      </c>
      <c r="H466" s="1" t="s">
        <v>1485</v>
      </c>
      <c r="I466" s="1" t="s">
        <v>130</v>
      </c>
      <c r="J466" s="30">
        <v>5</v>
      </c>
      <c r="K466" s="30">
        <v>830000</v>
      </c>
      <c r="L466" s="31">
        <v>4150000</v>
      </c>
      <c r="M466" s="1" t="s">
        <v>16</v>
      </c>
      <c r="N466" s="1" t="s">
        <v>17</v>
      </c>
      <c r="O466" s="1" t="s">
        <v>2057</v>
      </c>
      <c r="P466" s="1" t="s">
        <v>2056</v>
      </c>
      <c r="Q466" s="1" t="s">
        <v>800</v>
      </c>
      <c r="R466" s="1">
        <f t="shared" si="7"/>
        <v>3</v>
      </c>
      <c r="S466" s="4">
        <f>J466*K466*M466</f>
        <v>332000</v>
      </c>
    </row>
    <row r="467" spans="1:19" ht="43" hidden="1" customHeight="1">
      <c r="A467" s="1" t="s">
        <v>2280</v>
      </c>
      <c r="B467" s="1" t="s">
        <v>13</v>
      </c>
      <c r="C467" s="29">
        <v>45776.499996342602</v>
      </c>
      <c r="D467" s="1" t="s">
        <v>3052</v>
      </c>
      <c r="E467" s="1" t="s">
        <v>3053</v>
      </c>
      <c r="F467" s="1">
        <v>7</v>
      </c>
      <c r="G467" s="12" t="s">
        <v>2164</v>
      </c>
      <c r="H467" s="1" t="s">
        <v>1926</v>
      </c>
      <c r="I467" s="1" t="s">
        <v>19</v>
      </c>
      <c r="J467" s="30">
        <v>5</v>
      </c>
      <c r="K467" s="30">
        <v>700000</v>
      </c>
      <c r="L467" s="31">
        <v>3500000</v>
      </c>
      <c r="M467" s="1" t="s">
        <v>16</v>
      </c>
      <c r="N467" s="1" t="s">
        <v>17</v>
      </c>
      <c r="O467" s="1" t="s">
        <v>2057</v>
      </c>
      <c r="P467" s="1" t="s">
        <v>2056</v>
      </c>
      <c r="Q467" s="1" t="s">
        <v>937</v>
      </c>
      <c r="R467" s="1">
        <f t="shared" si="7"/>
        <v>2</v>
      </c>
      <c r="S467" s="4">
        <f>J467*K467*M467</f>
        <v>280000</v>
      </c>
    </row>
    <row r="468" spans="1:19" ht="43" hidden="1" customHeight="1">
      <c r="A468" s="1" t="s">
        <v>2280</v>
      </c>
      <c r="B468" s="1" t="s">
        <v>120</v>
      </c>
      <c r="C468" s="29">
        <v>45838.621748888901</v>
      </c>
      <c r="D468" s="1" t="s">
        <v>3052</v>
      </c>
      <c r="E468" s="1" t="s">
        <v>3053</v>
      </c>
      <c r="F468" s="1">
        <v>13</v>
      </c>
      <c r="G468" s="12" t="s">
        <v>1368</v>
      </c>
      <c r="H468" s="1" t="s">
        <v>1368</v>
      </c>
      <c r="I468" s="1" t="s">
        <v>130</v>
      </c>
      <c r="J468" s="30">
        <v>2</v>
      </c>
      <c r="K468" s="30">
        <v>100000</v>
      </c>
      <c r="L468" s="31">
        <v>200000</v>
      </c>
      <c r="M468" s="1" t="s">
        <v>16</v>
      </c>
      <c r="N468" s="1" t="s">
        <v>17</v>
      </c>
      <c r="O468" s="1" t="s">
        <v>2057</v>
      </c>
      <c r="P468" s="1" t="s">
        <v>2056</v>
      </c>
      <c r="Q468" s="1" t="s">
        <v>828</v>
      </c>
      <c r="R468" s="1">
        <f t="shared" si="7"/>
        <v>2</v>
      </c>
      <c r="S468" s="4">
        <f>J468*K468*M468</f>
        <v>16000</v>
      </c>
    </row>
    <row r="469" spans="1:19" ht="43" hidden="1" customHeight="1">
      <c r="A469" s="1" t="s">
        <v>2280</v>
      </c>
      <c r="B469" s="1" t="s">
        <v>13</v>
      </c>
      <c r="C469" s="29">
        <v>45776.499996342602</v>
      </c>
      <c r="D469" s="1" t="s">
        <v>3052</v>
      </c>
      <c r="E469" s="1" t="s">
        <v>3053</v>
      </c>
      <c r="F469" s="1">
        <v>77</v>
      </c>
      <c r="G469" s="12" t="s">
        <v>995</v>
      </c>
      <c r="H469" s="1" t="s">
        <v>995</v>
      </c>
      <c r="I469" s="1" t="s">
        <v>130</v>
      </c>
      <c r="J469" s="30">
        <v>3</v>
      </c>
      <c r="K469" s="30">
        <v>500000</v>
      </c>
      <c r="L469" s="31">
        <v>1500000</v>
      </c>
      <c r="M469" s="1" t="s">
        <v>16</v>
      </c>
      <c r="N469" s="1" t="s">
        <v>17</v>
      </c>
      <c r="O469" s="1" t="s">
        <v>2057</v>
      </c>
      <c r="P469" s="1" t="s">
        <v>2056</v>
      </c>
      <c r="Q469" s="1" t="s">
        <v>937</v>
      </c>
      <c r="R469" s="1">
        <f t="shared" si="7"/>
        <v>2</v>
      </c>
      <c r="S469" s="4">
        <f>J469*K469*M469</f>
        <v>120000</v>
      </c>
    </row>
    <row r="470" spans="1:19" ht="43" hidden="1" customHeight="1">
      <c r="A470" s="1" t="s">
        <v>2280</v>
      </c>
      <c r="B470" s="1" t="s">
        <v>1412</v>
      </c>
      <c r="C470" s="29">
        <v>45898.896986157401</v>
      </c>
      <c r="D470" s="1" t="s">
        <v>3052</v>
      </c>
      <c r="E470" s="1" t="s">
        <v>3053</v>
      </c>
      <c r="F470" s="1">
        <v>69</v>
      </c>
      <c r="G470" s="12" t="s">
        <v>538</v>
      </c>
      <c r="H470" s="1" t="s">
        <v>1706</v>
      </c>
      <c r="I470" s="1" t="s">
        <v>130</v>
      </c>
      <c r="J470" s="30">
        <v>3</v>
      </c>
      <c r="K470" s="30">
        <v>180000</v>
      </c>
      <c r="L470" s="31">
        <v>540000</v>
      </c>
      <c r="M470" s="1" t="s">
        <v>16</v>
      </c>
      <c r="N470" s="1" t="s">
        <v>17</v>
      </c>
      <c r="O470" s="1" t="s">
        <v>2057</v>
      </c>
      <c r="P470" s="1" t="s">
        <v>2056</v>
      </c>
      <c r="Q470" s="1" t="s">
        <v>652</v>
      </c>
      <c r="R470" s="1">
        <f t="shared" si="7"/>
        <v>3</v>
      </c>
      <c r="S470" s="4">
        <f>J470*K470*M470</f>
        <v>43200</v>
      </c>
    </row>
    <row r="471" spans="1:19" ht="43" hidden="1" customHeight="1">
      <c r="A471" s="1" t="s">
        <v>2072</v>
      </c>
      <c r="B471" s="1" t="s">
        <v>1294</v>
      </c>
      <c r="C471" s="29">
        <v>46021.613942164397</v>
      </c>
      <c r="D471" s="1" t="s">
        <v>3052</v>
      </c>
      <c r="E471" s="1" t="s">
        <v>3053</v>
      </c>
      <c r="F471" s="1">
        <v>64</v>
      </c>
      <c r="G471" s="12" t="s">
        <v>538</v>
      </c>
      <c r="H471" s="1" t="s">
        <v>538</v>
      </c>
      <c r="I471" s="1" t="s">
        <v>130</v>
      </c>
      <c r="J471" s="30">
        <v>1</v>
      </c>
      <c r="K471" s="30">
        <v>200000</v>
      </c>
      <c r="L471" s="31">
        <v>200000</v>
      </c>
      <c r="M471" s="1" t="s">
        <v>16</v>
      </c>
      <c r="N471" s="1" t="s">
        <v>17</v>
      </c>
      <c r="O471" s="1" t="s">
        <v>2057</v>
      </c>
      <c r="P471" s="1" t="s">
        <v>2056</v>
      </c>
      <c r="Q471" s="1" t="s">
        <v>1474</v>
      </c>
      <c r="R471" s="1">
        <f t="shared" si="7"/>
        <v>4</v>
      </c>
      <c r="S471" s="4">
        <f>J471*K471*M471</f>
        <v>16000</v>
      </c>
    </row>
    <row r="472" spans="1:19" ht="43" hidden="1" customHeight="1">
      <c r="A472" s="1" t="s">
        <v>2280</v>
      </c>
      <c r="B472" s="1" t="s">
        <v>152</v>
      </c>
      <c r="C472" s="29">
        <v>45836.413450243097</v>
      </c>
      <c r="D472" s="1" t="s">
        <v>3052</v>
      </c>
      <c r="E472" s="1" t="s">
        <v>3053</v>
      </c>
      <c r="F472" s="1">
        <v>15</v>
      </c>
      <c r="G472" s="12" t="s">
        <v>538</v>
      </c>
      <c r="H472" s="1" t="s">
        <v>538</v>
      </c>
      <c r="I472" s="1" t="s">
        <v>130</v>
      </c>
      <c r="J472" s="30">
        <v>2</v>
      </c>
      <c r="K472" s="30">
        <v>180000</v>
      </c>
      <c r="L472" s="31">
        <v>360000</v>
      </c>
      <c r="M472" s="1" t="s">
        <v>16</v>
      </c>
      <c r="N472" s="1" t="s">
        <v>17</v>
      </c>
      <c r="O472" s="1" t="s">
        <v>2057</v>
      </c>
      <c r="P472" s="1" t="s">
        <v>2056</v>
      </c>
      <c r="Q472" s="1" t="s">
        <v>845</v>
      </c>
      <c r="R472" s="1">
        <f t="shared" si="7"/>
        <v>2</v>
      </c>
      <c r="S472" s="4">
        <f>J472*K472*M472</f>
        <v>28800</v>
      </c>
    </row>
    <row r="473" spans="1:19" ht="43" hidden="1" customHeight="1">
      <c r="A473" s="1" t="s">
        <v>2280</v>
      </c>
      <c r="B473" s="1" t="s">
        <v>152</v>
      </c>
      <c r="C473" s="29">
        <v>45836.413450243097</v>
      </c>
      <c r="D473" s="1" t="s">
        <v>3052</v>
      </c>
      <c r="E473" s="1" t="s">
        <v>3053</v>
      </c>
      <c r="F473" s="1">
        <v>16</v>
      </c>
      <c r="G473" s="12" t="s">
        <v>814</v>
      </c>
      <c r="H473" s="1" t="s">
        <v>814</v>
      </c>
      <c r="I473" s="1" t="s">
        <v>130</v>
      </c>
      <c r="J473" s="30">
        <v>4</v>
      </c>
      <c r="K473" s="30">
        <v>175000</v>
      </c>
      <c r="L473" s="31">
        <v>700000</v>
      </c>
      <c r="M473" s="1" t="s">
        <v>16</v>
      </c>
      <c r="N473" s="1" t="s">
        <v>17</v>
      </c>
      <c r="O473" s="1" t="s">
        <v>2057</v>
      </c>
      <c r="P473" s="1" t="s">
        <v>2056</v>
      </c>
      <c r="Q473" s="1" t="s">
        <v>845</v>
      </c>
      <c r="R473" s="1">
        <f t="shared" si="7"/>
        <v>2</v>
      </c>
      <c r="S473" s="4">
        <f>J473*K473*M473</f>
        <v>56000</v>
      </c>
    </row>
    <row r="474" spans="1:19" ht="43" hidden="1" customHeight="1">
      <c r="A474" s="1" t="s">
        <v>2280</v>
      </c>
      <c r="B474" s="1" t="s">
        <v>1420</v>
      </c>
      <c r="C474" s="29">
        <v>45866.7486208681</v>
      </c>
      <c r="D474" s="1" t="s">
        <v>3052</v>
      </c>
      <c r="E474" s="1" t="s">
        <v>3053</v>
      </c>
      <c r="F474" s="1">
        <v>14</v>
      </c>
      <c r="G474" s="12" t="s">
        <v>1038</v>
      </c>
      <c r="H474" s="1" t="s">
        <v>1038</v>
      </c>
      <c r="I474" s="1" t="s">
        <v>130</v>
      </c>
      <c r="J474" s="30">
        <v>8</v>
      </c>
      <c r="K474" s="30">
        <v>180000</v>
      </c>
      <c r="L474" s="31">
        <v>1440000</v>
      </c>
      <c r="M474" s="1" t="s">
        <v>16</v>
      </c>
      <c r="N474" s="1" t="s">
        <v>17</v>
      </c>
      <c r="O474" s="1" t="s">
        <v>2057</v>
      </c>
      <c r="P474" s="1" t="s">
        <v>2056</v>
      </c>
      <c r="Q474" s="1" t="s">
        <v>1763</v>
      </c>
      <c r="R474" s="1">
        <f t="shared" si="7"/>
        <v>3</v>
      </c>
      <c r="S474" s="4">
        <f>J474*K474*M474</f>
        <v>115200</v>
      </c>
    </row>
    <row r="475" spans="1:19" ht="43" customHeight="1">
      <c r="A475" s="1" t="s">
        <v>2280</v>
      </c>
      <c r="B475" s="1" t="s">
        <v>1315</v>
      </c>
      <c r="C475" s="29">
        <v>45747.658940451402</v>
      </c>
      <c r="D475" s="1" t="s">
        <v>3071</v>
      </c>
      <c r="E475" s="1" t="s">
        <v>3053</v>
      </c>
      <c r="F475" s="1">
        <v>41</v>
      </c>
      <c r="H475" s="1" t="s">
        <v>2032</v>
      </c>
      <c r="I475" s="1" t="s">
        <v>130</v>
      </c>
      <c r="J475" s="30">
        <v>10</v>
      </c>
      <c r="K475" s="30">
        <v>45000</v>
      </c>
      <c r="L475" s="31">
        <v>450000</v>
      </c>
      <c r="M475" s="1" t="s">
        <v>30</v>
      </c>
      <c r="N475" s="1" t="s">
        <v>17</v>
      </c>
      <c r="O475" s="1" t="s">
        <v>2057</v>
      </c>
      <c r="P475" s="1" t="s">
        <v>2056</v>
      </c>
      <c r="Q475" s="1" t="s">
        <v>42</v>
      </c>
      <c r="R475" s="1">
        <f t="shared" si="7"/>
        <v>1</v>
      </c>
      <c r="S475" s="4">
        <f>J475*K475*M475</f>
        <v>45000</v>
      </c>
    </row>
    <row r="476" spans="1:19" ht="43" customHeight="1">
      <c r="A476" s="1" t="s">
        <v>2280</v>
      </c>
      <c r="B476" s="1" t="s">
        <v>13</v>
      </c>
      <c r="C476" s="29">
        <v>45776.499996342602</v>
      </c>
      <c r="D476" s="1" t="s">
        <v>3052</v>
      </c>
      <c r="E476" s="1" t="s">
        <v>3053</v>
      </c>
      <c r="F476" s="1">
        <v>41</v>
      </c>
      <c r="H476" s="1" t="s">
        <v>1951</v>
      </c>
      <c r="I476" s="1" t="s">
        <v>130</v>
      </c>
      <c r="J476" s="30">
        <v>40</v>
      </c>
      <c r="K476" s="30">
        <v>45000</v>
      </c>
      <c r="L476" s="31">
        <v>1800000</v>
      </c>
      <c r="M476" s="1" t="s">
        <v>16</v>
      </c>
      <c r="N476" s="1" t="s">
        <v>17</v>
      </c>
      <c r="O476" s="1" t="s">
        <v>2057</v>
      </c>
      <c r="P476" s="1" t="s">
        <v>2056</v>
      </c>
      <c r="Q476" s="1" t="s">
        <v>937</v>
      </c>
      <c r="R476" s="1">
        <f t="shared" si="7"/>
        <v>2</v>
      </c>
      <c r="S476" s="4">
        <f>J476*K476*M476</f>
        <v>144000</v>
      </c>
    </row>
    <row r="477" spans="1:19" ht="43" customHeight="1">
      <c r="A477" s="1" t="s">
        <v>2280</v>
      </c>
      <c r="B477" s="1" t="s">
        <v>1315</v>
      </c>
      <c r="C477" s="29">
        <v>45747.658940451402</v>
      </c>
      <c r="D477" s="1" t="s">
        <v>3071</v>
      </c>
      <c r="E477" s="1" t="s">
        <v>3053</v>
      </c>
      <c r="F477" s="1">
        <v>43</v>
      </c>
      <c r="H477" s="1" t="s">
        <v>2034</v>
      </c>
      <c r="I477" s="1" t="s">
        <v>130</v>
      </c>
      <c r="J477" s="30">
        <v>10</v>
      </c>
      <c r="K477" s="30">
        <v>60000</v>
      </c>
      <c r="L477" s="31">
        <v>600000</v>
      </c>
      <c r="M477" s="1" t="s">
        <v>30</v>
      </c>
      <c r="N477" s="1" t="s">
        <v>17</v>
      </c>
      <c r="O477" s="1" t="s">
        <v>2057</v>
      </c>
      <c r="P477" s="1" t="s">
        <v>2056</v>
      </c>
      <c r="Q477" s="1" t="s">
        <v>42</v>
      </c>
      <c r="R477" s="1">
        <f t="shared" si="7"/>
        <v>1</v>
      </c>
      <c r="S477" s="4">
        <f>J477*K477*M477</f>
        <v>60000</v>
      </c>
    </row>
    <row r="478" spans="1:19" ht="43" customHeight="1">
      <c r="A478" s="1" t="s">
        <v>2280</v>
      </c>
      <c r="B478" s="1" t="s">
        <v>13</v>
      </c>
      <c r="C478" s="29">
        <v>45776.499996342602</v>
      </c>
      <c r="D478" s="1" t="s">
        <v>3052</v>
      </c>
      <c r="E478" s="1" t="s">
        <v>3053</v>
      </c>
      <c r="F478" s="1">
        <v>75</v>
      </c>
      <c r="H478" s="1" t="s">
        <v>1976</v>
      </c>
      <c r="I478" s="1" t="s">
        <v>15</v>
      </c>
      <c r="J478" s="30">
        <v>10</v>
      </c>
      <c r="K478" s="30">
        <v>45000</v>
      </c>
      <c r="L478" s="31">
        <v>450000</v>
      </c>
      <c r="M478" s="1" t="s">
        <v>16</v>
      </c>
      <c r="N478" s="1" t="s">
        <v>17</v>
      </c>
      <c r="O478" s="1" t="s">
        <v>2057</v>
      </c>
      <c r="P478" s="1" t="s">
        <v>2056</v>
      </c>
      <c r="Q478" s="1" t="s">
        <v>937</v>
      </c>
      <c r="R478" s="1">
        <f t="shared" si="7"/>
        <v>2</v>
      </c>
      <c r="S478" s="4">
        <f>J478*K478*M478</f>
        <v>36000</v>
      </c>
    </row>
    <row r="479" spans="1:19" ht="43" customHeight="1">
      <c r="A479" s="1" t="s">
        <v>2280</v>
      </c>
      <c r="B479" s="1" t="s">
        <v>1412</v>
      </c>
      <c r="C479" s="29">
        <v>45898.896986157401</v>
      </c>
      <c r="D479" s="1" t="s">
        <v>3052</v>
      </c>
      <c r="E479" s="1" t="s">
        <v>3053</v>
      </c>
      <c r="F479" s="1">
        <v>66</v>
      </c>
      <c r="H479" s="1" t="s">
        <v>1703</v>
      </c>
      <c r="I479" s="1" t="s">
        <v>130</v>
      </c>
      <c r="J479" s="30">
        <v>10</v>
      </c>
      <c r="K479" s="30">
        <v>38000</v>
      </c>
      <c r="L479" s="31">
        <v>380000</v>
      </c>
      <c r="M479" s="1" t="s">
        <v>16</v>
      </c>
      <c r="N479" s="1" t="s">
        <v>17</v>
      </c>
      <c r="O479" s="1" t="s">
        <v>2057</v>
      </c>
      <c r="P479" s="1" t="s">
        <v>2056</v>
      </c>
      <c r="Q479" s="1" t="s">
        <v>652</v>
      </c>
      <c r="R479" s="1">
        <f t="shared" si="7"/>
        <v>3</v>
      </c>
      <c r="S479" s="4">
        <f>J479*K479*M479</f>
        <v>30400</v>
      </c>
    </row>
    <row r="480" spans="1:19" ht="43" hidden="1" customHeight="1">
      <c r="A480" s="1" t="s">
        <v>2072</v>
      </c>
      <c r="B480" s="1" t="s">
        <v>1294</v>
      </c>
      <c r="C480" s="29">
        <v>46021.613942164397</v>
      </c>
      <c r="D480" s="1" t="s">
        <v>3052</v>
      </c>
      <c r="E480" s="1" t="s">
        <v>3053</v>
      </c>
      <c r="F480" s="1">
        <v>39</v>
      </c>
      <c r="G480" s="12" t="s">
        <v>1337</v>
      </c>
      <c r="H480" s="1" t="s">
        <v>1337</v>
      </c>
      <c r="I480" s="1" t="s">
        <v>130</v>
      </c>
      <c r="J480" s="30">
        <v>20</v>
      </c>
      <c r="K480" s="30">
        <v>25000</v>
      </c>
      <c r="L480" s="31">
        <v>500000</v>
      </c>
      <c r="M480" s="1" t="s">
        <v>16</v>
      </c>
      <c r="N480" s="1" t="s">
        <v>17</v>
      </c>
      <c r="O480" s="1" t="s">
        <v>2057</v>
      </c>
      <c r="P480" s="1" t="s">
        <v>2056</v>
      </c>
      <c r="Q480" s="1" t="s">
        <v>1474</v>
      </c>
      <c r="R480" s="1">
        <f t="shared" si="7"/>
        <v>4</v>
      </c>
      <c r="S480" s="4">
        <f>J480*K480*M480</f>
        <v>40000</v>
      </c>
    </row>
    <row r="481" spans="1:19" ht="43" hidden="1" customHeight="1">
      <c r="A481" s="1" t="s">
        <v>2280</v>
      </c>
      <c r="B481" s="1" t="s">
        <v>1400</v>
      </c>
      <c r="C481" s="29">
        <v>45990.721094398097</v>
      </c>
      <c r="D481" s="1" t="s">
        <v>3052</v>
      </c>
      <c r="E481" s="1" t="s">
        <v>3053</v>
      </c>
      <c r="F481" s="1">
        <v>36</v>
      </c>
      <c r="G481" s="12" t="s">
        <v>1337</v>
      </c>
      <c r="H481" s="1" t="s">
        <v>1337</v>
      </c>
      <c r="I481" s="1" t="s">
        <v>130</v>
      </c>
      <c r="J481" s="30">
        <v>10</v>
      </c>
      <c r="K481" s="30">
        <v>25000</v>
      </c>
      <c r="L481" s="31">
        <v>250000</v>
      </c>
      <c r="M481" s="1" t="s">
        <v>16</v>
      </c>
      <c r="N481" s="1" t="s">
        <v>17</v>
      </c>
      <c r="O481" s="1" t="s">
        <v>2057</v>
      </c>
      <c r="P481" s="1" t="s">
        <v>2056</v>
      </c>
      <c r="Q481" s="1" t="s">
        <v>1531</v>
      </c>
      <c r="R481" s="1">
        <f t="shared" si="7"/>
        <v>4</v>
      </c>
      <c r="S481" s="4">
        <f>J481*K481*M481</f>
        <v>20000</v>
      </c>
    </row>
    <row r="482" spans="1:19" ht="43" hidden="1" customHeight="1">
      <c r="A482" s="1" t="s">
        <v>2280</v>
      </c>
      <c r="B482" s="1" t="s">
        <v>326</v>
      </c>
      <c r="C482" s="29">
        <v>45960.658345080999</v>
      </c>
      <c r="D482" s="1" t="s">
        <v>3052</v>
      </c>
      <c r="E482" s="1" t="s">
        <v>3053</v>
      </c>
      <c r="F482" s="1">
        <v>13</v>
      </c>
      <c r="G482" s="12" t="s">
        <v>1337</v>
      </c>
      <c r="H482" s="1" t="s">
        <v>1337</v>
      </c>
      <c r="I482" s="1" t="s">
        <v>130</v>
      </c>
      <c r="J482" s="30">
        <v>20</v>
      </c>
      <c r="K482" s="30">
        <v>25000</v>
      </c>
      <c r="L482" s="31">
        <v>500000</v>
      </c>
      <c r="M482" s="1" t="s">
        <v>16</v>
      </c>
      <c r="N482" s="1" t="s">
        <v>17</v>
      </c>
      <c r="O482" s="1" t="s">
        <v>2057</v>
      </c>
      <c r="P482" s="1" t="s">
        <v>2056</v>
      </c>
      <c r="Q482" s="1" t="s">
        <v>533</v>
      </c>
      <c r="R482" s="1">
        <f t="shared" si="7"/>
        <v>4</v>
      </c>
      <c r="S482" s="4">
        <f>J482*K482*M482</f>
        <v>40000</v>
      </c>
    </row>
    <row r="483" spans="1:19" ht="43" hidden="1" customHeight="1">
      <c r="A483" s="1" t="s">
        <v>2280</v>
      </c>
      <c r="B483" s="1" t="s">
        <v>1462</v>
      </c>
      <c r="C483" s="29">
        <v>45928.944135983802</v>
      </c>
      <c r="D483" s="1" t="s">
        <v>3052</v>
      </c>
      <c r="E483" s="1" t="s">
        <v>3053</v>
      </c>
      <c r="F483" s="1">
        <v>4</v>
      </c>
      <c r="G483" s="12" t="s">
        <v>1337</v>
      </c>
      <c r="H483" s="1" t="s">
        <v>1337</v>
      </c>
      <c r="I483" s="1" t="s">
        <v>130</v>
      </c>
      <c r="J483" s="30">
        <v>20</v>
      </c>
      <c r="K483" s="30">
        <v>25000</v>
      </c>
      <c r="L483" s="31">
        <v>500000</v>
      </c>
      <c r="M483" s="1" t="s">
        <v>16</v>
      </c>
      <c r="N483" s="1" t="s">
        <v>17</v>
      </c>
      <c r="O483" s="1" t="s">
        <v>2057</v>
      </c>
      <c r="P483" s="1" t="s">
        <v>2056</v>
      </c>
      <c r="Q483" s="1" t="s">
        <v>546</v>
      </c>
      <c r="R483" s="1">
        <f t="shared" si="7"/>
        <v>3</v>
      </c>
      <c r="S483" s="4">
        <f>J483*K483*M483</f>
        <v>40000</v>
      </c>
    </row>
    <row r="484" spans="1:19" ht="43" hidden="1" customHeight="1">
      <c r="A484" s="1" t="s">
        <v>2280</v>
      </c>
      <c r="B484" s="1" t="s">
        <v>1295</v>
      </c>
      <c r="C484" s="29">
        <v>45807.7287575347</v>
      </c>
      <c r="D484" s="1" t="s">
        <v>3052</v>
      </c>
      <c r="E484" s="1" t="s">
        <v>3053</v>
      </c>
      <c r="F484" s="1">
        <v>2</v>
      </c>
      <c r="G484" s="12" t="s">
        <v>1337</v>
      </c>
      <c r="H484" s="1" t="s">
        <v>1337</v>
      </c>
      <c r="I484" s="1" t="s">
        <v>130</v>
      </c>
      <c r="J484" s="30">
        <v>20</v>
      </c>
      <c r="K484" s="30">
        <v>25000</v>
      </c>
      <c r="L484" s="31">
        <v>500000</v>
      </c>
      <c r="M484" s="1" t="s">
        <v>16</v>
      </c>
      <c r="N484" s="1" t="s">
        <v>17</v>
      </c>
      <c r="O484" s="1" t="s">
        <v>2057</v>
      </c>
      <c r="P484" s="1" t="s">
        <v>2056</v>
      </c>
      <c r="Q484" s="1" t="s">
        <v>925</v>
      </c>
      <c r="R484" s="1">
        <f t="shared" si="7"/>
        <v>2</v>
      </c>
      <c r="S484" s="4">
        <f>J484*K484*M484</f>
        <v>40000</v>
      </c>
    </row>
    <row r="485" spans="1:19" ht="43" hidden="1" customHeight="1">
      <c r="A485" s="1" t="s">
        <v>2072</v>
      </c>
      <c r="B485" s="1" t="s">
        <v>1294</v>
      </c>
      <c r="C485" s="29">
        <v>46021.613942164397</v>
      </c>
      <c r="D485" s="1" t="s">
        <v>3052</v>
      </c>
      <c r="E485" s="1" t="s">
        <v>3053</v>
      </c>
      <c r="F485" s="1">
        <v>37</v>
      </c>
      <c r="G485" s="12" t="s">
        <v>1317</v>
      </c>
      <c r="H485" s="1" t="s">
        <v>1317</v>
      </c>
      <c r="I485" s="1" t="s">
        <v>130</v>
      </c>
      <c r="J485" s="30">
        <v>20</v>
      </c>
      <c r="K485" s="30">
        <v>25000</v>
      </c>
      <c r="L485" s="31">
        <v>500000</v>
      </c>
      <c r="M485" s="1" t="s">
        <v>16</v>
      </c>
      <c r="N485" s="1" t="s">
        <v>17</v>
      </c>
      <c r="O485" s="1" t="s">
        <v>2057</v>
      </c>
      <c r="P485" s="1" t="s">
        <v>2056</v>
      </c>
      <c r="Q485" s="1" t="s">
        <v>1474</v>
      </c>
      <c r="R485" s="1">
        <f t="shared" si="7"/>
        <v>4</v>
      </c>
      <c r="S485" s="4">
        <f>J485*K485*M485</f>
        <v>40000</v>
      </c>
    </row>
    <row r="486" spans="1:19" ht="43" hidden="1" customHeight="1">
      <c r="A486" s="1" t="s">
        <v>2280</v>
      </c>
      <c r="B486" s="1" t="s">
        <v>1400</v>
      </c>
      <c r="C486" s="29">
        <v>45990.721094398097</v>
      </c>
      <c r="D486" s="1" t="s">
        <v>3052</v>
      </c>
      <c r="E486" s="1" t="s">
        <v>3053</v>
      </c>
      <c r="F486" s="1">
        <v>16</v>
      </c>
      <c r="G486" s="12" t="s">
        <v>1317</v>
      </c>
      <c r="H486" s="1" t="s">
        <v>1317</v>
      </c>
      <c r="I486" s="1" t="s">
        <v>130</v>
      </c>
      <c r="J486" s="30">
        <v>20</v>
      </c>
      <c r="K486" s="30">
        <v>25000</v>
      </c>
      <c r="L486" s="31">
        <v>500000</v>
      </c>
      <c r="M486" s="1" t="s">
        <v>16</v>
      </c>
      <c r="N486" s="1" t="s">
        <v>17</v>
      </c>
      <c r="O486" s="1" t="s">
        <v>2057</v>
      </c>
      <c r="P486" s="1" t="s">
        <v>2056</v>
      </c>
      <c r="Q486" s="1" t="s">
        <v>1531</v>
      </c>
      <c r="R486" s="1">
        <f t="shared" si="7"/>
        <v>4</v>
      </c>
      <c r="S486" s="4">
        <f>J486*K486*M486</f>
        <v>40000</v>
      </c>
    </row>
    <row r="487" spans="1:19" ht="43" hidden="1" customHeight="1">
      <c r="A487" s="1" t="s">
        <v>2280</v>
      </c>
      <c r="B487" s="1" t="s">
        <v>326</v>
      </c>
      <c r="C487" s="29">
        <v>45960.658345080999</v>
      </c>
      <c r="D487" s="1" t="s">
        <v>3052</v>
      </c>
      <c r="E487" s="1" t="s">
        <v>3053</v>
      </c>
      <c r="F487" s="1">
        <v>12</v>
      </c>
      <c r="G487" s="12" t="s">
        <v>1317</v>
      </c>
      <c r="H487" s="1" t="s">
        <v>1317</v>
      </c>
      <c r="I487" s="1" t="s">
        <v>130</v>
      </c>
      <c r="J487" s="30">
        <v>20</v>
      </c>
      <c r="K487" s="30">
        <v>25000</v>
      </c>
      <c r="L487" s="31">
        <v>500000</v>
      </c>
      <c r="M487" s="1" t="s">
        <v>16</v>
      </c>
      <c r="N487" s="1" t="s">
        <v>17</v>
      </c>
      <c r="O487" s="1" t="s">
        <v>2057</v>
      </c>
      <c r="P487" s="1" t="s">
        <v>2056</v>
      </c>
      <c r="Q487" s="1" t="s">
        <v>533</v>
      </c>
      <c r="R487" s="1">
        <f t="shared" si="7"/>
        <v>4</v>
      </c>
      <c r="S487" s="4">
        <f>J487*K487*M487</f>
        <v>40000</v>
      </c>
    </row>
    <row r="488" spans="1:19" ht="43" hidden="1" customHeight="1">
      <c r="A488" s="1" t="s">
        <v>2280</v>
      </c>
      <c r="B488" s="1" t="s">
        <v>1462</v>
      </c>
      <c r="C488" s="29">
        <v>45928.944135983802</v>
      </c>
      <c r="D488" s="1" t="s">
        <v>3052</v>
      </c>
      <c r="E488" s="1" t="s">
        <v>3053</v>
      </c>
      <c r="F488" s="1">
        <v>3</v>
      </c>
      <c r="G488" s="12" t="s">
        <v>1317</v>
      </c>
      <c r="H488" s="1" t="s">
        <v>1317</v>
      </c>
      <c r="I488" s="1" t="s">
        <v>130</v>
      </c>
      <c r="J488" s="30">
        <v>18</v>
      </c>
      <c r="K488" s="30">
        <v>25000</v>
      </c>
      <c r="L488" s="31">
        <v>450000</v>
      </c>
      <c r="M488" s="1" t="s">
        <v>16</v>
      </c>
      <c r="N488" s="1" t="s">
        <v>17</v>
      </c>
      <c r="O488" s="1" t="s">
        <v>2057</v>
      </c>
      <c r="P488" s="1" t="s">
        <v>2056</v>
      </c>
      <c r="Q488" s="1" t="s">
        <v>546</v>
      </c>
      <c r="R488" s="1">
        <f t="shared" si="7"/>
        <v>3</v>
      </c>
      <c r="S488" s="4">
        <f>J488*K488*M488</f>
        <v>36000</v>
      </c>
    </row>
    <row r="489" spans="1:19" ht="43" hidden="1" customHeight="1">
      <c r="A489" s="1" t="s">
        <v>2280</v>
      </c>
      <c r="B489" s="1" t="s">
        <v>120</v>
      </c>
      <c r="C489" s="29">
        <v>45838.621748888901</v>
      </c>
      <c r="D489" s="1" t="s">
        <v>3052</v>
      </c>
      <c r="E489" s="1" t="s">
        <v>3053</v>
      </c>
      <c r="F489" s="1">
        <v>22</v>
      </c>
      <c r="G489" s="12" t="s">
        <v>1317</v>
      </c>
      <c r="H489" s="1" t="s">
        <v>1317</v>
      </c>
      <c r="I489" s="1" t="s">
        <v>130</v>
      </c>
      <c r="J489" s="30">
        <v>10</v>
      </c>
      <c r="K489" s="30">
        <v>12000</v>
      </c>
      <c r="L489" s="31">
        <v>120000</v>
      </c>
      <c r="M489" s="1" t="s">
        <v>16</v>
      </c>
      <c r="N489" s="1" t="s">
        <v>17</v>
      </c>
      <c r="O489" s="1" t="s">
        <v>2057</v>
      </c>
      <c r="P489" s="1" t="s">
        <v>2056</v>
      </c>
      <c r="Q489" s="1" t="s">
        <v>828</v>
      </c>
      <c r="R489" s="1">
        <f t="shared" si="7"/>
        <v>2</v>
      </c>
      <c r="S489" s="4">
        <f>J489*K489*M489</f>
        <v>9600</v>
      </c>
    </row>
    <row r="490" spans="1:19" ht="43" customHeight="1">
      <c r="A490" s="1" t="s">
        <v>2280</v>
      </c>
      <c r="B490" s="1" t="s">
        <v>1315</v>
      </c>
      <c r="C490" s="29">
        <v>45747.658940451402</v>
      </c>
      <c r="D490" s="1" t="s">
        <v>3071</v>
      </c>
      <c r="E490" s="1" t="s">
        <v>3053</v>
      </c>
      <c r="F490" s="1">
        <v>7</v>
      </c>
      <c r="H490" s="1" t="s">
        <v>2002</v>
      </c>
      <c r="I490" s="1" t="s">
        <v>130</v>
      </c>
      <c r="J490" s="30">
        <v>50</v>
      </c>
      <c r="K490" s="30">
        <v>35000</v>
      </c>
      <c r="L490" s="31">
        <v>1750000</v>
      </c>
      <c r="M490" s="1" t="s">
        <v>30</v>
      </c>
      <c r="N490" s="1" t="s">
        <v>17</v>
      </c>
      <c r="O490" s="1" t="s">
        <v>2057</v>
      </c>
      <c r="P490" s="1" t="s">
        <v>2056</v>
      </c>
      <c r="Q490" s="1" t="s">
        <v>42</v>
      </c>
      <c r="R490" s="1">
        <f t="shared" si="7"/>
        <v>1</v>
      </c>
      <c r="S490" s="4">
        <f>J490*K490*M490</f>
        <v>175000</v>
      </c>
    </row>
    <row r="491" spans="1:19" ht="43" hidden="1" customHeight="1">
      <c r="A491" s="1" t="s">
        <v>2072</v>
      </c>
      <c r="B491" s="1" t="s">
        <v>146</v>
      </c>
      <c r="C491" s="29">
        <v>46020.386763703696</v>
      </c>
      <c r="D491" s="1" t="s">
        <v>3052</v>
      </c>
      <c r="E491" s="1" t="s">
        <v>3053</v>
      </c>
      <c r="F491" s="1">
        <v>5</v>
      </c>
      <c r="G491" s="12" t="s">
        <v>1497</v>
      </c>
      <c r="H491" s="1" t="s">
        <v>1497</v>
      </c>
      <c r="I491" s="1" t="s">
        <v>1263</v>
      </c>
      <c r="J491" s="30">
        <v>50</v>
      </c>
      <c r="K491" s="30">
        <v>9000</v>
      </c>
      <c r="L491" s="31">
        <v>450000</v>
      </c>
      <c r="M491" s="1" t="s">
        <v>16</v>
      </c>
      <c r="N491" s="1" t="s">
        <v>17</v>
      </c>
      <c r="O491" s="1" t="s">
        <v>2057</v>
      </c>
      <c r="P491" s="1" t="s">
        <v>2056</v>
      </c>
      <c r="Q491" s="1" t="s">
        <v>275</v>
      </c>
      <c r="R491" s="1">
        <f t="shared" si="7"/>
        <v>4</v>
      </c>
      <c r="S491" s="4">
        <f>J491*K491*M491</f>
        <v>36000</v>
      </c>
    </row>
    <row r="492" spans="1:19" ht="43" hidden="1" customHeight="1">
      <c r="A492" s="1" t="s">
        <v>2280</v>
      </c>
      <c r="B492" s="1" t="s">
        <v>1402</v>
      </c>
      <c r="C492" s="29">
        <v>45990.382403298601</v>
      </c>
      <c r="D492" s="1" t="s">
        <v>3052</v>
      </c>
      <c r="E492" s="1" t="s">
        <v>3053</v>
      </c>
      <c r="F492" s="1">
        <v>29</v>
      </c>
      <c r="G492" s="12" t="s">
        <v>1497</v>
      </c>
      <c r="H492" s="1" t="s">
        <v>1550</v>
      </c>
      <c r="I492" s="1" t="s">
        <v>130</v>
      </c>
      <c r="J492" s="30">
        <v>23</v>
      </c>
      <c r="K492" s="30">
        <v>10000</v>
      </c>
      <c r="L492" s="31">
        <v>230000</v>
      </c>
      <c r="M492" s="1" t="s">
        <v>16</v>
      </c>
      <c r="N492" s="1" t="s">
        <v>17</v>
      </c>
      <c r="O492" s="1" t="s">
        <v>2057</v>
      </c>
      <c r="P492" s="1" t="s">
        <v>2056</v>
      </c>
      <c r="Q492" s="1" t="s">
        <v>1531</v>
      </c>
      <c r="R492" s="1">
        <f t="shared" si="7"/>
        <v>4</v>
      </c>
      <c r="S492" s="4">
        <f>J492*K492*M492</f>
        <v>18400</v>
      </c>
    </row>
    <row r="493" spans="1:19" ht="43" hidden="1" customHeight="1">
      <c r="A493" s="1" t="s">
        <v>2072</v>
      </c>
      <c r="B493" s="1" t="s">
        <v>1250</v>
      </c>
      <c r="C493" s="29">
        <v>46021.613467673596</v>
      </c>
      <c r="D493" s="1" t="s">
        <v>3052</v>
      </c>
      <c r="E493" s="1" t="s">
        <v>3053</v>
      </c>
      <c r="F493" s="1">
        <v>2</v>
      </c>
      <c r="G493" s="12" t="s">
        <v>851</v>
      </c>
      <c r="H493" s="1" t="s">
        <v>851</v>
      </c>
      <c r="I493" s="1" t="s">
        <v>62</v>
      </c>
      <c r="J493" s="30">
        <v>130</v>
      </c>
      <c r="K493" s="30">
        <v>20000</v>
      </c>
      <c r="L493" s="31">
        <v>2600000</v>
      </c>
      <c r="M493" s="1" t="s">
        <v>30</v>
      </c>
      <c r="N493" s="1" t="s">
        <v>17</v>
      </c>
      <c r="O493" s="1" t="s">
        <v>2057</v>
      </c>
      <c r="P493" s="1" t="s">
        <v>2056</v>
      </c>
      <c r="Q493" s="1" t="s">
        <v>1474</v>
      </c>
      <c r="R493" s="1">
        <f t="shared" si="7"/>
        <v>4</v>
      </c>
      <c r="S493" s="4">
        <f>J493*K493*M493</f>
        <v>260000</v>
      </c>
    </row>
    <row r="494" spans="1:19" ht="43" hidden="1" customHeight="1">
      <c r="A494" s="1" t="s">
        <v>2072</v>
      </c>
      <c r="B494" s="1" t="s">
        <v>717</v>
      </c>
      <c r="C494" s="29">
        <v>46020.384472314799</v>
      </c>
      <c r="D494" s="1" t="s">
        <v>3052</v>
      </c>
      <c r="E494" s="1" t="s">
        <v>3053</v>
      </c>
      <c r="F494" s="1">
        <v>9</v>
      </c>
      <c r="G494" s="12" t="s">
        <v>851</v>
      </c>
      <c r="H494" s="1" t="s">
        <v>851</v>
      </c>
      <c r="I494" s="1" t="s">
        <v>62</v>
      </c>
      <c r="J494" s="30">
        <v>7</v>
      </c>
      <c r="K494" s="30">
        <v>20000</v>
      </c>
      <c r="L494" s="31">
        <v>140000</v>
      </c>
      <c r="M494" s="1" t="s">
        <v>30</v>
      </c>
      <c r="N494" s="1" t="s">
        <v>17</v>
      </c>
      <c r="O494" s="1" t="s">
        <v>2057</v>
      </c>
      <c r="P494" s="1" t="s">
        <v>2056</v>
      </c>
      <c r="Q494" s="1" t="s">
        <v>275</v>
      </c>
      <c r="R494" s="1">
        <f t="shared" si="7"/>
        <v>4</v>
      </c>
      <c r="S494" s="4">
        <f>J494*K494*M494</f>
        <v>14000</v>
      </c>
    </row>
    <row r="495" spans="1:19" ht="43" hidden="1" customHeight="1">
      <c r="A495" s="1" t="s">
        <v>2280</v>
      </c>
      <c r="B495" s="1" t="s">
        <v>1399</v>
      </c>
      <c r="C495" s="29">
        <v>45996.640427731501</v>
      </c>
      <c r="D495" s="1" t="s">
        <v>3058</v>
      </c>
      <c r="E495" s="1" t="s">
        <v>3059</v>
      </c>
      <c r="F495" s="1">
        <v>3</v>
      </c>
      <c r="G495" s="12" t="s">
        <v>851</v>
      </c>
      <c r="H495" s="1" t="s">
        <v>851</v>
      </c>
      <c r="I495" s="1" t="s">
        <v>62</v>
      </c>
      <c r="J495" s="30">
        <v>3.8</v>
      </c>
      <c r="K495" s="30">
        <v>20000</v>
      </c>
      <c r="L495" s="31">
        <v>76000</v>
      </c>
      <c r="M495" s="1" t="s">
        <v>30</v>
      </c>
      <c r="N495" s="1" t="s">
        <v>17</v>
      </c>
      <c r="O495" s="1" t="s">
        <v>2057</v>
      </c>
      <c r="P495" s="1" t="s">
        <v>2056</v>
      </c>
      <c r="Q495" s="1" t="s">
        <v>304</v>
      </c>
      <c r="R495" s="1">
        <f t="shared" si="7"/>
        <v>4</v>
      </c>
      <c r="S495" s="4">
        <f>J495*K495*M495</f>
        <v>7600</v>
      </c>
    </row>
    <row r="496" spans="1:19" ht="43" hidden="1" customHeight="1">
      <c r="A496" s="1" t="s">
        <v>2280</v>
      </c>
      <c r="B496" s="1" t="s">
        <v>1401</v>
      </c>
      <c r="C496" s="29">
        <v>45990.720828530102</v>
      </c>
      <c r="D496" s="1" t="s">
        <v>3052</v>
      </c>
      <c r="E496" s="1" t="s">
        <v>3053</v>
      </c>
      <c r="F496" s="1">
        <v>3</v>
      </c>
      <c r="G496" s="12" t="s">
        <v>851</v>
      </c>
      <c r="H496" s="1" t="s">
        <v>851</v>
      </c>
      <c r="I496" s="1" t="s">
        <v>62</v>
      </c>
      <c r="J496" s="30">
        <v>100</v>
      </c>
      <c r="K496" s="30">
        <v>20000</v>
      </c>
      <c r="L496" s="31">
        <v>2000000</v>
      </c>
      <c r="M496" s="1" t="s">
        <v>30</v>
      </c>
      <c r="N496" s="1" t="s">
        <v>17</v>
      </c>
      <c r="O496" s="1" t="s">
        <v>2057</v>
      </c>
      <c r="P496" s="1" t="s">
        <v>2056</v>
      </c>
      <c r="Q496" s="1" t="s">
        <v>1531</v>
      </c>
      <c r="R496" s="1">
        <f t="shared" si="7"/>
        <v>4</v>
      </c>
      <c r="S496" s="4">
        <f>J496*K496*M496</f>
        <v>200000</v>
      </c>
    </row>
    <row r="497" spans="1:19" ht="43" hidden="1" customHeight="1">
      <c r="A497" s="1" t="s">
        <v>2280</v>
      </c>
      <c r="B497" s="1" t="s">
        <v>1442</v>
      </c>
      <c r="C497" s="29">
        <v>45960.6594943866</v>
      </c>
      <c r="D497" s="1" t="s">
        <v>3052</v>
      </c>
      <c r="E497" s="1" t="s">
        <v>3053</v>
      </c>
      <c r="F497" s="1">
        <v>2</v>
      </c>
      <c r="G497" s="12" t="s">
        <v>851</v>
      </c>
      <c r="H497" s="1" t="s">
        <v>851</v>
      </c>
      <c r="I497" s="1" t="s">
        <v>62</v>
      </c>
      <c r="J497" s="30">
        <v>100</v>
      </c>
      <c r="K497" s="30">
        <v>20000</v>
      </c>
      <c r="L497" s="31">
        <v>2000000</v>
      </c>
      <c r="M497" s="1" t="s">
        <v>30</v>
      </c>
      <c r="N497" s="1" t="s">
        <v>17</v>
      </c>
      <c r="O497" s="1" t="s">
        <v>2057</v>
      </c>
      <c r="P497" s="1" t="s">
        <v>2056</v>
      </c>
      <c r="Q497" s="1" t="s">
        <v>533</v>
      </c>
      <c r="R497" s="1">
        <f t="shared" si="7"/>
        <v>4</v>
      </c>
      <c r="S497" s="4">
        <f>J497*K497*M497</f>
        <v>200000</v>
      </c>
    </row>
    <row r="498" spans="1:19" ht="43" hidden="1" customHeight="1">
      <c r="A498" s="1" t="s">
        <v>2280</v>
      </c>
      <c r="B498" s="1" t="s">
        <v>1457</v>
      </c>
      <c r="C498" s="29">
        <v>45937.407710069398</v>
      </c>
      <c r="D498" s="1" t="s">
        <v>3083</v>
      </c>
      <c r="E498" s="1" t="s">
        <v>3084</v>
      </c>
      <c r="F498" s="1">
        <v>5</v>
      </c>
      <c r="G498" s="12" t="s">
        <v>851</v>
      </c>
      <c r="H498" s="1" t="s">
        <v>851</v>
      </c>
      <c r="I498" s="1" t="s">
        <v>62</v>
      </c>
      <c r="J498" s="30">
        <v>15</v>
      </c>
      <c r="K498" s="30">
        <v>20000</v>
      </c>
      <c r="L498" s="31">
        <v>300000</v>
      </c>
      <c r="M498" s="1" t="s">
        <v>30</v>
      </c>
      <c r="N498" s="1" t="s">
        <v>17</v>
      </c>
      <c r="O498" s="1" t="s">
        <v>2057</v>
      </c>
      <c r="P498" s="1" t="s">
        <v>2056</v>
      </c>
      <c r="Q498" s="1" t="s">
        <v>1587</v>
      </c>
      <c r="R498" s="1">
        <f t="shared" si="7"/>
        <v>4</v>
      </c>
      <c r="S498" s="4">
        <f>J498*K498*M498</f>
        <v>30000</v>
      </c>
    </row>
    <row r="499" spans="1:19" ht="43" hidden="1" customHeight="1">
      <c r="A499" s="1" t="s">
        <v>2280</v>
      </c>
      <c r="B499" s="1" t="s">
        <v>188</v>
      </c>
      <c r="C499" s="29">
        <v>45928.944600393501</v>
      </c>
      <c r="D499" s="1" t="s">
        <v>3052</v>
      </c>
      <c r="E499" s="1" t="s">
        <v>3053</v>
      </c>
      <c r="F499" s="1">
        <v>5</v>
      </c>
      <c r="G499" s="12" t="s">
        <v>851</v>
      </c>
      <c r="H499" s="1" t="s">
        <v>851</v>
      </c>
      <c r="I499" s="1" t="s">
        <v>62</v>
      </c>
      <c r="J499" s="30">
        <v>95</v>
      </c>
      <c r="K499" s="30">
        <v>20000</v>
      </c>
      <c r="L499" s="31">
        <v>1900000</v>
      </c>
      <c r="M499" s="1" t="s">
        <v>30</v>
      </c>
      <c r="N499" s="1" t="s">
        <v>17</v>
      </c>
      <c r="O499" s="1" t="s">
        <v>2057</v>
      </c>
      <c r="P499" s="1" t="s">
        <v>2056</v>
      </c>
      <c r="Q499" s="1" t="s">
        <v>546</v>
      </c>
      <c r="R499" s="1">
        <f t="shared" si="7"/>
        <v>3</v>
      </c>
      <c r="S499" s="4">
        <f>J499*K499*M499</f>
        <v>190000</v>
      </c>
    </row>
    <row r="500" spans="1:19" ht="43" hidden="1" customHeight="1">
      <c r="A500" s="1" t="s">
        <v>2280</v>
      </c>
      <c r="B500" s="1" t="s">
        <v>1417</v>
      </c>
      <c r="C500" s="29">
        <v>45868.607072511601</v>
      </c>
      <c r="D500" s="1" t="s">
        <v>3052</v>
      </c>
      <c r="E500" s="1" t="s">
        <v>3053</v>
      </c>
      <c r="F500" s="1">
        <v>6</v>
      </c>
      <c r="G500" s="12" t="s">
        <v>851</v>
      </c>
      <c r="H500" s="1" t="s">
        <v>851</v>
      </c>
      <c r="I500" s="1" t="s">
        <v>62</v>
      </c>
      <c r="J500" s="30">
        <v>5</v>
      </c>
      <c r="K500" s="30">
        <v>25000</v>
      </c>
      <c r="L500" s="31">
        <v>125000</v>
      </c>
      <c r="M500" s="1" t="s">
        <v>30</v>
      </c>
      <c r="N500" s="1" t="s">
        <v>17</v>
      </c>
      <c r="O500" s="1" t="s">
        <v>2057</v>
      </c>
      <c r="P500" s="1" t="s">
        <v>2056</v>
      </c>
      <c r="Q500" s="1" t="s">
        <v>800</v>
      </c>
      <c r="R500" s="1">
        <f t="shared" si="7"/>
        <v>3</v>
      </c>
      <c r="S500" s="4">
        <f>J500*K500*M500</f>
        <v>12500</v>
      </c>
    </row>
    <row r="501" spans="1:19" ht="43" hidden="1" customHeight="1">
      <c r="A501" s="1" t="s">
        <v>2280</v>
      </c>
      <c r="B501" s="1" t="s">
        <v>1419</v>
      </c>
      <c r="C501" s="29">
        <v>45866.749486990702</v>
      </c>
      <c r="D501" s="1" t="s">
        <v>3052</v>
      </c>
      <c r="E501" s="1" t="s">
        <v>3053</v>
      </c>
      <c r="F501" s="1">
        <v>2</v>
      </c>
      <c r="G501" s="12" t="s">
        <v>851</v>
      </c>
      <c r="H501" s="1" t="s">
        <v>851</v>
      </c>
      <c r="I501" s="1" t="s">
        <v>62</v>
      </c>
      <c r="J501" s="30">
        <v>110</v>
      </c>
      <c r="K501" s="30">
        <v>20000</v>
      </c>
      <c r="L501" s="31">
        <v>2200000</v>
      </c>
      <c r="M501" s="1" t="s">
        <v>30</v>
      </c>
      <c r="N501" s="1" t="s">
        <v>17</v>
      </c>
      <c r="O501" s="1" t="s">
        <v>2057</v>
      </c>
      <c r="P501" s="1" t="s">
        <v>2056</v>
      </c>
      <c r="Q501" s="1" t="s">
        <v>1763</v>
      </c>
      <c r="R501" s="1">
        <f t="shared" si="7"/>
        <v>3</v>
      </c>
      <c r="S501" s="4">
        <f>J501*K501*M501</f>
        <v>220000</v>
      </c>
    </row>
    <row r="502" spans="1:19" ht="43" hidden="1" customHeight="1">
      <c r="A502" s="1" t="s">
        <v>2280</v>
      </c>
      <c r="B502" s="1" t="s">
        <v>1267</v>
      </c>
      <c r="C502" s="29">
        <v>45836.662306689803</v>
      </c>
      <c r="D502" s="1" t="s">
        <v>3072</v>
      </c>
      <c r="E502" s="1" t="s">
        <v>3073</v>
      </c>
      <c r="F502" s="1">
        <v>2</v>
      </c>
      <c r="G502" s="12" t="s">
        <v>851</v>
      </c>
      <c r="H502" s="1" t="s">
        <v>851</v>
      </c>
      <c r="I502" s="1" t="s">
        <v>62</v>
      </c>
      <c r="J502" s="30">
        <v>45</v>
      </c>
      <c r="K502" s="30">
        <v>20000</v>
      </c>
      <c r="L502" s="31">
        <v>900000</v>
      </c>
      <c r="M502" s="1" t="s">
        <v>30</v>
      </c>
      <c r="N502" s="1" t="s">
        <v>17</v>
      </c>
      <c r="O502" s="1" t="s">
        <v>2057</v>
      </c>
      <c r="P502" s="1" t="s">
        <v>2056</v>
      </c>
      <c r="Q502" s="1" t="s">
        <v>845</v>
      </c>
      <c r="R502" s="1">
        <f t="shared" si="7"/>
        <v>2</v>
      </c>
      <c r="S502" s="4">
        <f>J502*K502*M502</f>
        <v>90000</v>
      </c>
    </row>
    <row r="503" spans="1:19" ht="43" hidden="1" customHeight="1">
      <c r="A503" s="1" t="s">
        <v>2280</v>
      </c>
      <c r="B503" s="1" t="s">
        <v>1272</v>
      </c>
      <c r="C503" s="29">
        <v>45836.414122164402</v>
      </c>
      <c r="D503" s="1" t="s">
        <v>3052</v>
      </c>
      <c r="E503" s="1" t="s">
        <v>3053</v>
      </c>
      <c r="F503" s="1">
        <v>8</v>
      </c>
      <c r="G503" s="12" t="s">
        <v>851</v>
      </c>
      <c r="H503" s="1" t="s">
        <v>851</v>
      </c>
      <c r="I503" s="1" t="s">
        <v>62</v>
      </c>
      <c r="J503" s="30">
        <v>110</v>
      </c>
      <c r="K503" s="30">
        <v>20000</v>
      </c>
      <c r="L503" s="31">
        <v>2200000</v>
      </c>
      <c r="M503" s="1" t="s">
        <v>30</v>
      </c>
      <c r="N503" s="1" t="s">
        <v>17</v>
      </c>
      <c r="O503" s="1" t="s">
        <v>2057</v>
      </c>
      <c r="P503" s="1" t="s">
        <v>2056</v>
      </c>
      <c r="Q503" s="1" t="s">
        <v>845</v>
      </c>
      <c r="R503" s="1">
        <f t="shared" si="7"/>
        <v>2</v>
      </c>
      <c r="S503" s="4">
        <f>J503*K503*M503</f>
        <v>220000</v>
      </c>
    </row>
    <row r="504" spans="1:19" ht="43" customHeight="1">
      <c r="A504" s="1" t="s">
        <v>2280</v>
      </c>
      <c r="B504" s="1" t="s">
        <v>1272</v>
      </c>
      <c r="C504" s="29">
        <v>45836.414122164402</v>
      </c>
      <c r="D504" s="1" t="s">
        <v>3052</v>
      </c>
      <c r="E504" s="1" t="s">
        <v>3053</v>
      </c>
      <c r="F504" s="1">
        <v>9</v>
      </c>
      <c r="H504" s="1" t="s">
        <v>1842</v>
      </c>
      <c r="I504" s="1" t="s">
        <v>62</v>
      </c>
      <c r="J504" s="30">
        <v>120</v>
      </c>
      <c r="K504" s="30">
        <v>40000</v>
      </c>
      <c r="L504" s="31">
        <v>4800000</v>
      </c>
      <c r="M504" s="1" t="s">
        <v>30</v>
      </c>
      <c r="N504" s="1" t="s">
        <v>17</v>
      </c>
      <c r="O504" s="1" t="s">
        <v>2057</v>
      </c>
      <c r="P504" s="1" t="s">
        <v>2056</v>
      </c>
      <c r="Q504" s="1" t="s">
        <v>845</v>
      </c>
      <c r="R504" s="1">
        <f t="shared" si="7"/>
        <v>2</v>
      </c>
      <c r="S504" s="4">
        <f>J504*K504*M504</f>
        <v>480000</v>
      </c>
    </row>
    <row r="505" spans="1:19" ht="43" hidden="1" customHeight="1">
      <c r="A505" s="1" t="s">
        <v>2280</v>
      </c>
      <c r="B505" s="1" t="s">
        <v>126</v>
      </c>
      <c r="C505" s="29">
        <v>45898.896719536999</v>
      </c>
      <c r="D505" s="1" t="s">
        <v>3052</v>
      </c>
      <c r="E505" s="1" t="s">
        <v>3053</v>
      </c>
      <c r="F505" s="1">
        <v>4</v>
      </c>
      <c r="G505" s="12" t="s">
        <v>851</v>
      </c>
      <c r="H505" s="1" t="s">
        <v>1710</v>
      </c>
      <c r="I505" s="1" t="s">
        <v>62</v>
      </c>
      <c r="J505" s="30">
        <v>135</v>
      </c>
      <c r="K505" s="30">
        <v>20000</v>
      </c>
      <c r="L505" s="31">
        <v>2700000</v>
      </c>
      <c r="M505" s="1" t="s">
        <v>30</v>
      </c>
      <c r="N505" s="1" t="s">
        <v>17</v>
      </c>
      <c r="O505" s="1" t="s">
        <v>2057</v>
      </c>
      <c r="P505" s="1" t="s">
        <v>2056</v>
      </c>
      <c r="Q505" s="1" t="s">
        <v>652</v>
      </c>
      <c r="R505" s="1">
        <f t="shared" si="7"/>
        <v>3</v>
      </c>
      <c r="S505" s="4">
        <f>J505*K505*M505</f>
        <v>270000</v>
      </c>
    </row>
    <row r="506" spans="1:19" ht="43" hidden="1" customHeight="1">
      <c r="A506" s="1" t="s">
        <v>2280</v>
      </c>
      <c r="B506" s="1" t="s">
        <v>1472</v>
      </c>
      <c r="C506" s="29">
        <v>45899.6448496991</v>
      </c>
      <c r="D506" s="1" t="s">
        <v>3052</v>
      </c>
      <c r="E506" s="1" t="s">
        <v>3053</v>
      </c>
      <c r="F506" s="1">
        <v>2</v>
      </c>
      <c r="G506" s="12" t="s">
        <v>851</v>
      </c>
      <c r="H506" s="1" t="s">
        <v>1710</v>
      </c>
      <c r="I506" s="1" t="s">
        <v>62</v>
      </c>
      <c r="J506" s="30">
        <v>8</v>
      </c>
      <c r="K506" s="30">
        <v>20000</v>
      </c>
      <c r="L506" s="31">
        <v>160000</v>
      </c>
      <c r="M506" s="1" t="s">
        <v>30</v>
      </c>
      <c r="N506" s="1" t="s">
        <v>17</v>
      </c>
      <c r="O506" s="1" t="s">
        <v>2057</v>
      </c>
      <c r="P506" s="1" t="s">
        <v>2056</v>
      </c>
      <c r="Q506" s="1" t="s">
        <v>636</v>
      </c>
      <c r="R506" s="1">
        <f t="shared" si="7"/>
        <v>3</v>
      </c>
      <c r="S506" s="4">
        <f>J506*K506*M506</f>
        <v>16000</v>
      </c>
    </row>
    <row r="507" spans="1:19" ht="43" customHeight="1">
      <c r="A507" s="1" t="s">
        <v>2280</v>
      </c>
      <c r="B507" s="1" t="s">
        <v>1315</v>
      </c>
      <c r="C507" s="29">
        <v>45747.658940451402</v>
      </c>
      <c r="D507" s="1" t="s">
        <v>3071</v>
      </c>
      <c r="E507" s="1" t="s">
        <v>3053</v>
      </c>
      <c r="F507" s="1">
        <v>20</v>
      </c>
      <c r="H507" s="1" t="s">
        <v>2013</v>
      </c>
      <c r="I507" s="1" t="s">
        <v>62</v>
      </c>
      <c r="J507" s="30">
        <v>1</v>
      </c>
      <c r="K507" s="30">
        <v>88000</v>
      </c>
      <c r="L507" s="31">
        <v>88000</v>
      </c>
      <c r="M507" s="1" t="s">
        <v>30</v>
      </c>
      <c r="N507" s="1" t="s">
        <v>17</v>
      </c>
      <c r="O507" s="1" t="s">
        <v>2057</v>
      </c>
      <c r="P507" s="1" t="s">
        <v>2056</v>
      </c>
      <c r="Q507" s="1" t="s">
        <v>42</v>
      </c>
      <c r="R507" s="1">
        <f t="shared" si="7"/>
        <v>1</v>
      </c>
      <c r="S507" s="4">
        <f>J507*K507*M507</f>
        <v>8800</v>
      </c>
    </row>
    <row r="508" spans="1:19" ht="43" hidden="1" customHeight="1">
      <c r="A508" s="1" t="s">
        <v>2280</v>
      </c>
      <c r="B508" s="1" t="s">
        <v>1315</v>
      </c>
      <c r="C508" s="29">
        <v>45747.658940451402</v>
      </c>
      <c r="D508" s="1" t="s">
        <v>3071</v>
      </c>
      <c r="E508" s="1" t="s">
        <v>3053</v>
      </c>
      <c r="F508" s="1">
        <v>21</v>
      </c>
      <c r="G508" s="12" t="s">
        <v>2941</v>
      </c>
      <c r="H508" s="1" t="s">
        <v>2014</v>
      </c>
      <c r="I508" s="1" t="s">
        <v>2015</v>
      </c>
      <c r="J508" s="30">
        <v>4</v>
      </c>
      <c r="K508" s="30">
        <v>12000</v>
      </c>
      <c r="L508" s="31">
        <v>48000</v>
      </c>
      <c r="M508" s="1" t="s">
        <v>30</v>
      </c>
      <c r="N508" s="1" t="s">
        <v>17</v>
      </c>
      <c r="O508" s="1" t="s">
        <v>2057</v>
      </c>
      <c r="P508" s="1" t="s">
        <v>2056</v>
      </c>
      <c r="Q508" s="1" t="s">
        <v>42</v>
      </c>
      <c r="R508" s="1">
        <f t="shared" si="7"/>
        <v>1</v>
      </c>
      <c r="S508" s="4">
        <f>J508*K508*M508</f>
        <v>4800</v>
      </c>
    </row>
    <row r="509" spans="1:19" ht="43" hidden="1" customHeight="1">
      <c r="A509" s="1" t="s">
        <v>2072</v>
      </c>
      <c r="B509" s="1" t="s">
        <v>717</v>
      </c>
      <c r="C509" s="29">
        <v>46020.384472314799</v>
      </c>
      <c r="D509" s="1" t="s">
        <v>3052</v>
      </c>
      <c r="E509" s="1" t="s">
        <v>3053</v>
      </c>
      <c r="F509" s="1">
        <v>8</v>
      </c>
      <c r="G509" s="12" t="s">
        <v>640</v>
      </c>
      <c r="H509" s="1" t="s">
        <v>640</v>
      </c>
      <c r="I509" s="1" t="s">
        <v>62</v>
      </c>
      <c r="J509" s="30">
        <v>22</v>
      </c>
      <c r="K509" s="30">
        <v>40000</v>
      </c>
      <c r="L509" s="31">
        <v>880000</v>
      </c>
      <c r="M509" s="1" t="s">
        <v>30</v>
      </c>
      <c r="N509" s="1" t="s">
        <v>17</v>
      </c>
      <c r="O509" s="1" t="s">
        <v>2057</v>
      </c>
      <c r="P509" s="1" t="s">
        <v>2056</v>
      </c>
      <c r="Q509" s="1" t="s">
        <v>275</v>
      </c>
      <c r="R509" s="1">
        <f t="shared" si="7"/>
        <v>4</v>
      </c>
      <c r="S509" s="4">
        <f>J509*K509*M509</f>
        <v>88000</v>
      </c>
    </row>
    <row r="510" spans="1:19" ht="43" hidden="1" customHeight="1">
      <c r="A510" s="1" t="s">
        <v>2280</v>
      </c>
      <c r="B510" s="1" t="s">
        <v>1399</v>
      </c>
      <c r="C510" s="29">
        <v>45996.640427731501</v>
      </c>
      <c r="D510" s="1" t="s">
        <v>3058</v>
      </c>
      <c r="E510" s="1" t="s">
        <v>3059</v>
      </c>
      <c r="F510" s="1">
        <v>2</v>
      </c>
      <c r="G510" s="12" t="s">
        <v>640</v>
      </c>
      <c r="H510" s="1" t="s">
        <v>640</v>
      </c>
      <c r="I510" s="1" t="s">
        <v>62</v>
      </c>
      <c r="J510" s="30">
        <v>5</v>
      </c>
      <c r="K510" s="30">
        <v>35000</v>
      </c>
      <c r="L510" s="31">
        <v>175000</v>
      </c>
      <c r="M510" s="1" t="s">
        <v>30</v>
      </c>
      <c r="N510" s="1" t="s">
        <v>17</v>
      </c>
      <c r="O510" s="1" t="s">
        <v>2057</v>
      </c>
      <c r="P510" s="1" t="s">
        <v>2056</v>
      </c>
      <c r="Q510" s="1" t="s">
        <v>304</v>
      </c>
      <c r="R510" s="1">
        <f t="shared" si="7"/>
        <v>4</v>
      </c>
      <c r="S510" s="4">
        <f>J510*K510*M510</f>
        <v>17500</v>
      </c>
    </row>
    <row r="511" spans="1:19" ht="43" hidden="1" customHeight="1">
      <c r="A511" s="1" t="s">
        <v>2280</v>
      </c>
      <c r="B511" s="1" t="s">
        <v>1442</v>
      </c>
      <c r="C511" s="29">
        <v>45960.6594943866</v>
      </c>
      <c r="D511" s="1" t="s">
        <v>3052</v>
      </c>
      <c r="E511" s="1" t="s">
        <v>3053</v>
      </c>
      <c r="F511" s="1">
        <v>3</v>
      </c>
      <c r="G511" s="12" t="s">
        <v>640</v>
      </c>
      <c r="H511" s="1" t="s">
        <v>640</v>
      </c>
      <c r="I511" s="1" t="s">
        <v>1369</v>
      </c>
      <c r="J511" s="30">
        <v>6</v>
      </c>
      <c r="K511" s="30">
        <v>60000</v>
      </c>
      <c r="L511" s="31">
        <v>360000</v>
      </c>
      <c r="M511" s="1" t="s">
        <v>30</v>
      </c>
      <c r="N511" s="1" t="s">
        <v>17</v>
      </c>
      <c r="O511" s="1" t="s">
        <v>2057</v>
      </c>
      <c r="P511" s="1" t="s">
        <v>2056</v>
      </c>
      <c r="Q511" s="1" t="s">
        <v>533</v>
      </c>
      <c r="R511" s="1">
        <f t="shared" si="7"/>
        <v>4</v>
      </c>
      <c r="S511" s="4">
        <f>J511*K511*M511</f>
        <v>36000</v>
      </c>
    </row>
    <row r="512" spans="1:19" ht="43" hidden="1" customHeight="1">
      <c r="A512" s="1" t="s">
        <v>2280</v>
      </c>
      <c r="B512" s="1" t="s">
        <v>1449</v>
      </c>
      <c r="C512" s="29">
        <v>45948.596865787003</v>
      </c>
      <c r="D512" s="1" t="s">
        <v>3079</v>
      </c>
      <c r="E512" s="1" t="s">
        <v>3080</v>
      </c>
      <c r="F512" s="1">
        <v>3</v>
      </c>
      <c r="G512" s="12" t="s">
        <v>640</v>
      </c>
      <c r="H512" s="1" t="s">
        <v>640</v>
      </c>
      <c r="I512" s="1" t="s">
        <v>62</v>
      </c>
      <c r="J512" s="30">
        <v>8</v>
      </c>
      <c r="K512" s="30">
        <v>33000</v>
      </c>
      <c r="L512" s="31">
        <v>264000</v>
      </c>
      <c r="M512" s="1" t="s">
        <v>30</v>
      </c>
      <c r="N512" s="1" t="s">
        <v>17</v>
      </c>
      <c r="O512" s="1" t="s">
        <v>2057</v>
      </c>
      <c r="P512" s="1" t="s">
        <v>2056</v>
      </c>
      <c r="Q512" s="1" t="s">
        <v>459</v>
      </c>
      <c r="R512" s="1">
        <f t="shared" si="7"/>
        <v>4</v>
      </c>
      <c r="S512" s="4">
        <f>J512*K512*M512</f>
        <v>26400</v>
      </c>
    </row>
    <row r="513" spans="1:19" ht="43" hidden="1" customHeight="1">
      <c r="A513" s="1" t="s">
        <v>2280</v>
      </c>
      <c r="B513" s="1" t="s">
        <v>1461</v>
      </c>
      <c r="C513" s="29">
        <v>45933.358910983799</v>
      </c>
      <c r="D513" s="1" t="s">
        <v>3048</v>
      </c>
      <c r="E513" s="1" t="s">
        <v>3049</v>
      </c>
      <c r="F513" s="1">
        <v>7</v>
      </c>
      <c r="G513" s="12" t="s">
        <v>640</v>
      </c>
      <c r="H513" s="1" t="s">
        <v>640</v>
      </c>
      <c r="I513" s="1" t="s">
        <v>1369</v>
      </c>
      <c r="J513" s="30">
        <v>12</v>
      </c>
      <c r="K513" s="30">
        <v>60000</v>
      </c>
      <c r="L513" s="31">
        <v>720000</v>
      </c>
      <c r="M513" s="1" t="s">
        <v>30</v>
      </c>
      <c r="N513" s="1" t="s">
        <v>17</v>
      </c>
      <c r="O513" s="1" t="s">
        <v>2057</v>
      </c>
      <c r="P513" s="1" t="s">
        <v>2056</v>
      </c>
      <c r="Q513" s="1" t="s">
        <v>1591</v>
      </c>
      <c r="R513" s="1">
        <f t="shared" si="7"/>
        <v>4</v>
      </c>
      <c r="S513" s="4">
        <f>J513*K513*M513</f>
        <v>72000</v>
      </c>
    </row>
    <row r="514" spans="1:19" ht="43" hidden="1" customHeight="1">
      <c r="A514" s="1" t="s">
        <v>2072</v>
      </c>
      <c r="B514" s="1" t="s">
        <v>717</v>
      </c>
      <c r="C514" s="29">
        <v>46020.384472314799</v>
      </c>
      <c r="D514" s="1" t="s">
        <v>3052</v>
      </c>
      <c r="E514" s="1" t="s">
        <v>3053</v>
      </c>
      <c r="F514" s="1">
        <v>6</v>
      </c>
      <c r="G514" s="12" t="s">
        <v>641</v>
      </c>
      <c r="H514" s="1" t="s">
        <v>641</v>
      </c>
      <c r="I514" s="1" t="s">
        <v>1369</v>
      </c>
      <c r="J514" s="30">
        <v>1</v>
      </c>
      <c r="K514" s="30">
        <v>90000</v>
      </c>
      <c r="L514" s="31">
        <v>90000</v>
      </c>
      <c r="M514" s="1" t="s">
        <v>30</v>
      </c>
      <c r="N514" s="1" t="s">
        <v>17</v>
      </c>
      <c r="O514" s="1" t="s">
        <v>2057</v>
      </c>
      <c r="P514" s="1" t="s">
        <v>2056</v>
      </c>
      <c r="Q514" s="1" t="s">
        <v>275</v>
      </c>
      <c r="R514" s="1">
        <f t="shared" si="7"/>
        <v>4</v>
      </c>
      <c r="S514" s="4">
        <f>J514*K514*M514</f>
        <v>9000</v>
      </c>
    </row>
    <row r="515" spans="1:19" ht="43" hidden="1" customHeight="1">
      <c r="A515" s="1" t="s">
        <v>2280</v>
      </c>
      <c r="B515" s="1" t="s">
        <v>1432</v>
      </c>
      <c r="C515" s="29">
        <v>45966.660315763897</v>
      </c>
      <c r="D515" s="1" t="s">
        <v>3075</v>
      </c>
      <c r="E515" s="1" t="s">
        <v>3076</v>
      </c>
      <c r="F515" s="1">
        <v>4</v>
      </c>
      <c r="G515" s="12" t="s">
        <v>641</v>
      </c>
      <c r="H515" s="1" t="s">
        <v>641</v>
      </c>
      <c r="I515" s="1" t="s">
        <v>35</v>
      </c>
      <c r="J515" s="30">
        <v>5</v>
      </c>
      <c r="K515" s="30">
        <v>35000</v>
      </c>
      <c r="L515" s="31">
        <v>175000</v>
      </c>
      <c r="M515" s="1" t="s">
        <v>30</v>
      </c>
      <c r="N515" s="1" t="s">
        <v>17</v>
      </c>
      <c r="O515" s="1" t="s">
        <v>2057</v>
      </c>
      <c r="P515" s="1" t="s">
        <v>2056</v>
      </c>
      <c r="Q515" s="1" t="s">
        <v>400</v>
      </c>
      <c r="R515" s="1">
        <f t="shared" ref="R515:R578" si="8">ROUNDUP(MONTH(Q515)/3,0)</f>
        <v>4</v>
      </c>
      <c r="S515" s="4">
        <f>J515*K515*M515</f>
        <v>17500</v>
      </c>
    </row>
    <row r="516" spans="1:19" ht="43" hidden="1" customHeight="1">
      <c r="A516" s="1" t="s">
        <v>2280</v>
      </c>
      <c r="B516" s="1" t="s">
        <v>1461</v>
      </c>
      <c r="C516" s="29">
        <v>45933.358910983799</v>
      </c>
      <c r="D516" s="1" t="s">
        <v>3048</v>
      </c>
      <c r="E516" s="1" t="s">
        <v>3049</v>
      </c>
      <c r="F516" s="1">
        <v>8</v>
      </c>
      <c r="G516" s="12" t="s">
        <v>641</v>
      </c>
      <c r="H516" s="1" t="s">
        <v>641</v>
      </c>
      <c r="I516" s="1" t="s">
        <v>1369</v>
      </c>
      <c r="J516" s="30">
        <v>2</v>
      </c>
      <c r="K516" s="30">
        <v>90000</v>
      </c>
      <c r="L516" s="31">
        <v>180000</v>
      </c>
      <c r="M516" s="1" t="s">
        <v>30</v>
      </c>
      <c r="N516" s="1" t="s">
        <v>17</v>
      </c>
      <c r="O516" s="1" t="s">
        <v>2057</v>
      </c>
      <c r="P516" s="1" t="s">
        <v>2056</v>
      </c>
      <c r="Q516" s="1" t="s">
        <v>1591</v>
      </c>
      <c r="R516" s="1">
        <f t="shared" si="8"/>
        <v>4</v>
      </c>
      <c r="S516" s="4">
        <f>J516*K516*M516</f>
        <v>18000</v>
      </c>
    </row>
    <row r="517" spans="1:19" ht="43" hidden="1" customHeight="1">
      <c r="A517" s="1" t="s">
        <v>2280</v>
      </c>
      <c r="B517" s="1" t="s">
        <v>188</v>
      </c>
      <c r="C517" s="29">
        <v>45928.944600393501</v>
      </c>
      <c r="D517" s="1" t="s">
        <v>3052</v>
      </c>
      <c r="E517" s="1" t="s">
        <v>3053</v>
      </c>
      <c r="F517" s="1">
        <v>9</v>
      </c>
      <c r="G517" s="12" t="s">
        <v>641</v>
      </c>
      <c r="H517" s="1" t="s">
        <v>641</v>
      </c>
      <c r="I517" s="1" t="s">
        <v>62</v>
      </c>
      <c r="J517" s="30">
        <v>200</v>
      </c>
      <c r="K517" s="30">
        <v>50000</v>
      </c>
      <c r="L517" s="31">
        <v>10000000</v>
      </c>
      <c r="M517" s="1" t="s">
        <v>30</v>
      </c>
      <c r="N517" s="1" t="s">
        <v>17</v>
      </c>
      <c r="O517" s="1" t="s">
        <v>2057</v>
      </c>
      <c r="P517" s="1" t="s">
        <v>2056</v>
      </c>
      <c r="Q517" s="1" t="s">
        <v>546</v>
      </c>
      <c r="R517" s="1">
        <f t="shared" si="8"/>
        <v>3</v>
      </c>
      <c r="S517" s="4">
        <f>J517*K517*M517</f>
        <v>1000000</v>
      </c>
    </row>
    <row r="518" spans="1:19" ht="43" customHeight="1">
      <c r="A518" s="1" t="s">
        <v>2280</v>
      </c>
      <c r="B518" s="1" t="s">
        <v>190</v>
      </c>
      <c r="C518" s="29">
        <v>45898.578290150501</v>
      </c>
      <c r="D518" s="1" t="s">
        <v>3058</v>
      </c>
      <c r="E518" s="1" t="s">
        <v>3059</v>
      </c>
      <c r="F518" s="1">
        <v>2</v>
      </c>
      <c r="H518" s="1" t="s">
        <v>1725</v>
      </c>
      <c r="I518" s="1" t="s">
        <v>1369</v>
      </c>
      <c r="J518" s="30">
        <v>10</v>
      </c>
      <c r="K518" s="30">
        <v>35000</v>
      </c>
      <c r="L518" s="31">
        <v>350000</v>
      </c>
      <c r="M518" s="1" t="s">
        <v>30</v>
      </c>
      <c r="N518" s="1" t="s">
        <v>17</v>
      </c>
      <c r="O518" s="1" t="s">
        <v>2057</v>
      </c>
      <c r="P518" s="1" t="s">
        <v>2056</v>
      </c>
      <c r="Q518" s="1" t="s">
        <v>652</v>
      </c>
      <c r="R518" s="1">
        <f t="shared" si="8"/>
        <v>3</v>
      </c>
      <c r="S518" s="4">
        <f>J518*K518*M518</f>
        <v>35000</v>
      </c>
    </row>
    <row r="519" spans="1:19" ht="43" hidden="1" customHeight="1">
      <c r="A519" s="1" t="s">
        <v>2072</v>
      </c>
      <c r="B519" s="1" t="s">
        <v>1307</v>
      </c>
      <c r="C519" s="29">
        <v>46013.847726585598</v>
      </c>
      <c r="F519" s="1">
        <v>1</v>
      </c>
      <c r="G519" s="12" t="s">
        <v>852</v>
      </c>
      <c r="H519" s="1" t="s">
        <v>852</v>
      </c>
      <c r="I519" s="1" t="s">
        <v>62</v>
      </c>
      <c r="J519" s="30">
        <v>0.5</v>
      </c>
      <c r="K519" s="30">
        <v>34000</v>
      </c>
      <c r="L519" s="31">
        <v>17000</v>
      </c>
      <c r="M519" s="1" t="s">
        <v>30</v>
      </c>
      <c r="N519" s="1" t="s">
        <v>17</v>
      </c>
      <c r="O519" s="1" t="s">
        <v>2057</v>
      </c>
      <c r="P519" s="1" t="s">
        <v>2056</v>
      </c>
      <c r="Q519" s="1" t="s">
        <v>1508</v>
      </c>
      <c r="R519" s="1">
        <f t="shared" si="8"/>
        <v>4</v>
      </c>
      <c r="S519" s="4">
        <f>J519*K519*M519</f>
        <v>1700</v>
      </c>
    </row>
    <row r="520" spans="1:19" ht="43" hidden="1" customHeight="1">
      <c r="A520" s="1" t="s">
        <v>2280</v>
      </c>
      <c r="B520" s="1" t="s">
        <v>1399</v>
      </c>
      <c r="C520" s="29">
        <v>45996.640427731501</v>
      </c>
      <c r="D520" s="1" t="s">
        <v>3058</v>
      </c>
      <c r="E520" s="1" t="s">
        <v>3059</v>
      </c>
      <c r="F520" s="1">
        <v>1</v>
      </c>
      <c r="G520" s="12" t="s">
        <v>852</v>
      </c>
      <c r="H520" s="1" t="s">
        <v>852</v>
      </c>
      <c r="I520" s="1" t="s">
        <v>62</v>
      </c>
      <c r="J520" s="30">
        <v>5</v>
      </c>
      <c r="K520" s="30">
        <v>35000</v>
      </c>
      <c r="L520" s="31">
        <v>175000</v>
      </c>
      <c r="M520" s="1" t="s">
        <v>30</v>
      </c>
      <c r="N520" s="1" t="s">
        <v>17</v>
      </c>
      <c r="O520" s="1" t="s">
        <v>2057</v>
      </c>
      <c r="P520" s="1" t="s">
        <v>2056</v>
      </c>
      <c r="Q520" s="1" t="s">
        <v>304</v>
      </c>
      <c r="R520" s="1">
        <f t="shared" si="8"/>
        <v>4</v>
      </c>
      <c r="S520" s="4">
        <f>J520*K520*M520</f>
        <v>17500</v>
      </c>
    </row>
    <row r="521" spans="1:19" ht="43" hidden="1" customHeight="1">
      <c r="A521" s="1" t="s">
        <v>2280</v>
      </c>
      <c r="B521" s="1" t="s">
        <v>1446</v>
      </c>
      <c r="C521" s="29">
        <v>45957.708850381903</v>
      </c>
      <c r="D521" s="1" t="s">
        <v>3058</v>
      </c>
      <c r="E521" s="1" t="s">
        <v>3059</v>
      </c>
      <c r="F521" s="1">
        <v>3</v>
      </c>
      <c r="G521" s="12" t="s">
        <v>852</v>
      </c>
      <c r="H521" s="1" t="s">
        <v>852</v>
      </c>
      <c r="I521" s="1" t="s">
        <v>62</v>
      </c>
      <c r="J521" s="30">
        <v>1.5</v>
      </c>
      <c r="K521" s="30">
        <v>40000</v>
      </c>
      <c r="L521" s="31">
        <v>60000</v>
      </c>
      <c r="M521" s="1" t="s">
        <v>30</v>
      </c>
      <c r="N521" s="1" t="s">
        <v>17</v>
      </c>
      <c r="O521" s="1" t="s">
        <v>2057</v>
      </c>
      <c r="P521" s="1" t="s">
        <v>2056</v>
      </c>
      <c r="Q521" s="1" t="s">
        <v>1583</v>
      </c>
      <c r="R521" s="1">
        <f t="shared" si="8"/>
        <v>4</v>
      </c>
      <c r="S521" s="4">
        <f>J521*K521*M521</f>
        <v>6000</v>
      </c>
    </row>
    <row r="522" spans="1:19" ht="43" hidden="1" customHeight="1">
      <c r="A522" s="1" t="s">
        <v>2280</v>
      </c>
      <c r="B522" s="1" t="s">
        <v>188</v>
      </c>
      <c r="C522" s="29">
        <v>45928.944600393501</v>
      </c>
      <c r="D522" s="1" t="s">
        <v>3052</v>
      </c>
      <c r="E522" s="1" t="s">
        <v>3053</v>
      </c>
      <c r="F522" s="1">
        <v>12</v>
      </c>
      <c r="G522" s="12" t="s">
        <v>852</v>
      </c>
      <c r="H522" s="1" t="s">
        <v>852</v>
      </c>
      <c r="I522" s="1" t="s">
        <v>62</v>
      </c>
      <c r="J522" s="30">
        <v>100</v>
      </c>
      <c r="K522" s="30">
        <v>40000</v>
      </c>
      <c r="L522" s="31">
        <v>4000000</v>
      </c>
      <c r="M522" s="1" t="s">
        <v>30</v>
      </c>
      <c r="N522" s="1" t="s">
        <v>17</v>
      </c>
      <c r="O522" s="1" t="s">
        <v>2057</v>
      </c>
      <c r="P522" s="1" t="s">
        <v>2056</v>
      </c>
      <c r="Q522" s="1" t="s">
        <v>546</v>
      </c>
      <c r="R522" s="1">
        <f t="shared" si="8"/>
        <v>3</v>
      </c>
      <c r="S522" s="4">
        <f>J522*K522*M522</f>
        <v>400000</v>
      </c>
    </row>
    <row r="523" spans="1:19" ht="43" hidden="1" customHeight="1">
      <c r="A523" s="1" t="s">
        <v>2280</v>
      </c>
      <c r="B523" s="1" t="s">
        <v>126</v>
      </c>
      <c r="C523" s="29">
        <v>45898.896719536999</v>
      </c>
      <c r="D523" s="1" t="s">
        <v>3052</v>
      </c>
      <c r="E523" s="1" t="s">
        <v>3053</v>
      </c>
      <c r="F523" s="1">
        <v>1</v>
      </c>
      <c r="G523" s="12" t="s">
        <v>852</v>
      </c>
      <c r="H523" s="1" t="s">
        <v>852</v>
      </c>
      <c r="I523" s="1" t="s">
        <v>62</v>
      </c>
      <c r="J523" s="30">
        <v>207</v>
      </c>
      <c r="K523" s="30">
        <v>40000</v>
      </c>
      <c r="L523" s="31">
        <v>8280000</v>
      </c>
      <c r="M523" s="1" t="s">
        <v>30</v>
      </c>
      <c r="N523" s="1" t="s">
        <v>17</v>
      </c>
      <c r="O523" s="1" t="s">
        <v>2057</v>
      </c>
      <c r="P523" s="1" t="s">
        <v>2056</v>
      </c>
      <c r="Q523" s="1" t="s">
        <v>652</v>
      </c>
      <c r="R523" s="1">
        <f t="shared" si="8"/>
        <v>3</v>
      </c>
      <c r="S523" s="4">
        <f>J523*K523*M523</f>
        <v>828000</v>
      </c>
    </row>
    <row r="524" spans="1:19" ht="43" hidden="1" customHeight="1">
      <c r="A524" s="1" t="s">
        <v>2280</v>
      </c>
      <c r="B524" s="1" t="s">
        <v>1419</v>
      </c>
      <c r="C524" s="29">
        <v>45866.749486990702</v>
      </c>
      <c r="D524" s="1" t="s">
        <v>3052</v>
      </c>
      <c r="E524" s="1" t="s">
        <v>3053</v>
      </c>
      <c r="F524" s="1">
        <v>1</v>
      </c>
      <c r="G524" s="12" t="s">
        <v>852</v>
      </c>
      <c r="H524" s="1" t="s">
        <v>852</v>
      </c>
      <c r="I524" s="1" t="s">
        <v>62</v>
      </c>
      <c r="J524" s="30">
        <v>120</v>
      </c>
      <c r="K524" s="30">
        <v>40000</v>
      </c>
      <c r="L524" s="31">
        <v>4800000</v>
      </c>
      <c r="M524" s="1" t="s">
        <v>30</v>
      </c>
      <c r="N524" s="1" t="s">
        <v>17</v>
      </c>
      <c r="O524" s="1" t="s">
        <v>2057</v>
      </c>
      <c r="P524" s="1" t="s">
        <v>2056</v>
      </c>
      <c r="Q524" s="1" t="s">
        <v>1763</v>
      </c>
      <c r="R524" s="1">
        <f t="shared" si="8"/>
        <v>3</v>
      </c>
      <c r="S524" s="4">
        <f>J524*K524*M524</f>
        <v>480000</v>
      </c>
    </row>
    <row r="525" spans="1:19" ht="43" hidden="1" customHeight="1">
      <c r="A525" s="1" t="s">
        <v>2280</v>
      </c>
      <c r="B525" s="1" t="s">
        <v>1272</v>
      </c>
      <c r="C525" s="29">
        <v>45836.414122164402</v>
      </c>
      <c r="D525" s="1" t="s">
        <v>3052</v>
      </c>
      <c r="E525" s="1" t="s">
        <v>3053</v>
      </c>
      <c r="F525" s="1">
        <v>22</v>
      </c>
      <c r="G525" s="12" t="s">
        <v>852</v>
      </c>
      <c r="H525" s="1" t="s">
        <v>852</v>
      </c>
      <c r="I525" s="1" t="s">
        <v>62</v>
      </c>
      <c r="J525" s="30">
        <v>3</v>
      </c>
      <c r="K525" s="30">
        <v>30000</v>
      </c>
      <c r="L525" s="31">
        <v>90000</v>
      </c>
      <c r="M525" s="1" t="s">
        <v>30</v>
      </c>
      <c r="N525" s="1" t="s">
        <v>17</v>
      </c>
      <c r="O525" s="1" t="s">
        <v>2057</v>
      </c>
      <c r="P525" s="1" t="s">
        <v>2056</v>
      </c>
      <c r="Q525" s="1" t="s">
        <v>845</v>
      </c>
      <c r="R525" s="1">
        <f t="shared" si="8"/>
        <v>2</v>
      </c>
      <c r="S525" s="4">
        <f>J525*K525*M525</f>
        <v>9000</v>
      </c>
    </row>
    <row r="526" spans="1:19" ht="43" hidden="1" customHeight="1">
      <c r="A526" s="1" t="s">
        <v>2280</v>
      </c>
      <c r="B526" s="1" t="s">
        <v>1262</v>
      </c>
      <c r="C526" s="29">
        <v>45838.622051655097</v>
      </c>
      <c r="D526" s="1" t="s">
        <v>3052</v>
      </c>
      <c r="E526" s="1" t="s">
        <v>3053</v>
      </c>
      <c r="F526" s="1">
        <v>14</v>
      </c>
      <c r="G526" s="12" t="s">
        <v>852</v>
      </c>
      <c r="H526" s="1" t="s">
        <v>1809</v>
      </c>
      <c r="I526" s="1" t="s">
        <v>62</v>
      </c>
      <c r="J526" s="30">
        <v>3</v>
      </c>
      <c r="K526" s="30">
        <v>31094.67</v>
      </c>
      <c r="L526" s="31">
        <v>93284.01</v>
      </c>
      <c r="M526" s="1" t="s">
        <v>30</v>
      </c>
      <c r="N526" s="1" t="s">
        <v>17</v>
      </c>
      <c r="O526" s="1" t="s">
        <v>2057</v>
      </c>
      <c r="P526" s="1" t="s">
        <v>2056</v>
      </c>
      <c r="Q526" s="1" t="s">
        <v>828</v>
      </c>
      <c r="R526" s="1">
        <f t="shared" si="8"/>
        <v>2</v>
      </c>
      <c r="S526" s="4">
        <f>J526*K526*M526</f>
        <v>9328.4009999999998</v>
      </c>
    </row>
    <row r="527" spans="1:19" ht="43" hidden="1" customHeight="1">
      <c r="A527" s="1" t="s">
        <v>2280</v>
      </c>
      <c r="B527" s="1" t="s">
        <v>1463</v>
      </c>
      <c r="C527" s="29">
        <v>45928.734775775498</v>
      </c>
      <c r="D527" s="1" t="s">
        <v>3052</v>
      </c>
      <c r="E527" s="1" t="s">
        <v>3053</v>
      </c>
      <c r="F527" s="1">
        <v>2</v>
      </c>
      <c r="G527" s="12" t="s">
        <v>1616</v>
      </c>
      <c r="H527" s="1" t="s">
        <v>1616</v>
      </c>
      <c r="I527" s="1" t="s">
        <v>130</v>
      </c>
      <c r="J527" s="30">
        <v>1</v>
      </c>
      <c r="K527" s="30">
        <v>13000000</v>
      </c>
      <c r="L527" s="31">
        <v>13000000</v>
      </c>
      <c r="M527" s="1" t="s">
        <v>16</v>
      </c>
      <c r="N527" s="1" t="s">
        <v>17</v>
      </c>
      <c r="O527" s="1" t="s">
        <v>2057</v>
      </c>
      <c r="P527" s="1" t="s">
        <v>2056</v>
      </c>
      <c r="Q527" s="1" t="s">
        <v>546</v>
      </c>
      <c r="R527" s="1">
        <f t="shared" si="8"/>
        <v>3</v>
      </c>
      <c r="S527" s="4">
        <f>J527*K527*M527</f>
        <v>1040000</v>
      </c>
    </row>
    <row r="528" spans="1:19" ht="43" hidden="1" customHeight="1">
      <c r="A528" s="1" t="s">
        <v>2280</v>
      </c>
      <c r="B528" s="1" t="s">
        <v>1403</v>
      </c>
      <c r="C528" s="29">
        <v>45990.382104108801</v>
      </c>
      <c r="D528" s="1" t="s">
        <v>3052</v>
      </c>
      <c r="E528" s="1" t="s">
        <v>3053</v>
      </c>
      <c r="F528" s="1">
        <v>3</v>
      </c>
      <c r="G528" s="12" t="s">
        <v>436</v>
      </c>
      <c r="H528" s="1" t="s">
        <v>1553</v>
      </c>
      <c r="I528" s="1" t="s">
        <v>130</v>
      </c>
      <c r="J528" s="30">
        <v>1</v>
      </c>
      <c r="K528" s="30">
        <v>13000000</v>
      </c>
      <c r="L528" s="31">
        <v>13000000</v>
      </c>
      <c r="M528" s="1" t="s">
        <v>16</v>
      </c>
      <c r="N528" s="1" t="s">
        <v>17</v>
      </c>
      <c r="O528" s="1" t="s">
        <v>2057</v>
      </c>
      <c r="P528" s="1" t="s">
        <v>2056</v>
      </c>
      <c r="Q528" s="1" t="s">
        <v>1531</v>
      </c>
      <c r="R528" s="1">
        <f t="shared" si="8"/>
        <v>4</v>
      </c>
      <c r="S528" s="4">
        <f>J528*K528*M528</f>
        <v>1040000</v>
      </c>
    </row>
    <row r="529" spans="1:19" ht="43" hidden="1" customHeight="1">
      <c r="A529" s="1" t="s">
        <v>2280</v>
      </c>
      <c r="B529" s="1" t="s">
        <v>379</v>
      </c>
      <c r="C529" s="29">
        <v>45959.6544954282</v>
      </c>
      <c r="D529" s="1" t="s">
        <v>3052</v>
      </c>
      <c r="E529" s="1" t="s">
        <v>3053</v>
      </c>
      <c r="F529" s="1">
        <v>3</v>
      </c>
      <c r="G529" s="12" t="s">
        <v>589</v>
      </c>
      <c r="H529" s="1" t="s">
        <v>589</v>
      </c>
      <c r="I529" s="1" t="s">
        <v>130</v>
      </c>
      <c r="J529" s="30">
        <v>1</v>
      </c>
      <c r="K529" s="30">
        <v>13000000</v>
      </c>
      <c r="L529" s="31">
        <v>13000000</v>
      </c>
      <c r="M529" s="1" t="s">
        <v>16</v>
      </c>
      <c r="N529" s="1" t="s">
        <v>17</v>
      </c>
      <c r="O529" s="1" t="s">
        <v>2057</v>
      </c>
      <c r="P529" s="1" t="s">
        <v>2056</v>
      </c>
      <c r="Q529" s="1" t="s">
        <v>1578</v>
      </c>
      <c r="R529" s="1">
        <f t="shared" si="8"/>
        <v>4</v>
      </c>
      <c r="S529" s="4">
        <f>J529*K529*M529</f>
        <v>1040000</v>
      </c>
    </row>
    <row r="530" spans="1:19" ht="43" hidden="1" customHeight="1">
      <c r="A530" s="1" t="s">
        <v>2280</v>
      </c>
      <c r="B530" s="1" t="s">
        <v>1462</v>
      </c>
      <c r="C530" s="29">
        <v>45928.944135983802</v>
      </c>
      <c r="D530" s="1" t="s">
        <v>3052</v>
      </c>
      <c r="E530" s="1" t="s">
        <v>3053</v>
      </c>
      <c r="F530" s="1">
        <v>37</v>
      </c>
      <c r="G530" s="12" t="s">
        <v>589</v>
      </c>
      <c r="H530" s="1" t="s">
        <v>589</v>
      </c>
      <c r="I530" s="1" t="s">
        <v>130</v>
      </c>
      <c r="J530" s="30">
        <v>1</v>
      </c>
      <c r="K530" s="30">
        <v>17000000</v>
      </c>
      <c r="L530" s="31">
        <v>17000000</v>
      </c>
      <c r="M530" s="1" t="s">
        <v>16</v>
      </c>
      <c r="N530" s="1" t="s">
        <v>17</v>
      </c>
      <c r="O530" s="1" t="s">
        <v>2057</v>
      </c>
      <c r="P530" s="1" t="s">
        <v>2056</v>
      </c>
      <c r="Q530" s="1" t="s">
        <v>546</v>
      </c>
      <c r="R530" s="1">
        <f t="shared" si="8"/>
        <v>3</v>
      </c>
      <c r="S530" s="4">
        <f>J530*K530*M530</f>
        <v>1360000</v>
      </c>
    </row>
    <row r="531" spans="1:19" ht="43" customHeight="1">
      <c r="A531" s="1" t="s">
        <v>2280</v>
      </c>
      <c r="B531" s="1" t="s">
        <v>1412</v>
      </c>
      <c r="C531" s="29">
        <v>45898.896986157401</v>
      </c>
      <c r="D531" s="1" t="s">
        <v>3052</v>
      </c>
      <c r="E531" s="1" t="s">
        <v>3053</v>
      </c>
      <c r="F531" s="1">
        <v>45</v>
      </c>
      <c r="H531" s="1" t="s">
        <v>1693</v>
      </c>
      <c r="I531" s="1" t="s">
        <v>130</v>
      </c>
      <c r="J531" s="30">
        <v>2</v>
      </c>
      <c r="K531" s="30">
        <v>1200000</v>
      </c>
      <c r="L531" s="31">
        <v>2400000</v>
      </c>
      <c r="M531" s="1" t="s">
        <v>16</v>
      </c>
      <c r="N531" s="1" t="s">
        <v>17</v>
      </c>
      <c r="O531" s="1" t="s">
        <v>2057</v>
      </c>
      <c r="P531" s="1" t="s">
        <v>2056</v>
      </c>
      <c r="Q531" s="1" t="s">
        <v>652</v>
      </c>
      <c r="R531" s="1">
        <f t="shared" si="8"/>
        <v>3</v>
      </c>
      <c r="S531" s="4">
        <f>J531*K531*M531</f>
        <v>192000</v>
      </c>
    </row>
    <row r="532" spans="1:19" ht="43" customHeight="1">
      <c r="A532" s="1" t="s">
        <v>2280</v>
      </c>
      <c r="B532" s="1" t="s">
        <v>1315</v>
      </c>
      <c r="C532" s="29">
        <v>45747.658940451402</v>
      </c>
      <c r="D532" s="1" t="s">
        <v>3071</v>
      </c>
      <c r="E532" s="1" t="s">
        <v>3053</v>
      </c>
      <c r="F532" s="1">
        <v>40</v>
      </c>
      <c r="H532" s="1" t="s">
        <v>2031</v>
      </c>
      <c r="I532" s="1" t="s">
        <v>130</v>
      </c>
      <c r="J532" s="30">
        <v>1</v>
      </c>
      <c r="K532" s="30">
        <v>1750000</v>
      </c>
      <c r="L532" s="31">
        <v>1750000</v>
      </c>
      <c r="M532" s="1" t="s">
        <v>30</v>
      </c>
      <c r="N532" s="1" t="s">
        <v>17</v>
      </c>
      <c r="O532" s="1" t="s">
        <v>2057</v>
      </c>
      <c r="P532" s="1" t="s">
        <v>2056</v>
      </c>
      <c r="Q532" s="1" t="s">
        <v>42</v>
      </c>
      <c r="R532" s="1">
        <f t="shared" si="8"/>
        <v>1</v>
      </c>
      <c r="S532" s="4">
        <f>J532*K532*M532</f>
        <v>175000</v>
      </c>
    </row>
    <row r="533" spans="1:19" ht="43" customHeight="1">
      <c r="A533" s="1" t="s">
        <v>2280</v>
      </c>
      <c r="B533" s="1" t="s">
        <v>1315</v>
      </c>
      <c r="C533" s="29">
        <v>45747.658940451402</v>
      </c>
      <c r="D533" s="1" t="s">
        <v>3071</v>
      </c>
      <c r="E533" s="1" t="s">
        <v>3053</v>
      </c>
      <c r="F533" s="1">
        <v>46</v>
      </c>
      <c r="H533" s="1" t="s">
        <v>2031</v>
      </c>
      <c r="I533" s="1" t="s">
        <v>130</v>
      </c>
      <c r="J533" s="30">
        <v>1</v>
      </c>
      <c r="K533" s="30">
        <v>1350000</v>
      </c>
      <c r="L533" s="31">
        <v>1350000</v>
      </c>
      <c r="M533" s="1" t="s">
        <v>30</v>
      </c>
      <c r="N533" s="1" t="s">
        <v>17</v>
      </c>
      <c r="O533" s="1" t="s">
        <v>2057</v>
      </c>
      <c r="P533" s="1" t="s">
        <v>2056</v>
      </c>
      <c r="Q533" s="1" t="s">
        <v>42</v>
      </c>
      <c r="R533" s="1">
        <f t="shared" si="8"/>
        <v>1</v>
      </c>
      <c r="S533" s="4">
        <f>J533*K533*M533</f>
        <v>135000</v>
      </c>
    </row>
    <row r="534" spans="1:19" ht="43" hidden="1" customHeight="1">
      <c r="A534" s="1" t="s">
        <v>2280</v>
      </c>
      <c r="B534" s="1" t="s">
        <v>379</v>
      </c>
      <c r="C534" s="29">
        <v>45959.6544954282</v>
      </c>
      <c r="D534" s="1" t="s">
        <v>3052</v>
      </c>
      <c r="E534" s="1" t="s">
        <v>3053</v>
      </c>
      <c r="F534" s="1">
        <v>1</v>
      </c>
      <c r="G534" s="12" t="s">
        <v>520</v>
      </c>
      <c r="H534" s="1" t="s">
        <v>520</v>
      </c>
      <c r="I534" s="1" t="s">
        <v>130</v>
      </c>
      <c r="J534" s="30">
        <v>1</v>
      </c>
      <c r="K534" s="30">
        <v>4500000</v>
      </c>
      <c r="L534" s="31">
        <v>4500000</v>
      </c>
      <c r="M534" s="1" t="s">
        <v>16</v>
      </c>
      <c r="N534" s="1" t="s">
        <v>17</v>
      </c>
      <c r="O534" s="1" t="s">
        <v>2057</v>
      </c>
      <c r="P534" s="1" t="s">
        <v>2056</v>
      </c>
      <c r="Q534" s="1" t="s">
        <v>1578</v>
      </c>
      <c r="R534" s="1">
        <f t="shared" si="8"/>
        <v>4</v>
      </c>
      <c r="S534" s="4">
        <f>J534*K534*M534</f>
        <v>360000</v>
      </c>
    </row>
    <row r="535" spans="1:19" ht="43" hidden="1" customHeight="1">
      <c r="A535" s="1" t="s">
        <v>2072</v>
      </c>
      <c r="B535" s="1" t="s">
        <v>1315</v>
      </c>
      <c r="C535" s="29">
        <v>46013.422500011598</v>
      </c>
      <c r="D535" s="1" t="s">
        <v>3077</v>
      </c>
      <c r="E535" s="1" t="s">
        <v>3078</v>
      </c>
      <c r="F535" s="1">
        <v>1</v>
      </c>
      <c r="G535" s="2" t="s">
        <v>2325</v>
      </c>
      <c r="H535" s="1" t="s">
        <v>1515</v>
      </c>
      <c r="I535" s="1" t="s">
        <v>1516</v>
      </c>
      <c r="J535" s="30">
        <v>18</v>
      </c>
      <c r="K535" s="30">
        <v>450000</v>
      </c>
      <c r="L535" s="31">
        <v>8100000</v>
      </c>
      <c r="M535" s="1" t="s">
        <v>16</v>
      </c>
      <c r="N535" s="1" t="s">
        <v>17</v>
      </c>
      <c r="O535" s="1" t="s">
        <v>2057</v>
      </c>
      <c r="P535" s="1" t="s">
        <v>2056</v>
      </c>
      <c r="Q535" s="1" t="s">
        <v>1508</v>
      </c>
      <c r="R535" s="1">
        <f t="shared" si="8"/>
        <v>4</v>
      </c>
      <c r="S535" s="4">
        <f>J535*K535*M535</f>
        <v>648000</v>
      </c>
    </row>
    <row r="536" spans="1:19" ht="43" hidden="1" customHeight="1">
      <c r="A536" s="1" t="s">
        <v>2280</v>
      </c>
      <c r="B536" s="1" t="s">
        <v>1315</v>
      </c>
      <c r="C536" s="29">
        <v>45747.658940451402</v>
      </c>
      <c r="D536" s="1" t="s">
        <v>3071</v>
      </c>
      <c r="E536" s="1" t="s">
        <v>3053</v>
      </c>
      <c r="F536" s="1">
        <v>23</v>
      </c>
      <c r="G536" s="12" t="s">
        <v>1146</v>
      </c>
      <c r="H536" s="1" t="s">
        <v>1146</v>
      </c>
      <c r="I536" s="1" t="s">
        <v>130</v>
      </c>
      <c r="J536" s="30">
        <v>5</v>
      </c>
      <c r="K536" s="30">
        <v>9000</v>
      </c>
      <c r="L536" s="31">
        <v>45000</v>
      </c>
      <c r="M536" s="1" t="s">
        <v>30</v>
      </c>
      <c r="N536" s="1" t="s">
        <v>17</v>
      </c>
      <c r="O536" s="1" t="s">
        <v>2057</v>
      </c>
      <c r="P536" s="1" t="s">
        <v>2056</v>
      </c>
      <c r="Q536" s="1" t="s">
        <v>42</v>
      </c>
      <c r="R536" s="1">
        <f t="shared" si="8"/>
        <v>1</v>
      </c>
      <c r="S536" s="4">
        <f>J536*K536*M536</f>
        <v>4500</v>
      </c>
    </row>
    <row r="537" spans="1:19" ht="43" hidden="1" customHeight="1">
      <c r="A537" s="1" t="s">
        <v>2280</v>
      </c>
      <c r="B537" s="1" t="s">
        <v>379</v>
      </c>
      <c r="C537" s="29">
        <v>45959.6544954282</v>
      </c>
      <c r="D537" s="1" t="s">
        <v>3052</v>
      </c>
      <c r="E537" s="1" t="s">
        <v>3053</v>
      </c>
      <c r="F537" s="1">
        <v>6</v>
      </c>
      <c r="G537" s="12" t="s">
        <v>177</v>
      </c>
      <c r="H537" s="1" t="s">
        <v>177</v>
      </c>
      <c r="I537" s="1" t="s">
        <v>130</v>
      </c>
      <c r="J537" s="30">
        <v>1</v>
      </c>
      <c r="K537" s="30">
        <v>150000</v>
      </c>
      <c r="L537" s="31">
        <v>150000</v>
      </c>
      <c r="M537" s="1" t="s">
        <v>16</v>
      </c>
      <c r="N537" s="1" t="s">
        <v>17</v>
      </c>
      <c r="O537" s="1" t="s">
        <v>2057</v>
      </c>
      <c r="P537" s="1" t="s">
        <v>2056</v>
      </c>
      <c r="Q537" s="1" t="s">
        <v>1578</v>
      </c>
      <c r="R537" s="1">
        <f t="shared" si="8"/>
        <v>4</v>
      </c>
      <c r="S537" s="4">
        <f>J537*K537*M537</f>
        <v>12000</v>
      </c>
    </row>
    <row r="538" spans="1:19" ht="43" hidden="1" customHeight="1">
      <c r="A538" s="1" t="s">
        <v>2072</v>
      </c>
      <c r="B538" s="1" t="s">
        <v>1294</v>
      </c>
      <c r="C538" s="29">
        <v>46021.613942164397</v>
      </c>
      <c r="D538" s="1" t="s">
        <v>3052</v>
      </c>
      <c r="E538" s="1" t="s">
        <v>3053</v>
      </c>
      <c r="F538" s="1">
        <v>3</v>
      </c>
      <c r="G538" s="12" t="s">
        <v>1370</v>
      </c>
      <c r="H538" s="1" t="s">
        <v>1370</v>
      </c>
      <c r="I538" s="1" t="s">
        <v>130</v>
      </c>
      <c r="J538" s="30">
        <v>5</v>
      </c>
      <c r="K538" s="30">
        <v>50000</v>
      </c>
      <c r="L538" s="31">
        <v>250000</v>
      </c>
      <c r="M538" s="1" t="s">
        <v>16</v>
      </c>
      <c r="N538" s="1" t="s">
        <v>17</v>
      </c>
      <c r="O538" s="1" t="s">
        <v>2057</v>
      </c>
      <c r="P538" s="1" t="s">
        <v>2056</v>
      </c>
      <c r="Q538" s="1" t="s">
        <v>1474</v>
      </c>
      <c r="R538" s="1">
        <f t="shared" si="8"/>
        <v>4</v>
      </c>
      <c r="S538" s="4">
        <f>J538*K538*M538</f>
        <v>20000</v>
      </c>
    </row>
    <row r="539" spans="1:19" ht="43" hidden="1" customHeight="1">
      <c r="A539" s="1" t="s">
        <v>2072</v>
      </c>
      <c r="B539" s="1" t="s">
        <v>1294</v>
      </c>
      <c r="C539" s="29">
        <v>46021.613942164397</v>
      </c>
      <c r="D539" s="1" t="s">
        <v>3052</v>
      </c>
      <c r="E539" s="1" t="s">
        <v>3053</v>
      </c>
      <c r="F539" s="1">
        <v>33</v>
      </c>
      <c r="G539" s="12" t="s">
        <v>1484</v>
      </c>
      <c r="H539" s="1" t="s">
        <v>1484</v>
      </c>
      <c r="I539" s="1" t="s">
        <v>130</v>
      </c>
      <c r="J539" s="30">
        <v>10</v>
      </c>
      <c r="K539" s="30">
        <v>90000</v>
      </c>
      <c r="L539" s="31">
        <v>900000</v>
      </c>
      <c r="M539" s="1" t="s">
        <v>16</v>
      </c>
      <c r="N539" s="1" t="s">
        <v>17</v>
      </c>
      <c r="O539" s="1" t="s">
        <v>2057</v>
      </c>
      <c r="P539" s="1" t="s">
        <v>2056</v>
      </c>
      <c r="Q539" s="1" t="s">
        <v>1474</v>
      </c>
      <c r="R539" s="1">
        <f t="shared" si="8"/>
        <v>4</v>
      </c>
      <c r="S539" s="4">
        <f>J539*K539*M539</f>
        <v>72000</v>
      </c>
    </row>
    <row r="540" spans="1:19" ht="43" hidden="1" customHeight="1">
      <c r="A540" s="1" t="s">
        <v>2072</v>
      </c>
      <c r="B540" s="1" t="s">
        <v>1294</v>
      </c>
      <c r="C540" s="29">
        <v>46021.613942164397</v>
      </c>
      <c r="D540" s="1" t="s">
        <v>3052</v>
      </c>
      <c r="E540" s="1" t="s">
        <v>3053</v>
      </c>
      <c r="F540" s="1">
        <v>34</v>
      </c>
      <c r="G540" s="12" t="s">
        <v>1326</v>
      </c>
      <c r="H540" s="1" t="s">
        <v>1326</v>
      </c>
      <c r="I540" s="1" t="s">
        <v>130</v>
      </c>
      <c r="J540" s="30">
        <v>5</v>
      </c>
      <c r="K540" s="30">
        <v>110000</v>
      </c>
      <c r="L540" s="31">
        <v>550000</v>
      </c>
      <c r="M540" s="1" t="s">
        <v>16</v>
      </c>
      <c r="N540" s="1" t="s">
        <v>17</v>
      </c>
      <c r="O540" s="1" t="s">
        <v>2057</v>
      </c>
      <c r="P540" s="1" t="s">
        <v>2056</v>
      </c>
      <c r="Q540" s="1" t="s">
        <v>1474</v>
      </c>
      <c r="R540" s="1">
        <f t="shared" si="8"/>
        <v>4</v>
      </c>
      <c r="S540" s="4">
        <f>J540*K540*M540</f>
        <v>44000</v>
      </c>
    </row>
    <row r="541" spans="1:19" ht="43" hidden="1" customHeight="1">
      <c r="A541" s="1" t="s">
        <v>2280</v>
      </c>
      <c r="B541" s="1" t="s">
        <v>326</v>
      </c>
      <c r="C541" s="29">
        <v>45960.658345080999</v>
      </c>
      <c r="D541" s="1" t="s">
        <v>3052</v>
      </c>
      <c r="E541" s="1" t="s">
        <v>3053</v>
      </c>
      <c r="F541" s="1">
        <v>34</v>
      </c>
      <c r="G541" s="12" t="s">
        <v>496</v>
      </c>
      <c r="H541" s="1" t="s">
        <v>496</v>
      </c>
      <c r="I541" s="1" t="s">
        <v>130</v>
      </c>
      <c r="J541" s="30">
        <v>1</v>
      </c>
      <c r="K541" s="30">
        <v>1650000</v>
      </c>
      <c r="L541" s="31">
        <v>1650000</v>
      </c>
      <c r="M541" s="1" t="s">
        <v>16</v>
      </c>
      <c r="N541" s="1" t="s">
        <v>17</v>
      </c>
      <c r="O541" s="1" t="s">
        <v>2057</v>
      </c>
      <c r="P541" s="1" t="s">
        <v>2056</v>
      </c>
      <c r="Q541" s="1" t="s">
        <v>533</v>
      </c>
      <c r="R541" s="1">
        <f t="shared" si="8"/>
        <v>4</v>
      </c>
      <c r="S541" s="4">
        <f>J541*K541*M541</f>
        <v>132000</v>
      </c>
    </row>
    <row r="542" spans="1:19" ht="43" hidden="1" customHeight="1">
      <c r="A542" s="1" t="s">
        <v>2280</v>
      </c>
      <c r="B542" s="1" t="s">
        <v>326</v>
      </c>
      <c r="C542" s="29">
        <v>45960.658345080999</v>
      </c>
      <c r="D542" s="1" t="s">
        <v>3052</v>
      </c>
      <c r="E542" s="1" t="s">
        <v>3053</v>
      </c>
      <c r="F542" s="1">
        <v>33</v>
      </c>
      <c r="G542" s="12" t="s">
        <v>1574</v>
      </c>
      <c r="H542" s="1" t="s">
        <v>1574</v>
      </c>
      <c r="I542" s="1" t="s">
        <v>130</v>
      </c>
      <c r="J542" s="30">
        <v>1</v>
      </c>
      <c r="K542" s="30">
        <v>1650000</v>
      </c>
      <c r="L542" s="31">
        <v>1650000</v>
      </c>
      <c r="M542" s="1" t="s">
        <v>16</v>
      </c>
      <c r="N542" s="1" t="s">
        <v>17</v>
      </c>
      <c r="O542" s="1" t="s">
        <v>2057</v>
      </c>
      <c r="P542" s="1" t="s">
        <v>2056</v>
      </c>
      <c r="Q542" s="1" t="s">
        <v>533</v>
      </c>
      <c r="R542" s="1">
        <f t="shared" si="8"/>
        <v>4</v>
      </c>
      <c r="S542" s="4">
        <f>J542*K542*M542</f>
        <v>132000</v>
      </c>
    </row>
    <row r="543" spans="1:19" ht="43" hidden="1" customHeight="1">
      <c r="A543" s="1" t="s">
        <v>2280</v>
      </c>
      <c r="B543" s="1" t="s">
        <v>1402</v>
      </c>
      <c r="C543" s="29">
        <v>45990.382403298601</v>
      </c>
      <c r="D543" s="1" t="s">
        <v>3052</v>
      </c>
      <c r="E543" s="1" t="s">
        <v>3053</v>
      </c>
      <c r="F543" s="1">
        <v>17</v>
      </c>
      <c r="G543" s="12" t="s">
        <v>1547</v>
      </c>
      <c r="H543" s="1" t="s">
        <v>1547</v>
      </c>
      <c r="I543" s="1" t="s">
        <v>130</v>
      </c>
      <c r="J543" s="30">
        <v>1</v>
      </c>
      <c r="K543" s="30">
        <v>3500000</v>
      </c>
      <c r="L543" s="31">
        <v>3500000</v>
      </c>
      <c r="M543" s="1" t="s">
        <v>16</v>
      </c>
      <c r="N543" s="1" t="s">
        <v>17</v>
      </c>
      <c r="O543" s="1" t="s">
        <v>2057</v>
      </c>
      <c r="P543" s="1" t="s">
        <v>2056</v>
      </c>
      <c r="Q543" s="1" t="s">
        <v>1531</v>
      </c>
      <c r="R543" s="1">
        <f t="shared" si="8"/>
        <v>4</v>
      </c>
      <c r="S543" s="4">
        <f>J543*K543*M543</f>
        <v>280000</v>
      </c>
    </row>
    <row r="544" spans="1:19" ht="43" customHeight="1">
      <c r="A544" s="1" t="s">
        <v>2280</v>
      </c>
      <c r="B544" s="1" t="s">
        <v>13</v>
      </c>
      <c r="C544" s="29">
        <v>45776.499996342602</v>
      </c>
      <c r="D544" s="1" t="s">
        <v>3052</v>
      </c>
      <c r="E544" s="1" t="s">
        <v>3053</v>
      </c>
      <c r="F544" s="1">
        <v>73</v>
      </c>
      <c r="H544" s="1" t="s">
        <v>1974</v>
      </c>
      <c r="I544" s="1" t="s">
        <v>130</v>
      </c>
      <c r="J544" s="30">
        <v>15</v>
      </c>
      <c r="K544" s="30">
        <v>355000</v>
      </c>
      <c r="L544" s="31">
        <v>5325000</v>
      </c>
      <c r="M544" s="1" t="s">
        <v>16</v>
      </c>
      <c r="N544" s="1" t="s">
        <v>17</v>
      </c>
      <c r="O544" s="1" t="s">
        <v>2057</v>
      </c>
      <c r="P544" s="1" t="s">
        <v>2056</v>
      </c>
      <c r="Q544" s="1" t="s">
        <v>937</v>
      </c>
      <c r="R544" s="1">
        <f t="shared" si="8"/>
        <v>2</v>
      </c>
      <c r="S544" s="4">
        <f>J544*K544*M544</f>
        <v>426000</v>
      </c>
    </row>
    <row r="545" spans="1:19" ht="43" customHeight="1">
      <c r="A545" s="1" t="s">
        <v>2280</v>
      </c>
      <c r="B545" s="1" t="s">
        <v>1315</v>
      </c>
      <c r="C545" s="29">
        <v>45747.658940451402</v>
      </c>
      <c r="D545" s="1" t="s">
        <v>3071</v>
      </c>
      <c r="E545" s="1" t="s">
        <v>3053</v>
      </c>
      <c r="F545" s="1">
        <v>2</v>
      </c>
      <c r="H545" s="1" t="s">
        <v>1998</v>
      </c>
      <c r="I545" s="1" t="s">
        <v>130</v>
      </c>
      <c r="J545" s="30">
        <v>42</v>
      </c>
      <c r="K545" s="30">
        <v>300000</v>
      </c>
      <c r="L545" s="31">
        <v>12600000</v>
      </c>
      <c r="M545" s="1" t="s">
        <v>30</v>
      </c>
      <c r="N545" s="1" t="s">
        <v>17</v>
      </c>
      <c r="O545" s="1" t="s">
        <v>2057</v>
      </c>
      <c r="P545" s="1" t="s">
        <v>2056</v>
      </c>
      <c r="Q545" s="1" t="s">
        <v>42</v>
      </c>
      <c r="R545" s="1">
        <f t="shared" si="8"/>
        <v>1</v>
      </c>
      <c r="S545" s="4">
        <f>J545*K545*M545</f>
        <v>1260000</v>
      </c>
    </row>
    <row r="546" spans="1:19" ht="43" customHeight="1">
      <c r="A546" s="1" t="s">
        <v>2280</v>
      </c>
      <c r="B546" s="1" t="s">
        <v>13</v>
      </c>
      <c r="C546" s="29">
        <v>45776.499996342602</v>
      </c>
      <c r="D546" s="1" t="s">
        <v>3052</v>
      </c>
      <c r="E546" s="1" t="s">
        <v>3053</v>
      </c>
      <c r="F546" s="1">
        <v>3</v>
      </c>
      <c r="H546" s="1" t="s">
        <v>1923</v>
      </c>
      <c r="I546" s="1" t="s">
        <v>15</v>
      </c>
      <c r="J546" s="30">
        <v>20</v>
      </c>
      <c r="K546" s="30">
        <v>300000</v>
      </c>
      <c r="L546" s="31">
        <v>6000000</v>
      </c>
      <c r="M546" s="1" t="s">
        <v>16</v>
      </c>
      <c r="N546" s="1" t="s">
        <v>17</v>
      </c>
      <c r="O546" s="1" t="s">
        <v>2057</v>
      </c>
      <c r="P546" s="1" t="s">
        <v>2056</v>
      </c>
      <c r="Q546" s="1" t="s">
        <v>937</v>
      </c>
      <c r="R546" s="1">
        <f t="shared" si="8"/>
        <v>2</v>
      </c>
      <c r="S546" s="4">
        <f>J546*K546*M546</f>
        <v>480000</v>
      </c>
    </row>
    <row r="547" spans="1:19" ht="43" hidden="1" customHeight="1">
      <c r="A547" s="1" t="s">
        <v>2280</v>
      </c>
      <c r="B547" s="1" t="s">
        <v>136</v>
      </c>
      <c r="C547" s="29">
        <v>45709.704236689802</v>
      </c>
      <c r="D547" s="1" t="s">
        <v>3052</v>
      </c>
      <c r="E547" s="1" t="s">
        <v>3053</v>
      </c>
      <c r="F547" s="1">
        <v>8</v>
      </c>
      <c r="G547" s="12" t="s">
        <v>2044</v>
      </c>
      <c r="H547" s="1" t="s">
        <v>2044</v>
      </c>
      <c r="I547" s="1" t="s">
        <v>192</v>
      </c>
      <c r="J547" s="30">
        <v>3</v>
      </c>
      <c r="K547" s="30">
        <v>1435000</v>
      </c>
      <c r="L547" s="31">
        <v>4305000</v>
      </c>
      <c r="M547" s="1" t="s">
        <v>30</v>
      </c>
      <c r="N547" s="1" t="s">
        <v>17</v>
      </c>
      <c r="O547" s="1" t="s">
        <v>2057</v>
      </c>
      <c r="P547" s="1" t="s">
        <v>2056</v>
      </c>
      <c r="Q547" s="1" t="s">
        <v>2040</v>
      </c>
      <c r="R547" s="1">
        <f t="shared" si="8"/>
        <v>1</v>
      </c>
      <c r="S547" s="4">
        <f>J547*K547*M547</f>
        <v>430500</v>
      </c>
    </row>
    <row r="548" spans="1:19" ht="43" hidden="1" customHeight="1">
      <c r="A548" s="1" t="s">
        <v>2280</v>
      </c>
      <c r="B548" s="1" t="s">
        <v>801</v>
      </c>
      <c r="C548" s="29">
        <v>46007.362243773103</v>
      </c>
      <c r="F548" s="1">
        <v>3</v>
      </c>
      <c r="G548" s="12" t="s">
        <v>1527</v>
      </c>
      <c r="H548" s="1" t="s">
        <v>1527</v>
      </c>
      <c r="I548" s="1" t="s">
        <v>192</v>
      </c>
      <c r="J548" s="30">
        <v>1</v>
      </c>
      <c r="K548" s="30">
        <v>1250000</v>
      </c>
      <c r="L548" s="31">
        <v>1250000</v>
      </c>
      <c r="M548" s="1" t="s">
        <v>16</v>
      </c>
      <c r="N548" s="1" t="s">
        <v>17</v>
      </c>
      <c r="O548" s="1" t="s">
        <v>2057</v>
      </c>
      <c r="P548" s="1" t="s">
        <v>2056</v>
      </c>
      <c r="Q548" s="1" t="s">
        <v>262</v>
      </c>
      <c r="R548" s="1">
        <f t="shared" si="8"/>
        <v>4</v>
      </c>
      <c r="S548" s="4">
        <f>J548*K548*M548</f>
        <v>100000</v>
      </c>
    </row>
    <row r="549" spans="1:19" ht="43" hidden="1" customHeight="1">
      <c r="A549" s="1" t="s">
        <v>2280</v>
      </c>
      <c r="B549" s="1" t="s">
        <v>1417</v>
      </c>
      <c r="C549" s="29">
        <v>45868.607072511601</v>
      </c>
      <c r="D549" s="1" t="s">
        <v>3052</v>
      </c>
      <c r="E549" s="1" t="s">
        <v>3053</v>
      </c>
      <c r="F549" s="1">
        <v>19</v>
      </c>
      <c r="G549" s="12" t="s">
        <v>1527</v>
      </c>
      <c r="H549" s="1" t="s">
        <v>1527</v>
      </c>
      <c r="I549" s="1" t="s">
        <v>54</v>
      </c>
      <c r="J549" s="30">
        <v>1</v>
      </c>
      <c r="K549" s="30">
        <v>350000</v>
      </c>
      <c r="L549" s="31">
        <v>350000</v>
      </c>
      <c r="M549" s="1" t="s">
        <v>30</v>
      </c>
      <c r="N549" s="1" t="s">
        <v>17</v>
      </c>
      <c r="O549" s="1" t="s">
        <v>2057</v>
      </c>
      <c r="P549" s="1" t="s">
        <v>2056</v>
      </c>
      <c r="Q549" s="1" t="s">
        <v>800</v>
      </c>
      <c r="R549" s="1">
        <f t="shared" si="8"/>
        <v>3</v>
      </c>
      <c r="S549" s="4">
        <f>J549*K549*M549</f>
        <v>35000</v>
      </c>
    </row>
    <row r="550" spans="1:19" ht="43" hidden="1" customHeight="1">
      <c r="A550" s="1" t="s">
        <v>2280</v>
      </c>
      <c r="B550" s="1" t="s">
        <v>717</v>
      </c>
      <c r="C550" s="29">
        <v>45807.729117129602</v>
      </c>
      <c r="D550" s="1" t="s">
        <v>3052</v>
      </c>
      <c r="E550" s="1" t="s">
        <v>3053</v>
      </c>
      <c r="F550" s="1">
        <v>20</v>
      </c>
      <c r="G550" s="12" t="s">
        <v>1527</v>
      </c>
      <c r="H550" s="1" t="s">
        <v>1527</v>
      </c>
      <c r="I550" s="1" t="s">
        <v>56</v>
      </c>
      <c r="J550" s="30">
        <v>3</v>
      </c>
      <c r="K550" s="30">
        <v>650000</v>
      </c>
      <c r="L550" s="31">
        <v>1950000</v>
      </c>
      <c r="M550" s="1" t="s">
        <v>30</v>
      </c>
      <c r="N550" s="1" t="s">
        <v>17</v>
      </c>
      <c r="O550" s="1" t="s">
        <v>2057</v>
      </c>
      <c r="P550" s="1" t="s">
        <v>2056</v>
      </c>
      <c r="Q550" s="1" t="s">
        <v>925</v>
      </c>
      <c r="R550" s="1">
        <f t="shared" si="8"/>
        <v>2</v>
      </c>
      <c r="S550" s="4">
        <f>J550*K550*M550</f>
        <v>195000</v>
      </c>
    </row>
    <row r="551" spans="1:19" ht="43" hidden="1" customHeight="1">
      <c r="A551" s="1" t="s">
        <v>2280</v>
      </c>
      <c r="B551" s="1" t="s">
        <v>717</v>
      </c>
      <c r="C551" s="29">
        <v>45807.729117129602</v>
      </c>
      <c r="D551" s="1" t="s">
        <v>3052</v>
      </c>
      <c r="E551" s="1" t="s">
        <v>3053</v>
      </c>
      <c r="F551" s="1">
        <v>19</v>
      </c>
      <c r="G551" s="12" t="s">
        <v>1882</v>
      </c>
      <c r="H551" s="1" t="s">
        <v>1882</v>
      </c>
      <c r="I551" s="1" t="s">
        <v>56</v>
      </c>
      <c r="J551" s="30">
        <v>3</v>
      </c>
      <c r="K551" s="30">
        <v>650000</v>
      </c>
      <c r="L551" s="31">
        <v>1950000</v>
      </c>
      <c r="M551" s="1" t="s">
        <v>30</v>
      </c>
      <c r="N551" s="1" t="s">
        <v>17</v>
      </c>
      <c r="O551" s="1" t="s">
        <v>2057</v>
      </c>
      <c r="P551" s="1" t="s">
        <v>2056</v>
      </c>
      <c r="Q551" s="1" t="s">
        <v>925</v>
      </c>
      <c r="R551" s="1">
        <f t="shared" si="8"/>
        <v>2</v>
      </c>
      <c r="S551" s="4">
        <f>J551*K551*M551</f>
        <v>195000</v>
      </c>
    </row>
    <row r="552" spans="1:19" ht="43" hidden="1" customHeight="1">
      <c r="A552" s="1" t="s">
        <v>2280</v>
      </c>
      <c r="B552" s="1" t="s">
        <v>801</v>
      </c>
      <c r="C552" s="29">
        <v>46007.362243773103</v>
      </c>
      <c r="F552" s="1">
        <v>2</v>
      </c>
      <c r="G552" s="12" t="s">
        <v>189</v>
      </c>
      <c r="H552" s="1" t="s">
        <v>189</v>
      </c>
      <c r="I552" s="1" t="s">
        <v>192</v>
      </c>
      <c r="J552" s="30">
        <v>5</v>
      </c>
      <c r="K552" s="30">
        <v>1150000</v>
      </c>
      <c r="L552" s="31">
        <v>5750000</v>
      </c>
      <c r="M552" s="1" t="s">
        <v>16</v>
      </c>
      <c r="N552" s="1" t="s">
        <v>17</v>
      </c>
      <c r="O552" s="1" t="s">
        <v>2057</v>
      </c>
      <c r="P552" s="1" t="s">
        <v>2056</v>
      </c>
      <c r="Q552" s="1" t="s">
        <v>262</v>
      </c>
      <c r="R552" s="1">
        <f t="shared" si="8"/>
        <v>4</v>
      </c>
      <c r="S552" s="4">
        <f>J552*K552*M552</f>
        <v>460000</v>
      </c>
    </row>
    <row r="553" spans="1:19" ht="43" hidden="1" customHeight="1">
      <c r="A553" s="1" t="s">
        <v>2280</v>
      </c>
      <c r="B553" s="1" t="s">
        <v>193</v>
      </c>
      <c r="C553" s="29">
        <v>45898.577999004599</v>
      </c>
      <c r="D553" s="1" t="s">
        <v>3058</v>
      </c>
      <c r="E553" s="1" t="s">
        <v>3059</v>
      </c>
      <c r="F553" s="1">
        <v>4</v>
      </c>
      <c r="G553" s="32" t="s">
        <v>2134</v>
      </c>
      <c r="H553" s="1" t="s">
        <v>1728</v>
      </c>
      <c r="I553" s="1" t="s">
        <v>78</v>
      </c>
      <c r="J553" s="30">
        <v>10.039999999999999</v>
      </c>
      <c r="K553" s="30">
        <v>97230</v>
      </c>
      <c r="L553" s="31">
        <v>976189</v>
      </c>
      <c r="M553" s="1" t="s">
        <v>16</v>
      </c>
      <c r="N553" s="1" t="s">
        <v>17</v>
      </c>
      <c r="O553" s="1" t="s">
        <v>2057</v>
      </c>
      <c r="P553" s="1" t="s">
        <v>2056</v>
      </c>
      <c r="Q553" s="1" t="s">
        <v>652</v>
      </c>
      <c r="R553" s="1">
        <f t="shared" si="8"/>
        <v>3</v>
      </c>
      <c r="S553" s="4">
        <f>J553*K553*M553</f>
        <v>78095.135999999999</v>
      </c>
    </row>
    <row r="554" spans="1:19" ht="43" customHeight="1">
      <c r="A554" s="1" t="s">
        <v>2280</v>
      </c>
      <c r="B554" s="1" t="s">
        <v>153</v>
      </c>
      <c r="C554" s="29">
        <v>45747.668173564802</v>
      </c>
      <c r="D554" s="1" t="s">
        <v>3071</v>
      </c>
      <c r="E554" s="1" t="s">
        <v>3053</v>
      </c>
      <c r="F554" s="1">
        <v>1</v>
      </c>
      <c r="H554" s="1" t="s">
        <v>1988</v>
      </c>
      <c r="I554" s="1" t="s">
        <v>78</v>
      </c>
      <c r="J554" s="30">
        <v>96</v>
      </c>
      <c r="K554" s="30">
        <v>80000</v>
      </c>
      <c r="L554" s="31">
        <v>7680000</v>
      </c>
      <c r="M554" s="1" t="s">
        <v>16</v>
      </c>
      <c r="N554" s="1" t="s">
        <v>17</v>
      </c>
      <c r="O554" s="1" t="s">
        <v>2057</v>
      </c>
      <c r="P554" s="1" t="s">
        <v>2056</v>
      </c>
      <c r="Q554" s="1" t="s">
        <v>42</v>
      </c>
      <c r="R554" s="1">
        <f t="shared" si="8"/>
        <v>1</v>
      </c>
      <c r="S554" s="4">
        <f>J554*K554*M554</f>
        <v>614400</v>
      </c>
    </row>
    <row r="555" spans="1:19" ht="43" customHeight="1">
      <c r="A555" s="1" t="s">
        <v>2280</v>
      </c>
      <c r="B555" s="1" t="s">
        <v>120</v>
      </c>
      <c r="C555" s="29">
        <v>45838.621748888901</v>
      </c>
      <c r="D555" s="1" t="s">
        <v>3052</v>
      </c>
      <c r="E555" s="1" t="s">
        <v>3053</v>
      </c>
      <c r="F555" s="1">
        <v>30</v>
      </c>
      <c r="H555" s="1" t="s">
        <v>1833</v>
      </c>
      <c r="I555" s="1" t="s">
        <v>78</v>
      </c>
      <c r="J555" s="30">
        <v>72</v>
      </c>
      <c r="K555" s="30">
        <v>85000</v>
      </c>
      <c r="L555" s="31">
        <v>6120000</v>
      </c>
      <c r="M555" s="1" t="s">
        <v>16</v>
      </c>
      <c r="N555" s="1" t="s">
        <v>17</v>
      </c>
      <c r="O555" s="1" t="s">
        <v>2057</v>
      </c>
      <c r="P555" s="1" t="s">
        <v>2056</v>
      </c>
      <c r="Q555" s="1" t="s">
        <v>828</v>
      </c>
      <c r="R555" s="1">
        <f t="shared" si="8"/>
        <v>2</v>
      </c>
      <c r="S555" s="4">
        <f>J555*K555*M555</f>
        <v>489600</v>
      </c>
    </row>
    <row r="556" spans="1:19" ht="43" customHeight="1">
      <c r="A556" s="1" t="s">
        <v>2072</v>
      </c>
      <c r="B556" s="1" t="s">
        <v>20</v>
      </c>
      <c r="C556" s="29">
        <v>46021.446857789299</v>
      </c>
      <c r="D556" s="1" t="s">
        <v>3058</v>
      </c>
      <c r="E556" s="1" t="s">
        <v>3059</v>
      </c>
      <c r="F556" s="1">
        <v>1</v>
      </c>
      <c r="H556" s="1" t="s">
        <v>1495</v>
      </c>
      <c r="I556" s="1" t="s">
        <v>78</v>
      </c>
      <c r="J556" s="30">
        <v>7.2</v>
      </c>
      <c r="K556" s="30">
        <v>110000</v>
      </c>
      <c r="L556" s="31">
        <v>792000</v>
      </c>
      <c r="M556" s="1" t="s">
        <v>16</v>
      </c>
      <c r="N556" s="1" t="s">
        <v>17</v>
      </c>
      <c r="O556" s="1" t="s">
        <v>2057</v>
      </c>
      <c r="P556" s="1" t="s">
        <v>2056</v>
      </c>
      <c r="Q556" s="1" t="s">
        <v>1474</v>
      </c>
      <c r="R556" s="1">
        <f t="shared" si="8"/>
        <v>4</v>
      </c>
      <c r="S556" s="4">
        <f>J556*K556*M556</f>
        <v>63360</v>
      </c>
    </row>
    <row r="557" spans="1:19" ht="43" hidden="1" customHeight="1">
      <c r="A557" s="1" t="s">
        <v>2280</v>
      </c>
      <c r="B557" s="1" t="s">
        <v>379</v>
      </c>
      <c r="C557" s="29">
        <v>45959.6544954282</v>
      </c>
      <c r="D557" s="1" t="s">
        <v>3052</v>
      </c>
      <c r="E557" s="1" t="s">
        <v>3053</v>
      </c>
      <c r="F557" s="1">
        <v>21</v>
      </c>
      <c r="G557" s="12" t="s">
        <v>1127</v>
      </c>
      <c r="H557" s="1" t="s">
        <v>1127</v>
      </c>
      <c r="I557" s="1" t="s">
        <v>78</v>
      </c>
      <c r="J557" s="30">
        <v>150</v>
      </c>
      <c r="K557" s="30">
        <v>82000</v>
      </c>
      <c r="L557" s="31">
        <v>12300000</v>
      </c>
      <c r="M557" s="1" t="s">
        <v>16</v>
      </c>
      <c r="N557" s="1" t="s">
        <v>17</v>
      </c>
      <c r="O557" s="1" t="s">
        <v>2057</v>
      </c>
      <c r="P557" s="1" t="s">
        <v>2056</v>
      </c>
      <c r="Q557" s="1" t="s">
        <v>1578</v>
      </c>
      <c r="R557" s="1">
        <f t="shared" si="8"/>
        <v>4</v>
      </c>
      <c r="S557" s="4">
        <f>J557*K557*M557</f>
        <v>984000</v>
      </c>
    </row>
    <row r="558" spans="1:19" ht="43" hidden="1" customHeight="1">
      <c r="A558" s="1" t="s">
        <v>2280</v>
      </c>
      <c r="B558" s="1" t="s">
        <v>103</v>
      </c>
      <c r="C558" s="29">
        <v>45943.634676446803</v>
      </c>
      <c r="F558" s="1">
        <v>1</v>
      </c>
      <c r="G558" s="12" t="s">
        <v>1127</v>
      </c>
      <c r="H558" s="1" t="s">
        <v>1127</v>
      </c>
      <c r="I558" s="1" t="s">
        <v>78</v>
      </c>
      <c r="J558" s="30">
        <v>34</v>
      </c>
      <c r="K558" s="30">
        <v>98039.22</v>
      </c>
      <c r="L558" s="31">
        <v>3333333.48</v>
      </c>
      <c r="M558" s="1" t="s">
        <v>16</v>
      </c>
      <c r="N558" s="1" t="s">
        <v>17</v>
      </c>
      <c r="O558" s="1" t="s">
        <v>2057</v>
      </c>
      <c r="P558" s="1" t="s">
        <v>2056</v>
      </c>
      <c r="Q558" s="1" t="s">
        <v>515</v>
      </c>
      <c r="R558" s="1">
        <f t="shared" si="8"/>
        <v>4</v>
      </c>
      <c r="S558" s="4">
        <f>J558*K558*M558</f>
        <v>266666.67839999998</v>
      </c>
    </row>
    <row r="559" spans="1:19" ht="43" customHeight="1">
      <c r="A559" s="1" t="s">
        <v>2072</v>
      </c>
      <c r="B559" s="1" t="s">
        <v>1315</v>
      </c>
      <c r="C559" s="29">
        <v>46013.422500011598</v>
      </c>
      <c r="D559" s="1" t="s">
        <v>3077</v>
      </c>
      <c r="E559" s="1" t="s">
        <v>3078</v>
      </c>
      <c r="F559" s="1">
        <v>2</v>
      </c>
      <c r="H559" s="1" t="s">
        <v>1517</v>
      </c>
      <c r="I559" s="1" t="s">
        <v>78</v>
      </c>
      <c r="J559" s="30">
        <v>70</v>
      </c>
      <c r="K559" s="30">
        <v>180000</v>
      </c>
      <c r="L559" s="31">
        <v>12600000</v>
      </c>
      <c r="M559" s="1" t="s">
        <v>16</v>
      </c>
      <c r="N559" s="1" t="s">
        <v>17</v>
      </c>
      <c r="O559" s="1" t="s">
        <v>2057</v>
      </c>
      <c r="P559" s="1" t="s">
        <v>2056</v>
      </c>
      <c r="Q559" s="1" t="s">
        <v>1508</v>
      </c>
      <c r="R559" s="1">
        <f t="shared" si="8"/>
        <v>4</v>
      </c>
      <c r="S559" s="4">
        <f>J559*K559*M559</f>
        <v>1008000</v>
      </c>
    </row>
    <row r="560" spans="1:19" ht="43" hidden="1" customHeight="1">
      <c r="A560" s="1" t="s">
        <v>2280</v>
      </c>
      <c r="B560" s="1" t="s">
        <v>1422</v>
      </c>
      <c r="C560" s="29">
        <v>45864.4394789699</v>
      </c>
      <c r="D560" s="1" t="s">
        <v>3058</v>
      </c>
      <c r="E560" s="1" t="s">
        <v>3059</v>
      </c>
      <c r="F560" s="1">
        <v>1</v>
      </c>
      <c r="G560" s="12" t="s">
        <v>2134</v>
      </c>
      <c r="H560" s="1" t="s">
        <v>1790</v>
      </c>
      <c r="I560" s="1" t="s">
        <v>78</v>
      </c>
      <c r="J560" s="30">
        <v>241.92</v>
      </c>
      <c r="K560" s="30">
        <v>97230</v>
      </c>
      <c r="L560" s="31">
        <v>23521882</v>
      </c>
      <c r="M560" s="1" t="s">
        <v>16</v>
      </c>
      <c r="N560" s="1" t="s">
        <v>17</v>
      </c>
      <c r="O560" s="1" t="s">
        <v>2057</v>
      </c>
      <c r="P560" s="1" t="s">
        <v>2056</v>
      </c>
      <c r="Q560" s="1" t="s">
        <v>1785</v>
      </c>
      <c r="R560" s="1">
        <f t="shared" si="8"/>
        <v>3</v>
      </c>
      <c r="S560" s="4">
        <f>J560*K560*M560</f>
        <v>1881750.5279999999</v>
      </c>
    </row>
    <row r="561" spans="1:19" ht="43" customHeight="1">
      <c r="A561" s="1" t="s">
        <v>2072</v>
      </c>
      <c r="B561" s="1" t="s">
        <v>1315</v>
      </c>
      <c r="C561" s="29">
        <v>46013.422500011598</v>
      </c>
      <c r="D561" s="1" t="s">
        <v>3077</v>
      </c>
      <c r="E561" s="1" t="s">
        <v>3078</v>
      </c>
      <c r="F561" s="1">
        <v>6</v>
      </c>
      <c r="H561" s="1" t="s">
        <v>1523</v>
      </c>
      <c r="I561" s="1" t="s">
        <v>78</v>
      </c>
      <c r="J561" s="30">
        <v>4</v>
      </c>
      <c r="K561" s="30">
        <v>180000</v>
      </c>
      <c r="L561" s="31">
        <v>720000</v>
      </c>
      <c r="M561" s="1" t="s">
        <v>16</v>
      </c>
      <c r="N561" s="1" t="s">
        <v>17</v>
      </c>
      <c r="O561" s="1" t="s">
        <v>2057</v>
      </c>
      <c r="P561" s="1" t="s">
        <v>2056</v>
      </c>
      <c r="Q561" s="1" t="s">
        <v>1508</v>
      </c>
      <c r="R561" s="1">
        <f t="shared" si="8"/>
        <v>4</v>
      </c>
      <c r="S561" s="4">
        <f>J561*K561*M561</f>
        <v>57600</v>
      </c>
    </row>
    <row r="562" spans="1:19" ht="43" customHeight="1">
      <c r="A562" s="1" t="s">
        <v>2280</v>
      </c>
      <c r="B562" s="1" t="s">
        <v>91</v>
      </c>
      <c r="C562" s="29">
        <v>45899.644512638901</v>
      </c>
      <c r="D562" s="1" t="s">
        <v>3052</v>
      </c>
      <c r="E562" s="1" t="s">
        <v>3053</v>
      </c>
      <c r="F562" s="1">
        <v>1</v>
      </c>
      <c r="H562" s="1" t="s">
        <v>1654</v>
      </c>
      <c r="I562" s="1" t="s">
        <v>1259</v>
      </c>
      <c r="J562" s="30">
        <v>60</v>
      </c>
      <c r="K562" s="30">
        <v>18000</v>
      </c>
      <c r="L562" s="31">
        <v>1080000</v>
      </c>
      <c r="M562" s="1" t="s">
        <v>16</v>
      </c>
      <c r="N562" s="1" t="s">
        <v>17</v>
      </c>
      <c r="O562" s="1" t="s">
        <v>2057</v>
      </c>
      <c r="P562" s="1" t="s">
        <v>2056</v>
      </c>
      <c r="Q562" s="1" t="s">
        <v>636</v>
      </c>
      <c r="R562" s="1">
        <f t="shared" si="8"/>
        <v>3</v>
      </c>
      <c r="S562" s="4">
        <f>J562*K562*M562</f>
        <v>86400</v>
      </c>
    </row>
    <row r="563" spans="1:19" ht="43" customHeight="1">
      <c r="A563" s="1" t="s">
        <v>2280</v>
      </c>
      <c r="B563" s="1" t="s">
        <v>152</v>
      </c>
      <c r="C563" s="29">
        <v>45836.413450243097</v>
      </c>
      <c r="D563" s="1" t="s">
        <v>3052</v>
      </c>
      <c r="E563" s="1" t="s">
        <v>3053</v>
      </c>
      <c r="F563" s="1">
        <v>18</v>
      </c>
      <c r="H563" s="1" t="s">
        <v>1654</v>
      </c>
      <c r="I563" s="1" t="s">
        <v>1259</v>
      </c>
      <c r="J563" s="30">
        <v>30</v>
      </c>
      <c r="K563" s="30">
        <v>20000</v>
      </c>
      <c r="L563" s="31">
        <v>600000</v>
      </c>
      <c r="M563" s="1" t="s">
        <v>16</v>
      </c>
      <c r="N563" s="1" t="s">
        <v>17</v>
      </c>
      <c r="O563" s="1" t="s">
        <v>2057</v>
      </c>
      <c r="P563" s="1" t="s">
        <v>2056</v>
      </c>
      <c r="Q563" s="1" t="s">
        <v>845</v>
      </c>
      <c r="R563" s="1">
        <f t="shared" si="8"/>
        <v>2</v>
      </c>
      <c r="S563" s="4">
        <f>J563*K563*M563</f>
        <v>48000</v>
      </c>
    </row>
    <row r="564" spans="1:19" ht="43" customHeight="1">
      <c r="A564" s="1" t="s">
        <v>2280</v>
      </c>
      <c r="B564" s="1" t="s">
        <v>1295</v>
      </c>
      <c r="C564" s="29">
        <v>45807.7287575347</v>
      </c>
      <c r="D564" s="1" t="s">
        <v>3052</v>
      </c>
      <c r="E564" s="1" t="s">
        <v>3053</v>
      </c>
      <c r="F564" s="1">
        <v>6</v>
      </c>
      <c r="H564" s="1" t="s">
        <v>1654</v>
      </c>
      <c r="I564" s="1" t="s">
        <v>22</v>
      </c>
      <c r="J564" s="30">
        <v>6</v>
      </c>
      <c r="K564" s="30">
        <v>20000</v>
      </c>
      <c r="L564" s="31">
        <v>120000</v>
      </c>
      <c r="M564" s="1" t="s">
        <v>16</v>
      </c>
      <c r="N564" s="1" t="s">
        <v>17</v>
      </c>
      <c r="O564" s="1" t="s">
        <v>2057</v>
      </c>
      <c r="P564" s="1" t="s">
        <v>2056</v>
      </c>
      <c r="Q564" s="1" t="s">
        <v>925</v>
      </c>
      <c r="R564" s="1">
        <f t="shared" si="8"/>
        <v>2</v>
      </c>
      <c r="S564" s="4">
        <f>J564*K564*M564</f>
        <v>9600</v>
      </c>
    </row>
    <row r="565" spans="1:19" ht="43" customHeight="1">
      <c r="A565" s="1" t="s">
        <v>2280</v>
      </c>
      <c r="B565" s="1" t="s">
        <v>1467</v>
      </c>
      <c r="C565" s="29">
        <v>45928.732318564798</v>
      </c>
      <c r="D565" s="1" t="s">
        <v>3052</v>
      </c>
      <c r="E565" s="1" t="s">
        <v>3053</v>
      </c>
      <c r="F565" s="1">
        <v>4</v>
      </c>
      <c r="H565" s="1" t="s">
        <v>1617</v>
      </c>
      <c r="I565" s="1" t="s">
        <v>1259</v>
      </c>
      <c r="J565" s="30">
        <v>200</v>
      </c>
      <c r="K565" s="30">
        <v>18000</v>
      </c>
      <c r="L565" s="31">
        <v>3600000</v>
      </c>
      <c r="M565" s="1" t="s">
        <v>16</v>
      </c>
      <c r="N565" s="1" t="s">
        <v>17</v>
      </c>
      <c r="O565" s="1" t="s">
        <v>2057</v>
      </c>
      <c r="P565" s="1" t="s">
        <v>2056</v>
      </c>
      <c r="Q565" s="1" t="s">
        <v>546</v>
      </c>
      <c r="R565" s="1">
        <f t="shared" si="8"/>
        <v>3</v>
      </c>
      <c r="S565" s="4">
        <f>J565*K565*M565</f>
        <v>288000</v>
      </c>
    </row>
    <row r="566" spans="1:19" ht="43" customHeight="1">
      <c r="A566" s="1" t="s">
        <v>2280</v>
      </c>
      <c r="B566" s="1" t="s">
        <v>1412</v>
      </c>
      <c r="C566" s="29">
        <v>45898.896986157401</v>
      </c>
      <c r="D566" s="1" t="s">
        <v>3052</v>
      </c>
      <c r="E566" s="1" t="s">
        <v>3053</v>
      </c>
      <c r="F566" s="1">
        <v>1</v>
      </c>
      <c r="H566" s="1" t="s">
        <v>1659</v>
      </c>
      <c r="I566" s="1" t="s">
        <v>1259</v>
      </c>
      <c r="J566" s="30">
        <v>900</v>
      </c>
      <c r="K566" s="30">
        <v>3000</v>
      </c>
      <c r="L566" s="31">
        <v>2700000</v>
      </c>
      <c r="M566" s="1" t="s">
        <v>16</v>
      </c>
      <c r="N566" s="1" t="s">
        <v>17</v>
      </c>
      <c r="O566" s="1" t="s">
        <v>2057</v>
      </c>
      <c r="P566" s="1" t="s">
        <v>2056</v>
      </c>
      <c r="Q566" s="1" t="s">
        <v>652</v>
      </c>
      <c r="R566" s="1">
        <f t="shared" si="8"/>
        <v>3</v>
      </c>
      <c r="S566" s="4">
        <f>J566*K566*M566</f>
        <v>216000</v>
      </c>
    </row>
    <row r="567" spans="1:19" ht="43" customHeight="1">
      <c r="A567" s="1" t="s">
        <v>2280</v>
      </c>
      <c r="B567" s="1" t="s">
        <v>1295</v>
      </c>
      <c r="C567" s="29">
        <v>45807.7287575347</v>
      </c>
      <c r="D567" s="1" t="s">
        <v>3052</v>
      </c>
      <c r="E567" s="1" t="s">
        <v>3053</v>
      </c>
      <c r="F567" s="1">
        <v>17</v>
      </c>
      <c r="H567" s="1" t="s">
        <v>1659</v>
      </c>
      <c r="I567" s="1" t="s">
        <v>22</v>
      </c>
      <c r="J567" s="30">
        <v>300</v>
      </c>
      <c r="K567" s="30">
        <v>3000</v>
      </c>
      <c r="L567" s="31">
        <v>900000</v>
      </c>
      <c r="M567" s="1" t="s">
        <v>16</v>
      </c>
      <c r="N567" s="1" t="s">
        <v>17</v>
      </c>
      <c r="O567" s="1" t="s">
        <v>2057</v>
      </c>
      <c r="P567" s="1" t="s">
        <v>2056</v>
      </c>
      <c r="Q567" s="1" t="s">
        <v>925</v>
      </c>
      <c r="R567" s="1">
        <f t="shared" si="8"/>
        <v>2</v>
      </c>
      <c r="S567" s="4">
        <f>J567*K567*M567</f>
        <v>72000</v>
      </c>
    </row>
    <row r="568" spans="1:19" ht="43" hidden="1" customHeight="1">
      <c r="A568" s="1" t="s">
        <v>2280</v>
      </c>
      <c r="B568" s="1" t="s">
        <v>1467</v>
      </c>
      <c r="C568" s="29">
        <v>45928.732318564798</v>
      </c>
      <c r="D568" s="1" t="s">
        <v>3052</v>
      </c>
      <c r="E568" s="1" t="s">
        <v>3053</v>
      </c>
      <c r="F568" s="1">
        <v>9</v>
      </c>
      <c r="G568" s="12" t="s">
        <v>2230</v>
      </c>
      <c r="H568" s="1" t="s">
        <v>1618</v>
      </c>
      <c r="I568" s="1" t="s">
        <v>173</v>
      </c>
      <c r="J568" s="30">
        <v>4</v>
      </c>
      <c r="K568" s="30">
        <v>625000</v>
      </c>
      <c r="L568" s="31">
        <v>2500000</v>
      </c>
      <c r="M568" s="1" t="s">
        <v>16</v>
      </c>
      <c r="N568" s="1" t="s">
        <v>17</v>
      </c>
      <c r="O568" s="1" t="s">
        <v>2057</v>
      </c>
      <c r="P568" s="1" t="s">
        <v>2056</v>
      </c>
      <c r="Q568" s="1" t="s">
        <v>546</v>
      </c>
      <c r="R568" s="1">
        <f t="shared" si="8"/>
        <v>3</v>
      </c>
      <c r="S568" s="4">
        <f>J568*K568*M568</f>
        <v>200000</v>
      </c>
    </row>
    <row r="569" spans="1:19" ht="43" hidden="1" customHeight="1">
      <c r="A569" s="1" t="s">
        <v>2280</v>
      </c>
      <c r="B569" s="1" t="s">
        <v>1467</v>
      </c>
      <c r="C569" s="29">
        <v>45928.732318564798</v>
      </c>
      <c r="D569" s="1" t="s">
        <v>3052</v>
      </c>
      <c r="E569" s="1" t="s">
        <v>3053</v>
      </c>
      <c r="F569" s="1">
        <v>10</v>
      </c>
      <c r="G569" s="12" t="s">
        <v>2256</v>
      </c>
      <c r="H569" s="1" t="s">
        <v>1619</v>
      </c>
      <c r="I569" s="1" t="s">
        <v>173</v>
      </c>
      <c r="J569" s="30">
        <v>8</v>
      </c>
      <c r="K569" s="30">
        <v>625000</v>
      </c>
      <c r="L569" s="31">
        <v>5000000</v>
      </c>
      <c r="M569" s="1" t="s">
        <v>16</v>
      </c>
      <c r="N569" s="1" t="s">
        <v>17</v>
      </c>
      <c r="O569" s="1" t="s">
        <v>2057</v>
      </c>
      <c r="P569" s="1" t="s">
        <v>2056</v>
      </c>
      <c r="Q569" s="1" t="s">
        <v>546</v>
      </c>
      <c r="R569" s="1">
        <f t="shared" si="8"/>
        <v>3</v>
      </c>
      <c r="S569" s="4">
        <f>J569*K569*M569</f>
        <v>400000</v>
      </c>
    </row>
    <row r="570" spans="1:19" ht="43" customHeight="1">
      <c r="A570" s="1" t="s">
        <v>2280</v>
      </c>
      <c r="B570" s="1" t="s">
        <v>1158</v>
      </c>
      <c r="C570" s="29">
        <v>45868.606624756903</v>
      </c>
      <c r="D570" s="1" t="s">
        <v>3052</v>
      </c>
      <c r="E570" s="1" t="s">
        <v>3053</v>
      </c>
      <c r="F570" s="1">
        <v>20</v>
      </c>
      <c r="H570" s="1" t="s">
        <v>1755</v>
      </c>
      <c r="I570" s="1" t="s">
        <v>1259</v>
      </c>
      <c r="J570" s="30">
        <v>20</v>
      </c>
      <c r="K570" s="30">
        <v>18000</v>
      </c>
      <c r="L570" s="31">
        <v>360000</v>
      </c>
      <c r="M570" s="1" t="s">
        <v>16</v>
      </c>
      <c r="N570" s="1" t="s">
        <v>17</v>
      </c>
      <c r="O570" s="1" t="s">
        <v>2057</v>
      </c>
      <c r="P570" s="1" t="s">
        <v>2056</v>
      </c>
      <c r="Q570" s="1" t="s">
        <v>800</v>
      </c>
      <c r="R570" s="1">
        <f t="shared" si="8"/>
        <v>3</v>
      </c>
      <c r="S570" s="4">
        <f>J570*K570*M570</f>
        <v>28800</v>
      </c>
    </row>
    <row r="571" spans="1:19" ht="43" customHeight="1">
      <c r="A571" s="1" t="s">
        <v>2280</v>
      </c>
      <c r="B571" s="1" t="s">
        <v>120</v>
      </c>
      <c r="C571" s="29">
        <v>45838.621748888901</v>
      </c>
      <c r="D571" s="1" t="s">
        <v>3052</v>
      </c>
      <c r="E571" s="1" t="s">
        <v>3053</v>
      </c>
      <c r="F571" s="1">
        <v>12</v>
      </c>
      <c r="H571" s="1" t="s">
        <v>1755</v>
      </c>
      <c r="I571" s="1" t="s">
        <v>1259</v>
      </c>
      <c r="J571" s="30">
        <v>2</v>
      </c>
      <c r="K571" s="30">
        <v>45000</v>
      </c>
      <c r="L571" s="31">
        <v>90000</v>
      </c>
      <c r="M571" s="1" t="s">
        <v>16</v>
      </c>
      <c r="N571" s="1" t="s">
        <v>17</v>
      </c>
      <c r="O571" s="1" t="s">
        <v>2057</v>
      </c>
      <c r="P571" s="1" t="s">
        <v>2056</v>
      </c>
      <c r="Q571" s="1" t="s">
        <v>828</v>
      </c>
      <c r="R571" s="1">
        <f t="shared" si="8"/>
        <v>2</v>
      </c>
      <c r="S571" s="4">
        <f>J571*K571*M571</f>
        <v>7200</v>
      </c>
    </row>
    <row r="572" spans="1:19" ht="43" customHeight="1">
      <c r="A572" s="1" t="s">
        <v>2280</v>
      </c>
      <c r="B572" s="1" t="s">
        <v>13</v>
      </c>
      <c r="C572" s="29">
        <v>45776.499996342602</v>
      </c>
      <c r="D572" s="1" t="s">
        <v>3052</v>
      </c>
      <c r="E572" s="1" t="s">
        <v>3053</v>
      </c>
      <c r="F572" s="1">
        <v>37</v>
      </c>
      <c r="H572" s="1" t="s">
        <v>1755</v>
      </c>
      <c r="I572" s="1" t="s">
        <v>1259</v>
      </c>
      <c r="J572" s="30">
        <v>500</v>
      </c>
      <c r="K572" s="30">
        <v>3000</v>
      </c>
      <c r="L572" s="31">
        <v>1500000</v>
      </c>
      <c r="M572" s="1" t="s">
        <v>16</v>
      </c>
      <c r="N572" s="1" t="s">
        <v>17</v>
      </c>
      <c r="O572" s="1" t="s">
        <v>2057</v>
      </c>
      <c r="P572" s="1" t="s">
        <v>2056</v>
      </c>
      <c r="Q572" s="1" t="s">
        <v>937</v>
      </c>
      <c r="R572" s="1">
        <f t="shared" si="8"/>
        <v>2</v>
      </c>
      <c r="S572" s="4">
        <f>J572*K572*M572</f>
        <v>120000</v>
      </c>
    </row>
    <row r="573" spans="1:19" ht="43" customHeight="1">
      <c r="A573" s="1" t="s">
        <v>2280</v>
      </c>
      <c r="B573" s="1" t="s">
        <v>91</v>
      </c>
      <c r="C573" s="29">
        <v>45899.644512638901</v>
      </c>
      <c r="D573" s="1" t="s">
        <v>3052</v>
      </c>
      <c r="E573" s="1" t="s">
        <v>3053</v>
      </c>
      <c r="F573" s="1">
        <v>20</v>
      </c>
      <c r="H573" s="1" t="s">
        <v>1657</v>
      </c>
      <c r="I573" s="1" t="s">
        <v>1259</v>
      </c>
      <c r="J573" s="30">
        <v>10</v>
      </c>
      <c r="K573" s="30">
        <v>20000</v>
      </c>
      <c r="L573" s="31">
        <v>200000</v>
      </c>
      <c r="M573" s="1" t="s">
        <v>16</v>
      </c>
      <c r="N573" s="1" t="s">
        <v>17</v>
      </c>
      <c r="O573" s="1" t="s">
        <v>2057</v>
      </c>
      <c r="P573" s="1" t="s">
        <v>2056</v>
      </c>
      <c r="Q573" s="1" t="s">
        <v>636</v>
      </c>
      <c r="R573" s="1">
        <f t="shared" si="8"/>
        <v>3</v>
      </c>
      <c r="S573" s="4">
        <f>J573*K573*M573</f>
        <v>16000</v>
      </c>
    </row>
    <row r="574" spans="1:19" ht="43" hidden="1" customHeight="1">
      <c r="A574" s="1" t="s">
        <v>2280</v>
      </c>
      <c r="B574" s="1" t="s">
        <v>1402</v>
      </c>
      <c r="C574" s="29">
        <v>45990.382403298601</v>
      </c>
      <c r="D574" s="1" t="s">
        <v>3052</v>
      </c>
      <c r="E574" s="1" t="s">
        <v>3053</v>
      </c>
      <c r="F574" s="1">
        <v>4</v>
      </c>
      <c r="G574" s="12" t="s">
        <v>23</v>
      </c>
      <c r="H574" s="1" t="s">
        <v>23</v>
      </c>
      <c r="I574" s="1" t="s">
        <v>1259</v>
      </c>
      <c r="J574" s="30">
        <v>100</v>
      </c>
      <c r="K574" s="30">
        <v>18000</v>
      </c>
      <c r="L574" s="31">
        <v>1800000</v>
      </c>
      <c r="M574" s="1" t="s">
        <v>16</v>
      </c>
      <c r="N574" s="1" t="s">
        <v>17</v>
      </c>
      <c r="O574" s="1" t="s">
        <v>2057</v>
      </c>
      <c r="P574" s="1" t="s">
        <v>2056</v>
      </c>
      <c r="Q574" s="1" t="s">
        <v>1531</v>
      </c>
      <c r="R574" s="1">
        <f t="shared" si="8"/>
        <v>4</v>
      </c>
      <c r="S574" s="4">
        <f>J574*K574*M574</f>
        <v>144000</v>
      </c>
    </row>
    <row r="575" spans="1:19" ht="43" hidden="1" customHeight="1">
      <c r="A575" s="1" t="s">
        <v>2072</v>
      </c>
      <c r="B575" s="1" t="s">
        <v>146</v>
      </c>
      <c r="C575" s="29">
        <v>46020.386763703696</v>
      </c>
      <c r="D575" s="1" t="s">
        <v>3052</v>
      </c>
      <c r="E575" s="1" t="s">
        <v>3053</v>
      </c>
      <c r="F575" s="1">
        <v>15</v>
      </c>
      <c r="G575" s="12" t="s">
        <v>21</v>
      </c>
      <c r="H575" s="1" t="s">
        <v>21</v>
      </c>
      <c r="I575" s="1" t="s">
        <v>1259</v>
      </c>
      <c r="J575" s="30">
        <v>150</v>
      </c>
      <c r="K575" s="30">
        <v>18000</v>
      </c>
      <c r="L575" s="31">
        <v>2700000</v>
      </c>
      <c r="M575" s="1" t="s">
        <v>16</v>
      </c>
      <c r="N575" s="1" t="s">
        <v>17</v>
      </c>
      <c r="O575" s="1" t="s">
        <v>2057</v>
      </c>
      <c r="P575" s="1" t="s">
        <v>2056</v>
      </c>
      <c r="Q575" s="1" t="s">
        <v>275</v>
      </c>
      <c r="R575" s="1">
        <f t="shared" si="8"/>
        <v>4</v>
      </c>
      <c r="S575" s="4">
        <f>J575*K575*M575</f>
        <v>216000</v>
      </c>
    </row>
    <row r="576" spans="1:19" ht="43" hidden="1" customHeight="1">
      <c r="A576" s="1" t="s">
        <v>2280</v>
      </c>
      <c r="B576" s="1" t="s">
        <v>379</v>
      </c>
      <c r="C576" s="29">
        <v>45959.6544954282</v>
      </c>
      <c r="D576" s="1" t="s">
        <v>3052</v>
      </c>
      <c r="E576" s="1" t="s">
        <v>3053</v>
      </c>
      <c r="F576" s="1">
        <v>16</v>
      </c>
      <c r="G576" s="12" t="s">
        <v>21</v>
      </c>
      <c r="H576" s="1" t="s">
        <v>21</v>
      </c>
      <c r="I576" s="1" t="s">
        <v>1259</v>
      </c>
      <c r="J576" s="30">
        <v>50</v>
      </c>
      <c r="K576" s="30">
        <v>18000</v>
      </c>
      <c r="L576" s="31">
        <v>900000</v>
      </c>
      <c r="M576" s="1" t="s">
        <v>16</v>
      </c>
      <c r="N576" s="1" t="s">
        <v>17</v>
      </c>
      <c r="O576" s="1" t="s">
        <v>2057</v>
      </c>
      <c r="P576" s="1" t="s">
        <v>2056</v>
      </c>
      <c r="Q576" s="1" t="s">
        <v>1578</v>
      </c>
      <c r="R576" s="1">
        <f t="shared" si="8"/>
        <v>4</v>
      </c>
      <c r="S576" s="4">
        <f>J576*K576*M576</f>
        <v>72000</v>
      </c>
    </row>
    <row r="577" spans="1:19" ht="43" customHeight="1">
      <c r="A577" s="1" t="s">
        <v>2280</v>
      </c>
      <c r="B577" s="1" t="s">
        <v>642</v>
      </c>
      <c r="C577" s="29">
        <v>45927.917672719901</v>
      </c>
      <c r="D577" s="1" t="s">
        <v>3054</v>
      </c>
      <c r="E577" s="1" t="s">
        <v>3055</v>
      </c>
      <c r="F577" s="1">
        <v>1</v>
      </c>
      <c r="H577" s="1" t="s">
        <v>1643</v>
      </c>
      <c r="I577" s="1" t="s">
        <v>1259</v>
      </c>
      <c r="J577" s="30">
        <v>300</v>
      </c>
      <c r="K577" s="30">
        <v>3000</v>
      </c>
      <c r="L577" s="31">
        <v>900000</v>
      </c>
      <c r="M577" s="1" t="s">
        <v>16</v>
      </c>
      <c r="N577" s="1" t="s">
        <v>17</v>
      </c>
      <c r="O577" s="1" t="s">
        <v>2057</v>
      </c>
      <c r="P577" s="1" t="s">
        <v>2056</v>
      </c>
      <c r="Q577" s="1" t="s">
        <v>588</v>
      </c>
      <c r="R577" s="1">
        <f t="shared" si="8"/>
        <v>3</v>
      </c>
      <c r="S577" s="4">
        <f>J577*K577*M577</f>
        <v>72000</v>
      </c>
    </row>
    <row r="578" spans="1:19" ht="43" hidden="1" customHeight="1">
      <c r="A578" s="1" t="s">
        <v>2072</v>
      </c>
      <c r="B578" s="1" t="s">
        <v>1294</v>
      </c>
      <c r="C578" s="29">
        <v>46021.613942164397</v>
      </c>
      <c r="D578" s="1" t="s">
        <v>3052</v>
      </c>
      <c r="E578" s="1" t="s">
        <v>3053</v>
      </c>
      <c r="F578" s="1">
        <v>27</v>
      </c>
      <c r="G578" s="12" t="s">
        <v>24</v>
      </c>
      <c r="H578" s="1" t="s">
        <v>24</v>
      </c>
      <c r="I578" s="1" t="s">
        <v>1259</v>
      </c>
      <c r="J578" s="30">
        <v>900</v>
      </c>
      <c r="K578" s="30">
        <v>3000</v>
      </c>
      <c r="L578" s="31">
        <v>2700000</v>
      </c>
      <c r="M578" s="1" t="s">
        <v>16</v>
      </c>
      <c r="N578" s="1" t="s">
        <v>17</v>
      </c>
      <c r="O578" s="1" t="s">
        <v>2057</v>
      </c>
      <c r="P578" s="1" t="s">
        <v>2056</v>
      </c>
      <c r="Q578" s="1" t="s">
        <v>1474</v>
      </c>
      <c r="R578" s="1">
        <f t="shared" si="8"/>
        <v>4</v>
      </c>
      <c r="S578" s="4">
        <f>J578*K578*M578</f>
        <v>216000</v>
      </c>
    </row>
    <row r="579" spans="1:19" ht="43" hidden="1" customHeight="1">
      <c r="A579" s="1" t="s">
        <v>2072</v>
      </c>
      <c r="B579" s="1" t="s">
        <v>146</v>
      </c>
      <c r="C579" s="29">
        <v>46020.386763703696</v>
      </c>
      <c r="D579" s="1" t="s">
        <v>3052</v>
      </c>
      <c r="E579" s="1" t="s">
        <v>3053</v>
      </c>
      <c r="F579" s="1">
        <v>4</v>
      </c>
      <c r="G579" s="12" t="s">
        <v>24</v>
      </c>
      <c r="H579" s="1" t="s">
        <v>24</v>
      </c>
      <c r="I579" s="1" t="s">
        <v>1259</v>
      </c>
      <c r="J579" s="30">
        <v>1200</v>
      </c>
      <c r="K579" s="30">
        <v>3000</v>
      </c>
      <c r="L579" s="31">
        <v>3600000</v>
      </c>
      <c r="M579" s="1" t="s">
        <v>16</v>
      </c>
      <c r="N579" s="1" t="s">
        <v>17</v>
      </c>
      <c r="O579" s="1" t="s">
        <v>2057</v>
      </c>
      <c r="P579" s="1" t="s">
        <v>2056</v>
      </c>
      <c r="Q579" s="1" t="s">
        <v>275</v>
      </c>
      <c r="R579" s="1">
        <f t="shared" ref="R579:R642" si="9">ROUNDUP(MONTH(Q579)/3,0)</f>
        <v>4</v>
      </c>
      <c r="S579" s="4">
        <f>J579*K579*M579</f>
        <v>288000</v>
      </c>
    </row>
    <row r="580" spans="1:19" ht="43" hidden="1" customHeight="1">
      <c r="A580" s="1" t="s">
        <v>2072</v>
      </c>
      <c r="B580" s="1" t="s">
        <v>1302</v>
      </c>
      <c r="C580" s="29">
        <v>46018.477279282401</v>
      </c>
      <c r="D580" s="1" t="s">
        <v>3054</v>
      </c>
      <c r="E580" s="1" t="s">
        <v>3055</v>
      </c>
      <c r="F580" s="1">
        <v>3</v>
      </c>
      <c r="G580" s="12" t="s">
        <v>24</v>
      </c>
      <c r="H580" s="1" t="s">
        <v>24</v>
      </c>
      <c r="I580" s="1" t="s">
        <v>1259</v>
      </c>
      <c r="J580" s="30">
        <v>600</v>
      </c>
      <c r="K580" s="30">
        <v>3000</v>
      </c>
      <c r="L580" s="31">
        <v>1800000</v>
      </c>
      <c r="M580" s="1" t="s">
        <v>16</v>
      </c>
      <c r="N580" s="1" t="s">
        <v>17</v>
      </c>
      <c r="O580" s="1" t="s">
        <v>2057</v>
      </c>
      <c r="P580" s="1" t="s">
        <v>2056</v>
      </c>
      <c r="Q580" s="1" t="s">
        <v>293</v>
      </c>
      <c r="R580" s="1">
        <f t="shared" si="9"/>
        <v>4</v>
      </c>
      <c r="S580" s="4">
        <f>J580*K580*M580</f>
        <v>144000</v>
      </c>
    </row>
    <row r="581" spans="1:19" ht="43" hidden="1" customHeight="1">
      <c r="A581" s="1" t="s">
        <v>2280</v>
      </c>
      <c r="B581" s="1" t="s">
        <v>90</v>
      </c>
      <c r="C581" s="29">
        <v>45992.720836481501</v>
      </c>
      <c r="D581" s="1" t="s">
        <v>3063</v>
      </c>
      <c r="E581" s="1" t="s">
        <v>3062</v>
      </c>
      <c r="F581" s="1">
        <v>1</v>
      </c>
      <c r="G581" s="12" t="s">
        <v>24</v>
      </c>
      <c r="H581" s="1" t="s">
        <v>24</v>
      </c>
      <c r="I581" s="1" t="s">
        <v>1259</v>
      </c>
      <c r="J581" s="30">
        <v>2400</v>
      </c>
      <c r="K581" s="30">
        <v>3000</v>
      </c>
      <c r="L581" s="31">
        <v>7200000</v>
      </c>
      <c r="M581" s="1" t="s">
        <v>16</v>
      </c>
      <c r="N581" s="1" t="s">
        <v>17</v>
      </c>
      <c r="O581" s="1" t="s">
        <v>2057</v>
      </c>
      <c r="P581" s="1" t="s">
        <v>2056</v>
      </c>
      <c r="Q581" s="1" t="s">
        <v>266</v>
      </c>
      <c r="R581" s="1">
        <f t="shared" si="9"/>
        <v>4</v>
      </c>
      <c r="S581" s="4">
        <f>J581*K581*M581</f>
        <v>576000</v>
      </c>
    </row>
    <row r="582" spans="1:19" ht="43" hidden="1" customHeight="1">
      <c r="A582" s="1" t="s">
        <v>2280</v>
      </c>
      <c r="B582" s="1" t="s">
        <v>1400</v>
      </c>
      <c r="C582" s="29">
        <v>45990.721094398097</v>
      </c>
      <c r="D582" s="1" t="s">
        <v>3052</v>
      </c>
      <c r="E582" s="1" t="s">
        <v>3053</v>
      </c>
      <c r="F582" s="1">
        <v>40</v>
      </c>
      <c r="G582" s="12" t="s">
        <v>24</v>
      </c>
      <c r="H582" s="1" t="s">
        <v>24</v>
      </c>
      <c r="I582" s="1" t="s">
        <v>1259</v>
      </c>
      <c r="J582" s="30">
        <v>900</v>
      </c>
      <c r="K582" s="30">
        <v>3000</v>
      </c>
      <c r="L582" s="31">
        <v>2700000</v>
      </c>
      <c r="M582" s="1" t="s">
        <v>16</v>
      </c>
      <c r="N582" s="1" t="s">
        <v>17</v>
      </c>
      <c r="O582" s="1" t="s">
        <v>2057</v>
      </c>
      <c r="P582" s="1" t="s">
        <v>2056</v>
      </c>
      <c r="Q582" s="1" t="s">
        <v>1531</v>
      </c>
      <c r="R582" s="1">
        <f t="shared" si="9"/>
        <v>4</v>
      </c>
      <c r="S582" s="4">
        <f>J582*K582*M582</f>
        <v>216000</v>
      </c>
    </row>
    <row r="583" spans="1:19" ht="43" hidden="1" customHeight="1">
      <c r="A583" s="1" t="s">
        <v>2280</v>
      </c>
      <c r="B583" s="1" t="s">
        <v>1402</v>
      </c>
      <c r="C583" s="29">
        <v>45990.382403298601</v>
      </c>
      <c r="D583" s="1" t="s">
        <v>3052</v>
      </c>
      <c r="E583" s="1" t="s">
        <v>3053</v>
      </c>
      <c r="F583" s="1">
        <v>1</v>
      </c>
      <c r="G583" s="12" t="s">
        <v>24</v>
      </c>
      <c r="H583" s="1" t="s">
        <v>24</v>
      </c>
      <c r="I583" s="1" t="s">
        <v>1259</v>
      </c>
      <c r="J583" s="30">
        <v>600</v>
      </c>
      <c r="K583" s="30">
        <v>3000</v>
      </c>
      <c r="L583" s="31">
        <v>1800000</v>
      </c>
      <c r="M583" s="1" t="s">
        <v>16</v>
      </c>
      <c r="N583" s="1" t="s">
        <v>17</v>
      </c>
      <c r="O583" s="1" t="s">
        <v>2057</v>
      </c>
      <c r="P583" s="1" t="s">
        <v>2056</v>
      </c>
      <c r="Q583" s="1" t="s">
        <v>1531</v>
      </c>
      <c r="R583" s="1">
        <f t="shared" si="9"/>
        <v>4</v>
      </c>
      <c r="S583" s="4">
        <f>J583*K583*M583</f>
        <v>144000</v>
      </c>
    </row>
    <row r="584" spans="1:19" ht="43" hidden="1" customHeight="1">
      <c r="A584" s="1" t="s">
        <v>2280</v>
      </c>
      <c r="B584" s="1" t="s">
        <v>326</v>
      </c>
      <c r="C584" s="29">
        <v>45960.658345080999</v>
      </c>
      <c r="D584" s="1" t="s">
        <v>3052</v>
      </c>
      <c r="E584" s="1" t="s">
        <v>3053</v>
      </c>
      <c r="F584" s="1">
        <v>38</v>
      </c>
      <c r="G584" s="12" t="s">
        <v>24</v>
      </c>
      <c r="H584" s="1" t="s">
        <v>24</v>
      </c>
      <c r="I584" s="1" t="s">
        <v>1259</v>
      </c>
      <c r="J584" s="30">
        <v>600</v>
      </c>
      <c r="K584" s="30">
        <v>3000</v>
      </c>
      <c r="L584" s="31">
        <v>1800000</v>
      </c>
      <c r="M584" s="1" t="s">
        <v>16</v>
      </c>
      <c r="N584" s="1" t="s">
        <v>17</v>
      </c>
      <c r="O584" s="1" t="s">
        <v>2057</v>
      </c>
      <c r="P584" s="1" t="s">
        <v>2056</v>
      </c>
      <c r="Q584" s="1" t="s">
        <v>533</v>
      </c>
      <c r="R584" s="1">
        <f t="shared" si="9"/>
        <v>4</v>
      </c>
      <c r="S584" s="4">
        <f>J584*K584*M584</f>
        <v>144000</v>
      </c>
    </row>
    <row r="585" spans="1:19" ht="43" hidden="1" customHeight="1">
      <c r="A585" s="1" t="s">
        <v>2280</v>
      </c>
      <c r="B585" s="1" t="s">
        <v>379</v>
      </c>
      <c r="C585" s="29">
        <v>45959.6544954282</v>
      </c>
      <c r="D585" s="1" t="s">
        <v>3052</v>
      </c>
      <c r="E585" s="1" t="s">
        <v>3053</v>
      </c>
      <c r="F585" s="1">
        <v>9</v>
      </c>
      <c r="G585" s="12" t="s">
        <v>24</v>
      </c>
      <c r="H585" s="1" t="s">
        <v>24</v>
      </c>
      <c r="I585" s="1" t="s">
        <v>130</v>
      </c>
      <c r="J585" s="30">
        <v>10</v>
      </c>
      <c r="K585" s="30">
        <v>3000</v>
      </c>
      <c r="L585" s="31">
        <v>30000</v>
      </c>
      <c r="M585" s="1" t="s">
        <v>16</v>
      </c>
      <c r="N585" s="1" t="s">
        <v>17</v>
      </c>
      <c r="O585" s="1" t="s">
        <v>2057</v>
      </c>
      <c r="P585" s="1" t="s">
        <v>2056</v>
      </c>
      <c r="Q585" s="1" t="s">
        <v>1578</v>
      </c>
      <c r="R585" s="1">
        <f t="shared" si="9"/>
        <v>4</v>
      </c>
      <c r="S585" s="4">
        <f>J585*K585*M585</f>
        <v>2400</v>
      </c>
    </row>
    <row r="586" spans="1:19" ht="43" hidden="1" customHeight="1">
      <c r="A586" s="1" t="s">
        <v>2280</v>
      </c>
      <c r="B586" s="1" t="s">
        <v>379</v>
      </c>
      <c r="C586" s="29">
        <v>45959.6544954282</v>
      </c>
      <c r="D586" s="1" t="s">
        <v>3052</v>
      </c>
      <c r="E586" s="1" t="s">
        <v>3053</v>
      </c>
      <c r="F586" s="1">
        <v>25</v>
      </c>
      <c r="G586" s="12" t="s">
        <v>24</v>
      </c>
      <c r="H586" s="1" t="s">
        <v>24</v>
      </c>
      <c r="I586" s="1" t="s">
        <v>1259</v>
      </c>
      <c r="J586" s="30">
        <v>300</v>
      </c>
      <c r="K586" s="30">
        <v>2500</v>
      </c>
      <c r="L586" s="31">
        <v>750000</v>
      </c>
      <c r="M586" s="1" t="s">
        <v>16</v>
      </c>
      <c r="N586" s="1" t="s">
        <v>17</v>
      </c>
      <c r="O586" s="1" t="s">
        <v>2057</v>
      </c>
      <c r="P586" s="1" t="s">
        <v>2056</v>
      </c>
      <c r="Q586" s="1" t="s">
        <v>1578</v>
      </c>
      <c r="R586" s="1">
        <f t="shared" si="9"/>
        <v>4</v>
      </c>
      <c r="S586" s="4">
        <f>J586*K586*M586</f>
        <v>60000</v>
      </c>
    </row>
    <row r="587" spans="1:19" ht="43" hidden="1" customHeight="1">
      <c r="A587" s="1" t="s">
        <v>2280</v>
      </c>
      <c r="B587" s="1" t="s">
        <v>1445</v>
      </c>
      <c r="C587" s="29">
        <v>45958.591443275502</v>
      </c>
      <c r="D587" s="1" t="s">
        <v>3054</v>
      </c>
      <c r="E587" s="1" t="s">
        <v>3055</v>
      </c>
      <c r="F587" s="1">
        <v>2</v>
      </c>
      <c r="G587" s="12" t="s">
        <v>24</v>
      </c>
      <c r="H587" s="1" t="s">
        <v>24</v>
      </c>
      <c r="I587" s="1" t="s">
        <v>1259</v>
      </c>
      <c r="J587" s="30">
        <v>170</v>
      </c>
      <c r="K587" s="30">
        <v>3000</v>
      </c>
      <c r="L587" s="31">
        <v>510000</v>
      </c>
      <c r="M587" s="1" t="s">
        <v>16</v>
      </c>
      <c r="N587" s="1" t="s">
        <v>17</v>
      </c>
      <c r="O587" s="1" t="s">
        <v>2057</v>
      </c>
      <c r="P587" s="1" t="s">
        <v>2056</v>
      </c>
      <c r="Q587" s="1" t="s">
        <v>1581</v>
      </c>
      <c r="R587" s="1">
        <f t="shared" si="9"/>
        <v>4</v>
      </c>
      <c r="S587" s="4">
        <f>J587*K587*M587</f>
        <v>40800</v>
      </c>
    </row>
    <row r="588" spans="1:19" ht="43" hidden="1" customHeight="1">
      <c r="A588" s="1" t="s">
        <v>2280</v>
      </c>
      <c r="B588" s="1" t="s">
        <v>1462</v>
      </c>
      <c r="C588" s="29">
        <v>45928.944135983802</v>
      </c>
      <c r="D588" s="1" t="s">
        <v>3052</v>
      </c>
      <c r="E588" s="1" t="s">
        <v>3053</v>
      </c>
      <c r="F588" s="1">
        <v>20</v>
      </c>
      <c r="G588" s="12" t="s">
        <v>24</v>
      </c>
      <c r="H588" s="1" t="s">
        <v>24</v>
      </c>
      <c r="I588" s="1" t="s">
        <v>1259</v>
      </c>
      <c r="J588" s="30">
        <v>600</v>
      </c>
      <c r="K588" s="30">
        <v>3000</v>
      </c>
      <c r="L588" s="31">
        <v>1800000</v>
      </c>
      <c r="M588" s="1" t="s">
        <v>16</v>
      </c>
      <c r="N588" s="1" t="s">
        <v>17</v>
      </c>
      <c r="O588" s="1" t="s">
        <v>2057</v>
      </c>
      <c r="P588" s="1" t="s">
        <v>2056</v>
      </c>
      <c r="Q588" s="1" t="s">
        <v>546</v>
      </c>
      <c r="R588" s="1">
        <f t="shared" si="9"/>
        <v>3</v>
      </c>
      <c r="S588" s="4">
        <f>J588*K588*M588</f>
        <v>144000</v>
      </c>
    </row>
    <row r="589" spans="1:19" ht="43" hidden="1" customHeight="1">
      <c r="A589" s="1" t="s">
        <v>2280</v>
      </c>
      <c r="B589" s="1" t="s">
        <v>1467</v>
      </c>
      <c r="C589" s="29">
        <v>45928.732318564798</v>
      </c>
      <c r="D589" s="1" t="s">
        <v>3052</v>
      </c>
      <c r="E589" s="1" t="s">
        <v>3053</v>
      </c>
      <c r="F589" s="1">
        <v>46</v>
      </c>
      <c r="G589" s="12" t="s">
        <v>24</v>
      </c>
      <c r="H589" s="1" t="s">
        <v>24</v>
      </c>
      <c r="I589" s="1" t="s">
        <v>1259</v>
      </c>
      <c r="J589" s="30">
        <v>900</v>
      </c>
      <c r="K589" s="30">
        <v>3000</v>
      </c>
      <c r="L589" s="31">
        <v>2700000</v>
      </c>
      <c r="M589" s="1" t="s">
        <v>16</v>
      </c>
      <c r="N589" s="1" t="s">
        <v>17</v>
      </c>
      <c r="O589" s="1" t="s">
        <v>2057</v>
      </c>
      <c r="P589" s="1" t="s">
        <v>2056</v>
      </c>
      <c r="Q589" s="1" t="s">
        <v>546</v>
      </c>
      <c r="R589" s="1">
        <f t="shared" si="9"/>
        <v>3</v>
      </c>
      <c r="S589" s="4">
        <f>J589*K589*M589</f>
        <v>216000</v>
      </c>
    </row>
    <row r="590" spans="1:19" ht="43" hidden="1" customHeight="1">
      <c r="A590" s="1" t="s">
        <v>2280</v>
      </c>
      <c r="B590" s="1" t="s">
        <v>91</v>
      </c>
      <c r="C590" s="29">
        <v>45899.644512638901</v>
      </c>
      <c r="D590" s="1" t="s">
        <v>3052</v>
      </c>
      <c r="E590" s="1" t="s">
        <v>3053</v>
      </c>
      <c r="F590" s="1">
        <v>3</v>
      </c>
      <c r="G590" s="12" t="s">
        <v>24</v>
      </c>
      <c r="H590" s="1" t="s">
        <v>24</v>
      </c>
      <c r="I590" s="1" t="s">
        <v>1259</v>
      </c>
      <c r="J590" s="30">
        <v>2</v>
      </c>
      <c r="K590" s="30">
        <v>35000</v>
      </c>
      <c r="L590" s="31">
        <v>70000</v>
      </c>
      <c r="M590" s="1" t="s">
        <v>16</v>
      </c>
      <c r="N590" s="1" t="s">
        <v>17</v>
      </c>
      <c r="O590" s="1" t="s">
        <v>2057</v>
      </c>
      <c r="P590" s="1" t="s">
        <v>2056</v>
      </c>
      <c r="Q590" s="1" t="s">
        <v>636</v>
      </c>
      <c r="R590" s="1">
        <f t="shared" si="9"/>
        <v>3</v>
      </c>
      <c r="S590" s="4">
        <f>J590*K590*M590</f>
        <v>5600</v>
      </c>
    </row>
    <row r="591" spans="1:19" ht="43" hidden="1" customHeight="1">
      <c r="A591" s="1" t="s">
        <v>2280</v>
      </c>
      <c r="B591" s="1" t="s">
        <v>120</v>
      </c>
      <c r="C591" s="29">
        <v>45838.621748888901</v>
      </c>
      <c r="D591" s="1" t="s">
        <v>3052</v>
      </c>
      <c r="E591" s="1" t="s">
        <v>3053</v>
      </c>
      <c r="F591" s="1">
        <v>10</v>
      </c>
      <c r="G591" s="12" t="s">
        <v>1040</v>
      </c>
      <c r="H591" s="1" t="s">
        <v>1825</v>
      </c>
      <c r="I591" s="1" t="s">
        <v>130</v>
      </c>
      <c r="J591" s="30">
        <v>1</v>
      </c>
      <c r="K591" s="30">
        <v>1450000</v>
      </c>
      <c r="L591" s="31">
        <v>1450000</v>
      </c>
      <c r="M591" s="1" t="s">
        <v>16</v>
      </c>
      <c r="N591" s="1" t="s">
        <v>17</v>
      </c>
      <c r="O591" s="1" t="s">
        <v>2057</v>
      </c>
      <c r="P591" s="1" t="s">
        <v>2056</v>
      </c>
      <c r="Q591" s="1" t="s">
        <v>828</v>
      </c>
      <c r="R591" s="1">
        <f t="shared" si="9"/>
        <v>2</v>
      </c>
      <c r="S591" s="4">
        <f>J591*K591*M591</f>
        <v>116000</v>
      </c>
    </row>
    <row r="592" spans="1:19" ht="43" customHeight="1">
      <c r="A592" s="1" t="s">
        <v>2280</v>
      </c>
      <c r="B592" s="1" t="s">
        <v>1402</v>
      </c>
      <c r="C592" s="29">
        <v>45990.382403298601</v>
      </c>
      <c r="D592" s="1" t="s">
        <v>3052</v>
      </c>
      <c r="E592" s="1" t="s">
        <v>3053</v>
      </c>
      <c r="F592" s="1">
        <v>30</v>
      </c>
      <c r="H592" s="1" t="s">
        <v>80</v>
      </c>
      <c r="I592" s="1" t="s">
        <v>81</v>
      </c>
      <c r="J592" s="30">
        <v>56</v>
      </c>
      <c r="K592" s="30">
        <v>660000</v>
      </c>
      <c r="L592" s="31">
        <v>36960000</v>
      </c>
      <c r="M592" s="1" t="s">
        <v>16</v>
      </c>
      <c r="N592" s="1" t="s">
        <v>17</v>
      </c>
      <c r="O592" s="1" t="s">
        <v>2057</v>
      </c>
      <c r="P592" s="1" t="s">
        <v>2056</v>
      </c>
      <c r="Q592" s="1" t="s">
        <v>1531</v>
      </c>
      <c r="R592" s="1">
        <f t="shared" si="9"/>
        <v>4</v>
      </c>
      <c r="S592" s="4">
        <f>J592*K592*M592</f>
        <v>2956800</v>
      </c>
    </row>
    <row r="593" spans="1:19" ht="43" hidden="1" customHeight="1">
      <c r="A593" s="1" t="s">
        <v>2072</v>
      </c>
      <c r="B593" s="1" t="s">
        <v>1294</v>
      </c>
      <c r="C593" s="29">
        <v>46021.613942164397</v>
      </c>
      <c r="D593" s="1" t="s">
        <v>3052</v>
      </c>
      <c r="E593" s="1" t="s">
        <v>3053</v>
      </c>
      <c r="F593" s="1">
        <v>13</v>
      </c>
      <c r="G593" s="12" t="s">
        <v>1479</v>
      </c>
      <c r="H593" s="1" t="s">
        <v>1479</v>
      </c>
      <c r="I593" s="1" t="s">
        <v>192</v>
      </c>
      <c r="J593" s="30">
        <v>1</v>
      </c>
      <c r="K593" s="30">
        <v>1800000</v>
      </c>
      <c r="L593" s="31">
        <v>1800000</v>
      </c>
      <c r="M593" s="1" t="s">
        <v>16</v>
      </c>
      <c r="N593" s="1" t="s">
        <v>17</v>
      </c>
      <c r="O593" s="1" t="s">
        <v>2057</v>
      </c>
      <c r="P593" s="1" t="s">
        <v>2056</v>
      </c>
      <c r="Q593" s="1" t="s">
        <v>1474</v>
      </c>
      <c r="R593" s="1">
        <f t="shared" si="9"/>
        <v>4</v>
      </c>
      <c r="S593" s="4">
        <f>J593*K593*M593</f>
        <v>144000</v>
      </c>
    </row>
    <row r="594" spans="1:19" ht="43" customHeight="1">
      <c r="A594" s="1" t="s">
        <v>2280</v>
      </c>
      <c r="B594" s="1" t="s">
        <v>1262</v>
      </c>
      <c r="C594" s="29">
        <v>45838.622051655097</v>
      </c>
      <c r="D594" s="1" t="s">
        <v>3052</v>
      </c>
      <c r="E594" s="1" t="s">
        <v>3053</v>
      </c>
      <c r="F594" s="1">
        <v>13</v>
      </c>
      <c r="H594" s="1" t="s">
        <v>1808</v>
      </c>
      <c r="I594" s="1" t="s">
        <v>62</v>
      </c>
      <c r="J594" s="30">
        <v>6.54</v>
      </c>
      <c r="K594" s="30">
        <v>16818.18</v>
      </c>
      <c r="L594" s="31">
        <v>109990.9</v>
      </c>
      <c r="M594" s="1" t="s">
        <v>30</v>
      </c>
      <c r="N594" s="1" t="s">
        <v>17</v>
      </c>
      <c r="O594" s="1" t="s">
        <v>2057</v>
      </c>
      <c r="P594" s="1" t="s">
        <v>2056</v>
      </c>
      <c r="Q594" s="1" t="s">
        <v>828</v>
      </c>
      <c r="R594" s="1">
        <f t="shared" si="9"/>
        <v>2</v>
      </c>
      <c r="S594" s="4">
        <f>J594*K594*M594</f>
        <v>10999.089720000002</v>
      </c>
    </row>
    <row r="595" spans="1:19" ht="43" customHeight="1">
      <c r="A595" s="1" t="s">
        <v>2072</v>
      </c>
      <c r="B595" s="1" t="s">
        <v>194</v>
      </c>
      <c r="C595" s="29">
        <v>46013.422271064803</v>
      </c>
      <c r="D595" s="1" t="s">
        <v>3077</v>
      </c>
      <c r="E595" s="1" t="s">
        <v>3078</v>
      </c>
      <c r="F595" s="1">
        <v>2</v>
      </c>
      <c r="H595" s="1" t="s">
        <v>1510</v>
      </c>
      <c r="I595" s="1" t="s">
        <v>62</v>
      </c>
      <c r="J595" s="30">
        <v>830.4</v>
      </c>
      <c r="K595" s="30">
        <v>20000</v>
      </c>
      <c r="L595" s="31">
        <v>16608000</v>
      </c>
      <c r="M595" s="1" t="s">
        <v>30</v>
      </c>
      <c r="N595" s="1" t="s">
        <v>17</v>
      </c>
      <c r="O595" s="1" t="s">
        <v>2057</v>
      </c>
      <c r="P595" s="1" t="s">
        <v>2056</v>
      </c>
      <c r="Q595" s="1" t="s">
        <v>1508</v>
      </c>
      <c r="R595" s="1">
        <f t="shared" si="9"/>
        <v>4</v>
      </c>
      <c r="S595" s="4">
        <f>J595*K595*M595</f>
        <v>1660800</v>
      </c>
    </row>
    <row r="596" spans="1:19" ht="43" hidden="1" customHeight="1">
      <c r="A596" s="1" t="s">
        <v>2072</v>
      </c>
      <c r="B596" s="1" t="s">
        <v>1313</v>
      </c>
      <c r="C596" s="29">
        <v>46011.830061006898</v>
      </c>
      <c r="F596" s="1">
        <v>1</v>
      </c>
      <c r="G596" s="12" t="s">
        <v>159</v>
      </c>
      <c r="H596" s="1" t="s">
        <v>1298</v>
      </c>
      <c r="I596" s="1" t="s">
        <v>62</v>
      </c>
      <c r="J596" s="30">
        <v>4.4000000000000004</v>
      </c>
      <c r="K596" s="30">
        <v>57900</v>
      </c>
      <c r="L596" s="31">
        <v>254760</v>
      </c>
      <c r="M596" s="1" t="s">
        <v>30</v>
      </c>
      <c r="N596" s="1" t="s">
        <v>17</v>
      </c>
      <c r="O596" s="1" t="s">
        <v>2057</v>
      </c>
      <c r="P596" s="1" t="s">
        <v>2056</v>
      </c>
      <c r="Q596" s="1" t="s">
        <v>1473</v>
      </c>
      <c r="R596" s="1">
        <f t="shared" si="9"/>
        <v>4</v>
      </c>
      <c r="S596" s="4">
        <f>J596*K596*M596</f>
        <v>25476.000000000004</v>
      </c>
    </row>
    <row r="597" spans="1:19" ht="43" hidden="1" customHeight="1">
      <c r="A597" s="1" t="s">
        <v>2072</v>
      </c>
      <c r="B597" s="1" t="s">
        <v>717</v>
      </c>
      <c r="C597" s="29">
        <v>46020.384472314799</v>
      </c>
      <c r="D597" s="1" t="s">
        <v>3052</v>
      </c>
      <c r="E597" s="1" t="s">
        <v>3053</v>
      </c>
      <c r="F597" s="1">
        <v>3</v>
      </c>
      <c r="G597" s="12" t="s">
        <v>159</v>
      </c>
      <c r="H597" s="1" t="s">
        <v>159</v>
      </c>
      <c r="I597" s="1" t="s">
        <v>62</v>
      </c>
      <c r="J597" s="30">
        <v>2</v>
      </c>
      <c r="K597" s="30">
        <v>80000</v>
      </c>
      <c r="L597" s="31">
        <v>160000</v>
      </c>
      <c r="M597" s="1" t="s">
        <v>30</v>
      </c>
      <c r="N597" s="1" t="s">
        <v>17</v>
      </c>
      <c r="O597" s="1" t="s">
        <v>2057</v>
      </c>
      <c r="P597" s="1" t="s">
        <v>2056</v>
      </c>
      <c r="Q597" s="1" t="s">
        <v>275</v>
      </c>
      <c r="R597" s="1">
        <f t="shared" si="9"/>
        <v>4</v>
      </c>
      <c r="S597" s="4">
        <f>J597*K597*M597</f>
        <v>16000</v>
      </c>
    </row>
    <row r="598" spans="1:19" ht="43" hidden="1" customHeight="1">
      <c r="A598" s="1" t="s">
        <v>2072</v>
      </c>
      <c r="B598" s="1" t="s">
        <v>85</v>
      </c>
      <c r="C598" s="29">
        <v>46019.404046701398</v>
      </c>
      <c r="F598" s="1">
        <v>1</v>
      </c>
      <c r="G598" s="12" t="s">
        <v>159</v>
      </c>
      <c r="H598" s="1" t="s">
        <v>159</v>
      </c>
      <c r="I598" s="1" t="s">
        <v>62</v>
      </c>
      <c r="J598" s="30">
        <v>46</v>
      </c>
      <c r="K598" s="30">
        <v>59288.55</v>
      </c>
      <c r="L598" s="31">
        <v>2727273</v>
      </c>
      <c r="M598" s="1" t="s">
        <v>30</v>
      </c>
      <c r="N598" s="1" t="s">
        <v>17</v>
      </c>
      <c r="O598" s="1" t="s">
        <v>2057</v>
      </c>
      <c r="P598" s="1" t="s">
        <v>2056</v>
      </c>
      <c r="Q598" s="1" t="s">
        <v>260</v>
      </c>
      <c r="R598" s="1">
        <f t="shared" si="9"/>
        <v>4</v>
      </c>
      <c r="S598" s="4">
        <f>J598*K598*M598</f>
        <v>272727.33</v>
      </c>
    </row>
    <row r="599" spans="1:19" ht="43" hidden="1" customHeight="1">
      <c r="A599" s="1" t="s">
        <v>2072</v>
      </c>
      <c r="B599" s="1" t="s">
        <v>1303</v>
      </c>
      <c r="C599" s="29">
        <v>46016.909024074099</v>
      </c>
      <c r="F599" s="1">
        <v>1</v>
      </c>
      <c r="G599" s="12" t="s">
        <v>159</v>
      </c>
      <c r="H599" s="1" t="s">
        <v>159</v>
      </c>
      <c r="I599" s="1" t="s">
        <v>62</v>
      </c>
      <c r="J599" s="30">
        <v>32</v>
      </c>
      <c r="K599" s="30">
        <v>58806.8</v>
      </c>
      <c r="L599" s="31">
        <v>1881818</v>
      </c>
      <c r="M599" s="1" t="s">
        <v>30</v>
      </c>
      <c r="N599" s="1" t="s">
        <v>17</v>
      </c>
      <c r="O599" s="1" t="s">
        <v>2057</v>
      </c>
      <c r="P599" s="1" t="s">
        <v>2056</v>
      </c>
      <c r="Q599" s="1" t="s">
        <v>255</v>
      </c>
      <c r="R599" s="1">
        <f t="shared" si="9"/>
        <v>4</v>
      </c>
      <c r="S599" s="4">
        <f>J599*K599*M599</f>
        <v>188181.76000000001</v>
      </c>
    </row>
    <row r="600" spans="1:19" ht="43" hidden="1" customHeight="1">
      <c r="A600" s="1" t="s">
        <v>2072</v>
      </c>
      <c r="B600" s="1" t="s">
        <v>1341</v>
      </c>
      <c r="C600" s="29">
        <v>46011.832819432901</v>
      </c>
      <c r="F600" s="1">
        <v>1</v>
      </c>
      <c r="G600" s="12" t="s">
        <v>159</v>
      </c>
      <c r="H600" s="1" t="s">
        <v>159</v>
      </c>
      <c r="I600" s="1" t="s">
        <v>62</v>
      </c>
      <c r="J600" s="30">
        <v>1.3</v>
      </c>
      <c r="K600" s="30">
        <v>59450</v>
      </c>
      <c r="L600" s="31">
        <v>77285</v>
      </c>
      <c r="M600" s="1" t="s">
        <v>30</v>
      </c>
      <c r="N600" s="1" t="s">
        <v>17</v>
      </c>
      <c r="O600" s="1" t="s">
        <v>2057</v>
      </c>
      <c r="P600" s="1" t="s">
        <v>2056</v>
      </c>
      <c r="Q600" s="1" t="s">
        <v>1473</v>
      </c>
      <c r="R600" s="1">
        <f t="shared" si="9"/>
        <v>4</v>
      </c>
      <c r="S600" s="4">
        <f>J600*K600*M600</f>
        <v>7728.5</v>
      </c>
    </row>
    <row r="601" spans="1:19" ht="43" hidden="1" customHeight="1">
      <c r="A601" s="1" t="s">
        <v>2280</v>
      </c>
      <c r="B601" s="1" t="s">
        <v>861</v>
      </c>
      <c r="C601" s="29">
        <v>46006.604511273203</v>
      </c>
      <c r="F601" s="1">
        <v>1</v>
      </c>
      <c r="G601" s="12" t="s">
        <v>159</v>
      </c>
      <c r="H601" s="1" t="s">
        <v>1298</v>
      </c>
      <c r="I601" s="1" t="s">
        <v>62</v>
      </c>
      <c r="J601" s="30">
        <v>38.49</v>
      </c>
      <c r="K601" s="30">
        <v>60000</v>
      </c>
      <c r="L601" s="31">
        <v>2309400</v>
      </c>
      <c r="M601" s="1" t="s">
        <v>30</v>
      </c>
      <c r="N601" s="1" t="s">
        <v>17</v>
      </c>
      <c r="O601" s="1" t="s">
        <v>2057</v>
      </c>
      <c r="P601" s="1" t="s">
        <v>2056</v>
      </c>
      <c r="Q601" s="1" t="s">
        <v>284</v>
      </c>
      <c r="R601" s="1">
        <f t="shared" si="9"/>
        <v>4</v>
      </c>
      <c r="S601" s="4">
        <f>J601*K601*M601</f>
        <v>230940</v>
      </c>
    </row>
    <row r="602" spans="1:19" ht="43" hidden="1" customHeight="1">
      <c r="A602" s="1" t="s">
        <v>2280</v>
      </c>
      <c r="B602" s="1" t="s">
        <v>1391</v>
      </c>
      <c r="C602" s="29">
        <v>46003.931559722201</v>
      </c>
      <c r="F602" s="1">
        <v>1</v>
      </c>
      <c r="G602" s="12" t="s">
        <v>159</v>
      </c>
      <c r="H602" s="1" t="s">
        <v>159</v>
      </c>
      <c r="I602" s="1" t="s">
        <v>62</v>
      </c>
      <c r="J602" s="30">
        <v>145.94</v>
      </c>
      <c r="K602" s="30">
        <v>60000</v>
      </c>
      <c r="L602" s="31">
        <v>8756400</v>
      </c>
      <c r="M602" s="1" t="s">
        <v>30</v>
      </c>
      <c r="N602" s="1" t="s">
        <v>17</v>
      </c>
      <c r="O602" s="1" t="s">
        <v>2057</v>
      </c>
      <c r="P602" s="1" t="s">
        <v>2056</v>
      </c>
      <c r="Q602" s="1" t="s">
        <v>270</v>
      </c>
      <c r="R602" s="1">
        <f t="shared" si="9"/>
        <v>4</v>
      </c>
      <c r="S602" s="4">
        <f>J602*K602*M602</f>
        <v>875640</v>
      </c>
    </row>
    <row r="603" spans="1:19" ht="43" hidden="1" customHeight="1">
      <c r="A603" s="1" t="s">
        <v>2280</v>
      </c>
      <c r="B603" s="1" t="s">
        <v>1472</v>
      </c>
      <c r="C603" s="29">
        <v>45899.6448496991</v>
      </c>
      <c r="D603" s="1" t="s">
        <v>3052</v>
      </c>
      <c r="E603" s="1" t="s">
        <v>3053</v>
      </c>
      <c r="F603" s="1">
        <v>11</v>
      </c>
      <c r="G603" s="12" t="s">
        <v>159</v>
      </c>
      <c r="H603" s="1" t="s">
        <v>159</v>
      </c>
      <c r="I603" s="1" t="s">
        <v>62</v>
      </c>
      <c r="J603" s="30">
        <v>5</v>
      </c>
      <c r="K603" s="30">
        <v>75000</v>
      </c>
      <c r="L603" s="31">
        <v>375000</v>
      </c>
      <c r="M603" s="1" t="s">
        <v>30</v>
      </c>
      <c r="N603" s="1" t="s">
        <v>17</v>
      </c>
      <c r="O603" s="1" t="s">
        <v>2057</v>
      </c>
      <c r="P603" s="1" t="s">
        <v>2056</v>
      </c>
      <c r="Q603" s="1" t="s">
        <v>636</v>
      </c>
      <c r="R603" s="1">
        <f t="shared" si="9"/>
        <v>3</v>
      </c>
      <c r="S603" s="4">
        <f>J603*K603*M603</f>
        <v>37500</v>
      </c>
    </row>
    <row r="604" spans="1:19" ht="43" hidden="1" customHeight="1">
      <c r="A604" s="1" t="s">
        <v>2280</v>
      </c>
      <c r="B604" s="1" t="s">
        <v>1417</v>
      </c>
      <c r="C604" s="29">
        <v>45868.607072511601</v>
      </c>
      <c r="D604" s="1" t="s">
        <v>3052</v>
      </c>
      <c r="E604" s="1" t="s">
        <v>3053</v>
      </c>
      <c r="F604" s="1">
        <v>26</v>
      </c>
      <c r="G604" s="12" t="s">
        <v>159</v>
      </c>
      <c r="H604" s="1" t="s">
        <v>159</v>
      </c>
      <c r="I604" s="1" t="s">
        <v>62</v>
      </c>
      <c r="J604" s="30">
        <v>100</v>
      </c>
      <c r="K604" s="30">
        <v>61750</v>
      </c>
      <c r="L604" s="31">
        <v>6175000</v>
      </c>
      <c r="M604" s="1" t="s">
        <v>30</v>
      </c>
      <c r="N604" s="1" t="s">
        <v>17</v>
      </c>
      <c r="O604" s="1" t="s">
        <v>2057</v>
      </c>
      <c r="P604" s="1" t="s">
        <v>2056</v>
      </c>
      <c r="Q604" s="1" t="s">
        <v>800</v>
      </c>
      <c r="R604" s="1">
        <f t="shared" si="9"/>
        <v>3</v>
      </c>
      <c r="S604" s="4">
        <f>J604*K604*M604</f>
        <v>617500</v>
      </c>
    </row>
    <row r="605" spans="1:19" ht="43" hidden="1" customHeight="1">
      <c r="A605" s="1" t="s">
        <v>2280</v>
      </c>
      <c r="B605" s="1" t="s">
        <v>1419</v>
      </c>
      <c r="C605" s="29">
        <v>45866.749486990702</v>
      </c>
      <c r="D605" s="1" t="s">
        <v>3052</v>
      </c>
      <c r="E605" s="1" t="s">
        <v>3053</v>
      </c>
      <c r="F605" s="1">
        <v>30</v>
      </c>
      <c r="G605" s="12" t="s">
        <v>159</v>
      </c>
      <c r="H605" s="1" t="s">
        <v>159</v>
      </c>
      <c r="I605" s="1" t="s">
        <v>62</v>
      </c>
      <c r="J605" s="30">
        <v>80</v>
      </c>
      <c r="K605" s="30">
        <v>70000</v>
      </c>
      <c r="L605" s="31">
        <v>5600000</v>
      </c>
      <c r="M605" s="1" t="s">
        <v>30</v>
      </c>
      <c r="N605" s="1" t="s">
        <v>17</v>
      </c>
      <c r="O605" s="1" t="s">
        <v>2057</v>
      </c>
      <c r="P605" s="1" t="s">
        <v>2056</v>
      </c>
      <c r="Q605" s="1" t="s">
        <v>1763</v>
      </c>
      <c r="R605" s="1">
        <f t="shared" si="9"/>
        <v>3</v>
      </c>
      <c r="S605" s="4">
        <f>J605*K605*M605</f>
        <v>560000</v>
      </c>
    </row>
    <row r="606" spans="1:19" ht="43" hidden="1" customHeight="1">
      <c r="A606" s="1" t="s">
        <v>2280</v>
      </c>
      <c r="B606" s="1" t="s">
        <v>1267</v>
      </c>
      <c r="C606" s="29">
        <v>45836.662306689803</v>
      </c>
      <c r="D606" s="1" t="s">
        <v>3072</v>
      </c>
      <c r="E606" s="1" t="s">
        <v>3073</v>
      </c>
      <c r="F606" s="1">
        <v>9</v>
      </c>
      <c r="G606" s="12" t="s">
        <v>159</v>
      </c>
      <c r="H606" s="1" t="s">
        <v>159</v>
      </c>
      <c r="I606" s="1" t="s">
        <v>62</v>
      </c>
      <c r="J606" s="30">
        <v>120.1</v>
      </c>
      <c r="K606" s="30">
        <v>65200</v>
      </c>
      <c r="L606" s="31">
        <v>7830520</v>
      </c>
      <c r="M606" s="1" t="s">
        <v>30</v>
      </c>
      <c r="N606" s="1" t="s">
        <v>17</v>
      </c>
      <c r="O606" s="1" t="s">
        <v>2057</v>
      </c>
      <c r="P606" s="1" t="s">
        <v>2056</v>
      </c>
      <c r="Q606" s="1" t="s">
        <v>845</v>
      </c>
      <c r="R606" s="1">
        <f t="shared" si="9"/>
        <v>2</v>
      </c>
      <c r="S606" s="4">
        <f>J606*K606*M606</f>
        <v>783052</v>
      </c>
    </row>
    <row r="607" spans="1:19" ht="43" hidden="1" customHeight="1">
      <c r="A607" s="1" t="s">
        <v>2280</v>
      </c>
      <c r="B607" s="1" t="s">
        <v>1272</v>
      </c>
      <c r="C607" s="29">
        <v>45836.414122164402</v>
      </c>
      <c r="D607" s="1" t="s">
        <v>3052</v>
      </c>
      <c r="E607" s="1" t="s">
        <v>3053</v>
      </c>
      <c r="F607" s="1">
        <v>6</v>
      </c>
      <c r="G607" s="12" t="s">
        <v>159</v>
      </c>
      <c r="H607" s="1" t="s">
        <v>159</v>
      </c>
      <c r="I607" s="1" t="s">
        <v>62</v>
      </c>
      <c r="J607" s="30">
        <v>1</v>
      </c>
      <c r="K607" s="30">
        <v>70000</v>
      </c>
      <c r="L607" s="31">
        <v>70000</v>
      </c>
      <c r="M607" s="1" t="s">
        <v>30</v>
      </c>
      <c r="N607" s="1" t="s">
        <v>17</v>
      </c>
      <c r="O607" s="1" t="s">
        <v>2057</v>
      </c>
      <c r="P607" s="1" t="s">
        <v>2056</v>
      </c>
      <c r="Q607" s="1" t="s">
        <v>845</v>
      </c>
      <c r="R607" s="1">
        <f t="shared" si="9"/>
        <v>2</v>
      </c>
      <c r="S607" s="4">
        <f>J607*K607*M607</f>
        <v>7000</v>
      </c>
    </row>
    <row r="608" spans="1:19" ht="43" hidden="1" customHeight="1">
      <c r="A608" s="1" t="s">
        <v>2280</v>
      </c>
      <c r="B608" s="1" t="s">
        <v>1442</v>
      </c>
      <c r="C608" s="29">
        <v>45960.6594943866</v>
      </c>
      <c r="D608" s="1" t="s">
        <v>3052</v>
      </c>
      <c r="E608" s="1" t="s">
        <v>3053</v>
      </c>
      <c r="F608" s="1">
        <v>19</v>
      </c>
      <c r="G608" s="12" t="s">
        <v>2228</v>
      </c>
      <c r="H608" s="1" t="s">
        <v>490</v>
      </c>
      <c r="I608" s="1" t="s">
        <v>130</v>
      </c>
      <c r="J608" s="30">
        <v>1</v>
      </c>
      <c r="K608" s="30">
        <v>2650000</v>
      </c>
      <c r="L608" s="31">
        <v>2650000</v>
      </c>
      <c r="M608" s="1" t="s">
        <v>30</v>
      </c>
      <c r="N608" s="1" t="s">
        <v>17</v>
      </c>
      <c r="O608" s="1" t="s">
        <v>2057</v>
      </c>
      <c r="P608" s="1" t="s">
        <v>2056</v>
      </c>
      <c r="Q608" s="1" t="s">
        <v>533</v>
      </c>
      <c r="R608" s="1">
        <f t="shared" si="9"/>
        <v>4</v>
      </c>
      <c r="S608" s="4">
        <f>J608*K608*M608</f>
        <v>265000</v>
      </c>
    </row>
    <row r="609" spans="1:19" ht="43" hidden="1" customHeight="1">
      <c r="A609" s="1" t="s">
        <v>2280</v>
      </c>
      <c r="B609" s="1" t="s">
        <v>794</v>
      </c>
      <c r="C609" s="29">
        <v>45959.655037615703</v>
      </c>
      <c r="D609" s="1" t="s">
        <v>3052</v>
      </c>
      <c r="E609" s="1" t="s">
        <v>3053</v>
      </c>
      <c r="F609" s="1">
        <v>2</v>
      </c>
      <c r="G609" s="12" t="s">
        <v>488</v>
      </c>
      <c r="H609" s="1" t="s">
        <v>488</v>
      </c>
      <c r="I609" s="1" t="s">
        <v>130</v>
      </c>
      <c r="J609" s="30">
        <v>1</v>
      </c>
      <c r="K609" s="30">
        <v>2450000</v>
      </c>
      <c r="L609" s="31">
        <v>2450000</v>
      </c>
      <c r="M609" s="1" t="s">
        <v>30</v>
      </c>
      <c r="N609" s="1" t="s">
        <v>17</v>
      </c>
      <c r="O609" s="1" t="s">
        <v>2057</v>
      </c>
      <c r="P609" s="1" t="s">
        <v>2056</v>
      </c>
      <c r="Q609" s="1" t="s">
        <v>1578</v>
      </c>
      <c r="R609" s="1">
        <f t="shared" si="9"/>
        <v>4</v>
      </c>
      <c r="S609" s="4">
        <f>J609*K609*M609</f>
        <v>245000</v>
      </c>
    </row>
    <row r="610" spans="1:19" ht="43" hidden="1" customHeight="1">
      <c r="A610" s="1" t="s">
        <v>2072</v>
      </c>
      <c r="B610" s="1" t="s">
        <v>1294</v>
      </c>
      <c r="C610" s="29">
        <v>46021.613942164397</v>
      </c>
      <c r="D610" s="1" t="s">
        <v>3052</v>
      </c>
      <c r="E610" s="1" t="s">
        <v>3053</v>
      </c>
      <c r="F610" s="1">
        <v>73</v>
      </c>
      <c r="G610" s="12" t="s">
        <v>1491</v>
      </c>
      <c r="H610" s="1" t="s">
        <v>1491</v>
      </c>
      <c r="I610" s="1" t="s">
        <v>1279</v>
      </c>
      <c r="J610" s="30">
        <v>1</v>
      </c>
      <c r="K610" s="30">
        <v>520000</v>
      </c>
      <c r="L610" s="31">
        <v>520000</v>
      </c>
      <c r="M610" s="1" t="s">
        <v>16</v>
      </c>
      <c r="N610" s="1" t="s">
        <v>17</v>
      </c>
      <c r="O610" s="1" t="s">
        <v>2057</v>
      </c>
      <c r="P610" s="1" t="s">
        <v>2056</v>
      </c>
      <c r="Q610" s="1" t="s">
        <v>1474</v>
      </c>
      <c r="R610" s="1">
        <f t="shared" si="9"/>
        <v>4</v>
      </c>
      <c r="S610" s="4">
        <f>J610*K610*M610</f>
        <v>41600</v>
      </c>
    </row>
    <row r="611" spans="1:19" ht="43" hidden="1" customHeight="1">
      <c r="A611" s="1" t="s">
        <v>2280</v>
      </c>
      <c r="B611" s="1" t="s">
        <v>794</v>
      </c>
      <c r="C611" s="29">
        <v>45959.655037615703</v>
      </c>
      <c r="D611" s="1" t="s">
        <v>3052</v>
      </c>
      <c r="E611" s="1" t="s">
        <v>3053</v>
      </c>
      <c r="F611" s="1">
        <v>4</v>
      </c>
      <c r="G611" s="12" t="s">
        <v>219</v>
      </c>
      <c r="H611" s="1" t="s">
        <v>219</v>
      </c>
      <c r="I611" s="1" t="s">
        <v>1279</v>
      </c>
      <c r="J611" s="30">
        <v>1</v>
      </c>
      <c r="K611" s="30">
        <v>380000</v>
      </c>
      <c r="L611" s="31">
        <v>380000</v>
      </c>
      <c r="M611" s="1" t="s">
        <v>30</v>
      </c>
      <c r="N611" s="1" t="s">
        <v>17</v>
      </c>
      <c r="O611" s="1" t="s">
        <v>2057</v>
      </c>
      <c r="P611" s="1" t="s">
        <v>2056</v>
      </c>
      <c r="Q611" s="1" t="s">
        <v>1578</v>
      </c>
      <c r="R611" s="1">
        <f t="shared" si="9"/>
        <v>4</v>
      </c>
      <c r="S611" s="4">
        <f>J611*K611*M611</f>
        <v>38000</v>
      </c>
    </row>
    <row r="612" spans="1:19" ht="43" hidden="1" customHeight="1">
      <c r="A612" s="1" t="s">
        <v>2072</v>
      </c>
      <c r="B612" s="1" t="s">
        <v>1302</v>
      </c>
      <c r="C612" s="29">
        <v>46018.477279282401</v>
      </c>
      <c r="D612" s="1" t="s">
        <v>3054</v>
      </c>
      <c r="E612" s="1" t="s">
        <v>3055</v>
      </c>
      <c r="F612" s="1">
        <v>4</v>
      </c>
      <c r="G612" s="12" t="s">
        <v>224</v>
      </c>
      <c r="H612" s="1" t="s">
        <v>224</v>
      </c>
      <c r="I612" s="1" t="s">
        <v>130</v>
      </c>
      <c r="J612" s="30">
        <v>9</v>
      </c>
      <c r="K612" s="30">
        <v>25000</v>
      </c>
      <c r="L612" s="31">
        <v>225000</v>
      </c>
      <c r="M612" s="1" t="s">
        <v>16</v>
      </c>
      <c r="N612" s="1" t="s">
        <v>17</v>
      </c>
      <c r="O612" s="1" t="s">
        <v>2057</v>
      </c>
      <c r="P612" s="1" t="s">
        <v>2056</v>
      </c>
      <c r="Q612" s="1" t="s">
        <v>293</v>
      </c>
      <c r="R612" s="1">
        <f t="shared" si="9"/>
        <v>4</v>
      </c>
      <c r="S612" s="4">
        <f>J612*K612*M612</f>
        <v>18000</v>
      </c>
    </row>
    <row r="613" spans="1:19" ht="43" hidden="1" customHeight="1">
      <c r="A613" s="1" t="s">
        <v>2072</v>
      </c>
      <c r="B613" s="1" t="s">
        <v>146</v>
      </c>
      <c r="C613" s="29">
        <v>46020.386763703696</v>
      </c>
      <c r="D613" s="1" t="s">
        <v>3052</v>
      </c>
      <c r="E613" s="1" t="s">
        <v>3053</v>
      </c>
      <c r="F613" s="1">
        <v>27</v>
      </c>
      <c r="G613" s="12" t="s">
        <v>222</v>
      </c>
      <c r="H613" s="1" t="s">
        <v>222</v>
      </c>
      <c r="I613" s="1" t="s">
        <v>130</v>
      </c>
      <c r="J613" s="30">
        <v>1</v>
      </c>
      <c r="K613" s="30">
        <v>125000</v>
      </c>
      <c r="L613" s="31">
        <v>125000</v>
      </c>
      <c r="M613" s="1" t="s">
        <v>16</v>
      </c>
      <c r="N613" s="1" t="s">
        <v>17</v>
      </c>
      <c r="O613" s="1" t="s">
        <v>2057</v>
      </c>
      <c r="P613" s="1" t="s">
        <v>2056</v>
      </c>
      <c r="Q613" s="1" t="s">
        <v>275</v>
      </c>
      <c r="R613" s="1">
        <f t="shared" si="9"/>
        <v>4</v>
      </c>
      <c r="S613" s="4">
        <f>J613*K613*M613</f>
        <v>10000</v>
      </c>
    </row>
    <row r="614" spans="1:19" ht="43" hidden="1" customHeight="1">
      <c r="A614" s="1" t="s">
        <v>2072</v>
      </c>
      <c r="B614" s="1" t="s">
        <v>146</v>
      </c>
      <c r="C614" s="29">
        <v>46020.386763703696</v>
      </c>
      <c r="D614" s="1" t="s">
        <v>3052</v>
      </c>
      <c r="E614" s="1" t="s">
        <v>3053</v>
      </c>
      <c r="F614" s="1">
        <v>37</v>
      </c>
      <c r="G614" s="12" t="s">
        <v>311</v>
      </c>
      <c r="H614" s="1" t="s">
        <v>311</v>
      </c>
      <c r="I614" s="1" t="s">
        <v>130</v>
      </c>
      <c r="J614" s="30">
        <v>2</v>
      </c>
      <c r="K614" s="30">
        <v>35000</v>
      </c>
      <c r="L614" s="31">
        <v>70000</v>
      </c>
      <c r="M614" s="1" t="s">
        <v>16</v>
      </c>
      <c r="N614" s="1" t="s">
        <v>17</v>
      </c>
      <c r="O614" s="1" t="s">
        <v>2057</v>
      </c>
      <c r="P614" s="1" t="s">
        <v>2056</v>
      </c>
      <c r="Q614" s="1" t="s">
        <v>275</v>
      </c>
      <c r="R614" s="1">
        <f t="shared" si="9"/>
        <v>4</v>
      </c>
      <c r="S614" s="4">
        <f>J614*K614*M614</f>
        <v>5600</v>
      </c>
    </row>
    <row r="615" spans="1:19" ht="43" hidden="1" customHeight="1">
      <c r="A615" s="1" t="s">
        <v>2280</v>
      </c>
      <c r="B615" s="1" t="s">
        <v>1400</v>
      </c>
      <c r="C615" s="29">
        <v>45990.721094398097</v>
      </c>
      <c r="D615" s="1" t="s">
        <v>3052</v>
      </c>
      <c r="E615" s="1" t="s">
        <v>3053</v>
      </c>
      <c r="F615" s="1">
        <v>27</v>
      </c>
      <c r="G615" s="12" t="s">
        <v>311</v>
      </c>
      <c r="H615" s="1" t="s">
        <v>311</v>
      </c>
      <c r="I615" s="1" t="s">
        <v>130</v>
      </c>
      <c r="J615" s="30">
        <v>1</v>
      </c>
      <c r="K615" s="30">
        <v>70000</v>
      </c>
      <c r="L615" s="31">
        <v>70000</v>
      </c>
      <c r="M615" s="1" t="s">
        <v>16</v>
      </c>
      <c r="N615" s="1" t="s">
        <v>17</v>
      </c>
      <c r="O615" s="1" t="s">
        <v>2057</v>
      </c>
      <c r="P615" s="1" t="s">
        <v>2056</v>
      </c>
      <c r="Q615" s="1" t="s">
        <v>1531</v>
      </c>
      <c r="R615" s="1">
        <f t="shared" si="9"/>
        <v>4</v>
      </c>
      <c r="S615" s="4">
        <f>J615*K615*M615</f>
        <v>5600</v>
      </c>
    </row>
    <row r="616" spans="1:19" ht="43" hidden="1" customHeight="1">
      <c r="A616" s="1" t="s">
        <v>2280</v>
      </c>
      <c r="B616" s="1" t="s">
        <v>136</v>
      </c>
      <c r="C616" s="29">
        <v>45709.704236689802</v>
      </c>
      <c r="D616" s="1" t="s">
        <v>3052</v>
      </c>
      <c r="E616" s="1" t="s">
        <v>3053</v>
      </c>
      <c r="F616" s="1">
        <v>9</v>
      </c>
      <c r="G616" s="12" t="s">
        <v>1311</v>
      </c>
      <c r="H616" s="1" t="s">
        <v>1311</v>
      </c>
      <c r="I616" s="1" t="s">
        <v>173</v>
      </c>
      <c r="J616" s="30">
        <v>2</v>
      </c>
      <c r="K616" s="30">
        <v>1130000</v>
      </c>
      <c r="L616" s="31">
        <v>2260000</v>
      </c>
      <c r="M616" s="1" t="s">
        <v>30</v>
      </c>
      <c r="N616" s="1" t="s">
        <v>17</v>
      </c>
      <c r="O616" s="1" t="s">
        <v>2057</v>
      </c>
      <c r="P616" s="1" t="s">
        <v>2056</v>
      </c>
      <c r="Q616" s="1" t="s">
        <v>2040</v>
      </c>
      <c r="R616" s="1">
        <f t="shared" si="9"/>
        <v>1</v>
      </c>
      <c r="S616" s="4">
        <f>J616*K616*M616</f>
        <v>226000</v>
      </c>
    </row>
    <row r="617" spans="1:19" ht="43" hidden="1" customHeight="1">
      <c r="A617" s="1" t="s">
        <v>2280</v>
      </c>
      <c r="B617" s="1" t="s">
        <v>136</v>
      </c>
      <c r="C617" s="29">
        <v>45709.704236689802</v>
      </c>
      <c r="D617" s="1" t="s">
        <v>3052</v>
      </c>
      <c r="E617" s="1" t="s">
        <v>3053</v>
      </c>
      <c r="F617" s="1">
        <v>7</v>
      </c>
      <c r="G617" s="12" t="s">
        <v>501</v>
      </c>
      <c r="H617" s="1" t="s">
        <v>501</v>
      </c>
      <c r="I617" s="1" t="s">
        <v>513</v>
      </c>
      <c r="J617" s="30">
        <v>13</v>
      </c>
      <c r="K617" s="30">
        <v>245460</v>
      </c>
      <c r="L617" s="31">
        <v>3190980</v>
      </c>
      <c r="M617" s="1" t="s">
        <v>30</v>
      </c>
      <c r="N617" s="1" t="s">
        <v>17</v>
      </c>
      <c r="O617" s="1" t="s">
        <v>2057</v>
      </c>
      <c r="P617" s="1" t="s">
        <v>2056</v>
      </c>
      <c r="Q617" s="1" t="s">
        <v>2040</v>
      </c>
      <c r="R617" s="1">
        <f t="shared" si="9"/>
        <v>1</v>
      </c>
      <c r="S617" s="4">
        <f>J617*K617*M617</f>
        <v>319098</v>
      </c>
    </row>
    <row r="618" spans="1:19" ht="43" customHeight="1">
      <c r="A618" s="1" t="s">
        <v>2280</v>
      </c>
      <c r="B618" s="1" t="s">
        <v>194</v>
      </c>
      <c r="C618" s="29">
        <v>45747.667547175901</v>
      </c>
      <c r="D618" s="1" t="s">
        <v>3071</v>
      </c>
      <c r="E618" s="1" t="s">
        <v>3053</v>
      </c>
      <c r="F618" s="1">
        <v>8</v>
      </c>
      <c r="H618" s="1" t="s">
        <v>1995</v>
      </c>
      <c r="I618" s="1" t="s">
        <v>638</v>
      </c>
      <c r="J618" s="30">
        <v>6</v>
      </c>
      <c r="K618" s="30">
        <v>9091</v>
      </c>
      <c r="L618" s="31">
        <v>54546</v>
      </c>
      <c r="M618" s="1" t="s">
        <v>30</v>
      </c>
      <c r="N618" s="1" t="s">
        <v>17</v>
      </c>
      <c r="O618" s="1" t="s">
        <v>2057</v>
      </c>
      <c r="P618" s="1" t="s">
        <v>2056</v>
      </c>
      <c r="Q618" s="1" t="s">
        <v>42</v>
      </c>
      <c r="R618" s="1">
        <f t="shared" si="9"/>
        <v>1</v>
      </c>
      <c r="S618" s="4">
        <f>J618*K618*M618</f>
        <v>5454.6</v>
      </c>
    </row>
    <row r="619" spans="1:19" ht="43" customHeight="1">
      <c r="A619" s="1" t="s">
        <v>2280</v>
      </c>
      <c r="B619" s="1" t="s">
        <v>1158</v>
      </c>
      <c r="C619" s="29">
        <v>45868.606624756903</v>
      </c>
      <c r="D619" s="1" t="s">
        <v>3052</v>
      </c>
      <c r="E619" s="1" t="s">
        <v>3053</v>
      </c>
      <c r="F619" s="1">
        <v>18</v>
      </c>
      <c r="H619" s="1" t="s">
        <v>1754</v>
      </c>
      <c r="I619" s="1" t="s">
        <v>616</v>
      </c>
      <c r="J619" s="30">
        <v>2</v>
      </c>
      <c r="K619" s="30">
        <v>45000</v>
      </c>
      <c r="L619" s="31">
        <v>90000</v>
      </c>
      <c r="M619" s="1" t="s">
        <v>16</v>
      </c>
      <c r="N619" s="1" t="s">
        <v>17</v>
      </c>
      <c r="O619" s="1" t="s">
        <v>2057</v>
      </c>
      <c r="P619" s="1" t="s">
        <v>2056</v>
      </c>
      <c r="Q619" s="1" t="s">
        <v>800</v>
      </c>
      <c r="R619" s="1">
        <f t="shared" si="9"/>
        <v>3</v>
      </c>
      <c r="S619" s="4">
        <f>J619*K619*M619</f>
        <v>7200</v>
      </c>
    </row>
    <row r="620" spans="1:19" ht="43" hidden="1" customHeight="1">
      <c r="A620" s="1" t="s">
        <v>2072</v>
      </c>
      <c r="B620" s="1" t="s">
        <v>1294</v>
      </c>
      <c r="C620" s="29">
        <v>46021.613942164397</v>
      </c>
      <c r="D620" s="1" t="s">
        <v>3052</v>
      </c>
      <c r="E620" s="1" t="s">
        <v>3053</v>
      </c>
      <c r="F620" s="1">
        <v>21</v>
      </c>
      <c r="G620" s="12" t="s">
        <v>1321</v>
      </c>
      <c r="H620" s="1" t="s">
        <v>1321</v>
      </c>
      <c r="I620" s="1" t="s">
        <v>683</v>
      </c>
      <c r="J620" s="30">
        <v>18</v>
      </c>
      <c r="K620" s="30">
        <v>30000</v>
      </c>
      <c r="L620" s="31">
        <v>540000</v>
      </c>
      <c r="M620" s="1" t="s">
        <v>16</v>
      </c>
      <c r="N620" s="1" t="s">
        <v>17</v>
      </c>
      <c r="O620" s="1" t="s">
        <v>2057</v>
      </c>
      <c r="P620" s="1" t="s">
        <v>2056</v>
      </c>
      <c r="Q620" s="1" t="s">
        <v>1474</v>
      </c>
      <c r="R620" s="1">
        <f t="shared" si="9"/>
        <v>4</v>
      </c>
      <c r="S620" s="4">
        <f>J620*K620*M620</f>
        <v>43200</v>
      </c>
    </row>
    <row r="621" spans="1:19" ht="43" customHeight="1">
      <c r="A621" s="1" t="s">
        <v>2280</v>
      </c>
      <c r="B621" s="1" t="s">
        <v>1034</v>
      </c>
      <c r="C621" s="29">
        <v>45928.7317327778</v>
      </c>
      <c r="D621" s="1" t="s">
        <v>3052</v>
      </c>
      <c r="E621" s="1" t="s">
        <v>3053</v>
      </c>
      <c r="F621" s="1">
        <v>1</v>
      </c>
      <c r="H621" s="1" t="s">
        <v>1635</v>
      </c>
      <c r="I621" s="1" t="s">
        <v>638</v>
      </c>
      <c r="J621" s="30">
        <v>270</v>
      </c>
      <c r="K621" s="30">
        <v>6000</v>
      </c>
      <c r="L621" s="31">
        <v>1620000</v>
      </c>
      <c r="M621" s="1" t="s">
        <v>30</v>
      </c>
      <c r="N621" s="1" t="s">
        <v>17</v>
      </c>
      <c r="O621" s="1" t="s">
        <v>2057</v>
      </c>
      <c r="P621" s="1" t="s">
        <v>2056</v>
      </c>
      <c r="Q621" s="1" t="s">
        <v>546</v>
      </c>
      <c r="R621" s="1">
        <f t="shared" si="9"/>
        <v>3</v>
      </c>
      <c r="S621" s="4">
        <f>J621*K621*M621</f>
        <v>162000</v>
      </c>
    </row>
    <row r="622" spans="1:19" ht="43" customHeight="1">
      <c r="A622" s="1" t="s">
        <v>2280</v>
      </c>
      <c r="B622" s="1" t="s">
        <v>1158</v>
      </c>
      <c r="C622" s="29">
        <v>45868.606624756903</v>
      </c>
      <c r="D622" s="1" t="s">
        <v>3052</v>
      </c>
      <c r="E622" s="1" t="s">
        <v>3053</v>
      </c>
      <c r="F622" s="1">
        <v>11</v>
      </c>
      <c r="H622" s="1" t="s">
        <v>1751</v>
      </c>
      <c r="I622" s="1" t="s">
        <v>616</v>
      </c>
      <c r="J622" s="30">
        <v>2</v>
      </c>
      <c r="K622" s="30">
        <v>15000</v>
      </c>
      <c r="L622" s="31">
        <v>30000</v>
      </c>
      <c r="M622" s="1" t="s">
        <v>16</v>
      </c>
      <c r="N622" s="1" t="s">
        <v>17</v>
      </c>
      <c r="O622" s="1" t="s">
        <v>2057</v>
      </c>
      <c r="P622" s="1" t="s">
        <v>2056</v>
      </c>
      <c r="Q622" s="1" t="s">
        <v>800</v>
      </c>
      <c r="R622" s="1">
        <f t="shared" si="9"/>
        <v>3</v>
      </c>
      <c r="S622" s="4">
        <f>J622*K622*M622</f>
        <v>2400</v>
      </c>
    </row>
    <row r="623" spans="1:19" ht="43" hidden="1" customHeight="1">
      <c r="A623" s="1" t="s">
        <v>2280</v>
      </c>
      <c r="B623" s="1" t="s">
        <v>379</v>
      </c>
      <c r="C623" s="29">
        <v>45959.6544954282</v>
      </c>
      <c r="D623" s="1" t="s">
        <v>3052</v>
      </c>
      <c r="E623" s="1" t="s">
        <v>3053</v>
      </c>
      <c r="F623" s="1">
        <v>20</v>
      </c>
      <c r="G623" s="12" t="s">
        <v>1310</v>
      </c>
      <c r="H623" s="1" t="s">
        <v>1310</v>
      </c>
      <c r="I623" s="1" t="s">
        <v>62</v>
      </c>
      <c r="J623" s="30">
        <v>10</v>
      </c>
      <c r="K623" s="30">
        <v>10000</v>
      </c>
      <c r="L623" s="31">
        <v>100000</v>
      </c>
      <c r="M623" s="1" t="s">
        <v>16</v>
      </c>
      <c r="N623" s="1" t="s">
        <v>17</v>
      </c>
      <c r="O623" s="1" t="s">
        <v>2057</v>
      </c>
      <c r="P623" s="1" t="s">
        <v>2056</v>
      </c>
      <c r="Q623" s="1" t="s">
        <v>1578</v>
      </c>
      <c r="R623" s="1">
        <f t="shared" si="9"/>
        <v>4</v>
      </c>
      <c r="S623" s="4">
        <f>J623*K623*M623</f>
        <v>8000</v>
      </c>
    </row>
    <row r="624" spans="1:19" ht="43" hidden="1" customHeight="1">
      <c r="A624" s="1" t="s">
        <v>2280</v>
      </c>
      <c r="B624" s="1" t="s">
        <v>1419</v>
      </c>
      <c r="C624" s="29">
        <v>45866.749486990702</v>
      </c>
      <c r="D624" s="1" t="s">
        <v>3052</v>
      </c>
      <c r="E624" s="1" t="s">
        <v>3053</v>
      </c>
      <c r="F624" s="1">
        <v>26</v>
      </c>
      <c r="G624" s="12" t="s">
        <v>1310</v>
      </c>
      <c r="H624" s="1" t="s">
        <v>1310</v>
      </c>
      <c r="I624" s="1" t="s">
        <v>1322</v>
      </c>
      <c r="J624" s="30">
        <v>1</v>
      </c>
      <c r="K624" s="30">
        <v>55000</v>
      </c>
      <c r="L624" s="31">
        <v>55000</v>
      </c>
      <c r="M624" s="1" t="s">
        <v>30</v>
      </c>
      <c r="N624" s="1" t="s">
        <v>17</v>
      </c>
      <c r="O624" s="1" t="s">
        <v>2057</v>
      </c>
      <c r="P624" s="1" t="s">
        <v>2056</v>
      </c>
      <c r="Q624" s="1" t="s">
        <v>1763</v>
      </c>
      <c r="R624" s="1">
        <f t="shared" si="9"/>
        <v>3</v>
      </c>
      <c r="S624" s="4">
        <f>J624*K624*M624</f>
        <v>5500</v>
      </c>
    </row>
    <row r="625" spans="1:19" ht="43" customHeight="1">
      <c r="A625" s="1" t="s">
        <v>2280</v>
      </c>
      <c r="B625" s="1" t="s">
        <v>1158</v>
      </c>
      <c r="C625" s="29">
        <v>45868.606624756903</v>
      </c>
      <c r="D625" s="1" t="s">
        <v>3052</v>
      </c>
      <c r="E625" s="1" t="s">
        <v>3053</v>
      </c>
      <c r="F625" s="1">
        <v>12</v>
      </c>
      <c r="H625" s="1" t="s">
        <v>1752</v>
      </c>
      <c r="I625" s="1" t="s">
        <v>576</v>
      </c>
      <c r="J625" s="30">
        <v>1</v>
      </c>
      <c r="K625" s="30">
        <v>10000</v>
      </c>
      <c r="L625" s="31">
        <v>10000</v>
      </c>
      <c r="M625" s="1" t="s">
        <v>16</v>
      </c>
      <c r="N625" s="1" t="s">
        <v>17</v>
      </c>
      <c r="O625" s="1" t="s">
        <v>2057</v>
      </c>
      <c r="P625" s="1" t="s">
        <v>2056</v>
      </c>
      <c r="Q625" s="1" t="s">
        <v>800</v>
      </c>
      <c r="R625" s="1">
        <f t="shared" si="9"/>
        <v>3</v>
      </c>
      <c r="S625" s="4">
        <f>J625*K625*M625</f>
        <v>800</v>
      </c>
    </row>
    <row r="626" spans="1:19" ht="43" customHeight="1">
      <c r="A626" s="1" t="s">
        <v>2280</v>
      </c>
      <c r="B626" s="1" t="s">
        <v>1034</v>
      </c>
      <c r="C626" s="29">
        <v>45928.7317327778</v>
      </c>
      <c r="D626" s="1" t="s">
        <v>3052</v>
      </c>
      <c r="E626" s="1" t="s">
        <v>3053</v>
      </c>
      <c r="F626" s="1">
        <v>6</v>
      </c>
      <c r="H626" s="1" t="s">
        <v>1636</v>
      </c>
      <c r="I626" s="1" t="s">
        <v>1322</v>
      </c>
      <c r="J626" s="30">
        <v>5</v>
      </c>
      <c r="K626" s="30">
        <v>145790</v>
      </c>
      <c r="L626" s="31">
        <v>728950</v>
      </c>
      <c r="M626" s="1" t="s">
        <v>30</v>
      </c>
      <c r="N626" s="1" t="s">
        <v>17</v>
      </c>
      <c r="O626" s="1" t="s">
        <v>2057</v>
      </c>
      <c r="P626" s="1" t="s">
        <v>2056</v>
      </c>
      <c r="Q626" s="1" t="s">
        <v>546</v>
      </c>
      <c r="R626" s="1">
        <f t="shared" si="9"/>
        <v>3</v>
      </c>
      <c r="S626" s="4">
        <f>J626*K626*M626</f>
        <v>72895</v>
      </c>
    </row>
    <row r="627" spans="1:19" ht="43" hidden="1" customHeight="1">
      <c r="A627" s="1" t="s">
        <v>2280</v>
      </c>
      <c r="B627" s="1" t="s">
        <v>126</v>
      </c>
      <c r="C627" s="29">
        <v>45898.896719536999</v>
      </c>
      <c r="D627" s="1" t="s">
        <v>3052</v>
      </c>
      <c r="E627" s="1" t="s">
        <v>3053</v>
      </c>
      <c r="F627" s="1">
        <v>2</v>
      </c>
      <c r="G627" s="12" t="s">
        <v>732</v>
      </c>
      <c r="H627" s="1" t="s">
        <v>1709</v>
      </c>
      <c r="I627" s="1" t="s">
        <v>130</v>
      </c>
      <c r="J627" s="30">
        <v>1</v>
      </c>
      <c r="K627" s="30">
        <v>20000</v>
      </c>
      <c r="L627" s="31">
        <v>20000</v>
      </c>
      <c r="M627" s="1" t="s">
        <v>30</v>
      </c>
      <c r="N627" s="1" t="s">
        <v>17</v>
      </c>
      <c r="O627" s="1" t="s">
        <v>2057</v>
      </c>
      <c r="P627" s="1" t="s">
        <v>2056</v>
      </c>
      <c r="Q627" s="1" t="s">
        <v>652</v>
      </c>
      <c r="R627" s="1">
        <f t="shared" si="9"/>
        <v>3</v>
      </c>
      <c r="S627" s="4">
        <f>J627*K627*M627</f>
        <v>2000</v>
      </c>
    </row>
    <row r="628" spans="1:19" ht="43" hidden="1" customHeight="1">
      <c r="A628" s="1" t="s">
        <v>2280</v>
      </c>
      <c r="B628" s="1" t="s">
        <v>326</v>
      </c>
      <c r="C628" s="29">
        <v>45960.658345080999</v>
      </c>
      <c r="D628" s="1" t="s">
        <v>3052</v>
      </c>
      <c r="E628" s="1" t="s">
        <v>3053</v>
      </c>
      <c r="F628" s="1">
        <v>18</v>
      </c>
      <c r="G628" s="12" t="s">
        <v>732</v>
      </c>
      <c r="H628" s="1" t="s">
        <v>732</v>
      </c>
      <c r="I628" s="1" t="s">
        <v>576</v>
      </c>
      <c r="J628" s="30">
        <v>1</v>
      </c>
      <c r="K628" s="30">
        <v>50000</v>
      </c>
      <c r="L628" s="31">
        <v>50000</v>
      </c>
      <c r="M628" s="1" t="s">
        <v>16</v>
      </c>
      <c r="N628" s="1" t="s">
        <v>17</v>
      </c>
      <c r="O628" s="1" t="s">
        <v>2057</v>
      </c>
      <c r="P628" s="1" t="s">
        <v>2056</v>
      </c>
      <c r="Q628" s="1" t="s">
        <v>533</v>
      </c>
      <c r="R628" s="1">
        <f t="shared" si="9"/>
        <v>4</v>
      </c>
      <c r="S628" s="4">
        <f>J628*K628*M628</f>
        <v>4000</v>
      </c>
    </row>
    <row r="629" spans="1:19" ht="43" customHeight="1">
      <c r="A629" s="1" t="s">
        <v>2280</v>
      </c>
      <c r="B629" s="1" t="s">
        <v>1419</v>
      </c>
      <c r="C629" s="29">
        <v>45866.749486990702</v>
      </c>
      <c r="D629" s="1" t="s">
        <v>3052</v>
      </c>
      <c r="E629" s="1" t="s">
        <v>3053</v>
      </c>
      <c r="F629" s="1">
        <v>12</v>
      </c>
      <c r="H629" s="1" t="s">
        <v>1767</v>
      </c>
      <c r="I629" s="1" t="s">
        <v>81</v>
      </c>
      <c r="J629" s="30">
        <v>10</v>
      </c>
      <c r="K629" s="30">
        <v>500000</v>
      </c>
      <c r="L629" s="31">
        <v>5000000</v>
      </c>
      <c r="M629" s="1" t="s">
        <v>30</v>
      </c>
      <c r="N629" s="1" t="s">
        <v>17</v>
      </c>
      <c r="O629" s="1" t="s">
        <v>2057</v>
      </c>
      <c r="P629" s="1" t="s">
        <v>2056</v>
      </c>
      <c r="Q629" s="1" t="s">
        <v>1763</v>
      </c>
      <c r="R629" s="1">
        <f t="shared" si="9"/>
        <v>3</v>
      </c>
      <c r="S629" s="4">
        <f>J629*K629*M629</f>
        <v>500000</v>
      </c>
    </row>
    <row r="630" spans="1:19" ht="43" hidden="1" customHeight="1">
      <c r="A630" s="1" t="s">
        <v>2280</v>
      </c>
      <c r="B630" s="1" t="s">
        <v>1315</v>
      </c>
      <c r="C630" s="29">
        <v>45747.658940451402</v>
      </c>
      <c r="D630" s="1" t="s">
        <v>3071</v>
      </c>
      <c r="E630" s="1" t="s">
        <v>3053</v>
      </c>
      <c r="F630" s="1">
        <v>9</v>
      </c>
      <c r="G630" s="12" t="s">
        <v>1137</v>
      </c>
      <c r="H630" s="1" t="s">
        <v>2004</v>
      </c>
      <c r="I630" s="1" t="s">
        <v>130</v>
      </c>
      <c r="J630" s="30">
        <v>1</v>
      </c>
      <c r="K630" s="30">
        <v>310000</v>
      </c>
      <c r="L630" s="31">
        <v>310000</v>
      </c>
      <c r="M630" s="1" t="s">
        <v>30</v>
      </c>
      <c r="N630" s="1" t="s">
        <v>17</v>
      </c>
      <c r="O630" s="1" t="s">
        <v>2057</v>
      </c>
      <c r="P630" s="1" t="s">
        <v>2056</v>
      </c>
      <c r="Q630" s="1" t="s">
        <v>42</v>
      </c>
      <c r="R630" s="1">
        <f t="shared" si="9"/>
        <v>1</v>
      </c>
      <c r="S630" s="4">
        <f>J630*K630*M630</f>
        <v>31000</v>
      </c>
    </row>
    <row r="631" spans="1:19" ht="43" hidden="1" customHeight="1">
      <c r="A631" s="1" t="s">
        <v>2280</v>
      </c>
      <c r="B631" s="1" t="s">
        <v>1315</v>
      </c>
      <c r="C631" s="29">
        <v>45747.658940451402</v>
      </c>
      <c r="D631" s="1" t="s">
        <v>3071</v>
      </c>
      <c r="E631" s="1" t="s">
        <v>3053</v>
      </c>
      <c r="F631" s="1">
        <v>39</v>
      </c>
      <c r="G631" s="12" t="s">
        <v>1138</v>
      </c>
      <c r="H631" s="1" t="s">
        <v>1138</v>
      </c>
      <c r="I631" s="1" t="s">
        <v>130</v>
      </c>
      <c r="J631" s="30">
        <v>1</v>
      </c>
      <c r="K631" s="30">
        <v>395000</v>
      </c>
      <c r="L631" s="31">
        <v>395000</v>
      </c>
      <c r="M631" s="1" t="s">
        <v>30</v>
      </c>
      <c r="N631" s="1" t="s">
        <v>17</v>
      </c>
      <c r="O631" s="1" t="s">
        <v>2057</v>
      </c>
      <c r="P631" s="1" t="s">
        <v>2056</v>
      </c>
      <c r="Q631" s="1" t="s">
        <v>42</v>
      </c>
      <c r="R631" s="1">
        <f t="shared" si="9"/>
        <v>1</v>
      </c>
      <c r="S631" s="4">
        <f>J631*K631*M631</f>
        <v>39500</v>
      </c>
    </row>
    <row r="632" spans="1:19" ht="43" hidden="1" customHeight="1">
      <c r="A632" s="1" t="s">
        <v>2072</v>
      </c>
      <c r="B632" s="1" t="s">
        <v>1294</v>
      </c>
      <c r="C632" s="29">
        <v>46021.613942164397</v>
      </c>
      <c r="D632" s="1" t="s">
        <v>3052</v>
      </c>
      <c r="E632" s="1" t="s">
        <v>3053</v>
      </c>
      <c r="F632" s="1">
        <v>59</v>
      </c>
      <c r="G632" s="12" t="s">
        <v>129</v>
      </c>
      <c r="H632" s="1" t="s">
        <v>129</v>
      </c>
      <c r="I632" s="1" t="s">
        <v>130</v>
      </c>
      <c r="J632" s="30">
        <v>10</v>
      </c>
      <c r="K632" s="30">
        <v>38000</v>
      </c>
      <c r="L632" s="31">
        <v>380000</v>
      </c>
      <c r="M632" s="1" t="s">
        <v>16</v>
      </c>
      <c r="N632" s="1" t="s">
        <v>17</v>
      </c>
      <c r="O632" s="1" t="s">
        <v>2057</v>
      </c>
      <c r="P632" s="1" t="s">
        <v>2056</v>
      </c>
      <c r="Q632" s="1" t="s">
        <v>1474</v>
      </c>
      <c r="R632" s="1">
        <f t="shared" si="9"/>
        <v>4</v>
      </c>
      <c r="S632" s="4">
        <f>J632*K632*M632</f>
        <v>30400</v>
      </c>
    </row>
    <row r="633" spans="1:19" ht="43" hidden="1" customHeight="1">
      <c r="A633" s="1" t="s">
        <v>2280</v>
      </c>
      <c r="B633" s="1" t="s">
        <v>1442</v>
      </c>
      <c r="C633" s="29">
        <v>45960.6594943866</v>
      </c>
      <c r="D633" s="1" t="s">
        <v>3052</v>
      </c>
      <c r="E633" s="1" t="s">
        <v>3053</v>
      </c>
      <c r="F633" s="1">
        <v>12</v>
      </c>
      <c r="G633" s="12" t="s">
        <v>129</v>
      </c>
      <c r="H633" s="1" t="s">
        <v>129</v>
      </c>
      <c r="I633" s="1" t="s">
        <v>130</v>
      </c>
      <c r="J633" s="30">
        <v>4</v>
      </c>
      <c r="K633" s="30">
        <v>65000</v>
      </c>
      <c r="L633" s="31">
        <v>260000</v>
      </c>
      <c r="M633" s="1" t="s">
        <v>30</v>
      </c>
      <c r="N633" s="1" t="s">
        <v>17</v>
      </c>
      <c r="O633" s="1" t="s">
        <v>2057</v>
      </c>
      <c r="P633" s="1" t="s">
        <v>2056</v>
      </c>
      <c r="Q633" s="1" t="s">
        <v>533</v>
      </c>
      <c r="R633" s="1">
        <f t="shared" si="9"/>
        <v>4</v>
      </c>
      <c r="S633" s="4">
        <f>J633*K633*M633</f>
        <v>26000</v>
      </c>
    </row>
    <row r="634" spans="1:19" ht="43" hidden="1" customHeight="1">
      <c r="A634" s="1" t="s">
        <v>2280</v>
      </c>
      <c r="B634" s="1" t="s">
        <v>188</v>
      </c>
      <c r="C634" s="29">
        <v>45928.944600393501</v>
      </c>
      <c r="D634" s="1" t="s">
        <v>3052</v>
      </c>
      <c r="E634" s="1" t="s">
        <v>3053</v>
      </c>
      <c r="F634" s="1">
        <v>18</v>
      </c>
      <c r="G634" s="12" t="s">
        <v>129</v>
      </c>
      <c r="H634" s="1" t="s">
        <v>129</v>
      </c>
      <c r="I634" s="1" t="s">
        <v>130</v>
      </c>
      <c r="J634" s="30">
        <v>10</v>
      </c>
      <c r="K634" s="30">
        <v>10000</v>
      </c>
      <c r="L634" s="31">
        <v>100000</v>
      </c>
      <c r="M634" s="1" t="s">
        <v>30</v>
      </c>
      <c r="N634" s="1" t="s">
        <v>17</v>
      </c>
      <c r="O634" s="1" t="s">
        <v>2057</v>
      </c>
      <c r="P634" s="1" t="s">
        <v>2056</v>
      </c>
      <c r="Q634" s="1" t="s">
        <v>546</v>
      </c>
      <c r="R634" s="1">
        <f t="shared" si="9"/>
        <v>3</v>
      </c>
      <c r="S634" s="4">
        <f>J634*K634*M634</f>
        <v>10000</v>
      </c>
    </row>
    <row r="635" spans="1:19" ht="43" hidden="1" customHeight="1">
      <c r="A635" s="1" t="s">
        <v>2280</v>
      </c>
      <c r="B635" s="1" t="s">
        <v>1419</v>
      </c>
      <c r="C635" s="29">
        <v>45866.749486990702</v>
      </c>
      <c r="D635" s="1" t="s">
        <v>3052</v>
      </c>
      <c r="E635" s="1" t="s">
        <v>3053</v>
      </c>
      <c r="F635" s="1">
        <v>10</v>
      </c>
      <c r="G635" s="12" t="s">
        <v>129</v>
      </c>
      <c r="H635" s="1" t="s">
        <v>129</v>
      </c>
      <c r="I635" s="1" t="s">
        <v>130</v>
      </c>
      <c r="J635" s="30">
        <v>400</v>
      </c>
      <c r="K635" s="30">
        <v>6000</v>
      </c>
      <c r="L635" s="31">
        <v>2400000</v>
      </c>
      <c r="M635" s="1" t="s">
        <v>30</v>
      </c>
      <c r="N635" s="1" t="s">
        <v>17</v>
      </c>
      <c r="O635" s="1" t="s">
        <v>2057</v>
      </c>
      <c r="P635" s="1" t="s">
        <v>2056</v>
      </c>
      <c r="Q635" s="1" t="s">
        <v>1763</v>
      </c>
      <c r="R635" s="1">
        <f t="shared" si="9"/>
        <v>3</v>
      </c>
      <c r="S635" s="4">
        <f>J635*K635*M635</f>
        <v>240000</v>
      </c>
    </row>
    <row r="636" spans="1:19" ht="43" hidden="1" customHeight="1">
      <c r="A636" s="1" t="s">
        <v>2072</v>
      </c>
      <c r="B636" s="1" t="s">
        <v>1294</v>
      </c>
      <c r="C636" s="29">
        <v>46021.613942164397</v>
      </c>
      <c r="D636" s="1" t="s">
        <v>3052</v>
      </c>
      <c r="E636" s="1" t="s">
        <v>3053</v>
      </c>
      <c r="F636" s="1">
        <v>10</v>
      </c>
      <c r="G636" s="12" t="s">
        <v>1437</v>
      </c>
      <c r="H636" s="1" t="s">
        <v>1437</v>
      </c>
      <c r="I636" s="1" t="s">
        <v>130</v>
      </c>
      <c r="J636" s="30">
        <v>10</v>
      </c>
      <c r="K636" s="30">
        <v>38000</v>
      </c>
      <c r="L636" s="31">
        <v>380000</v>
      </c>
      <c r="M636" s="1" t="s">
        <v>16</v>
      </c>
      <c r="N636" s="1" t="s">
        <v>17</v>
      </c>
      <c r="O636" s="1" t="s">
        <v>2057</v>
      </c>
      <c r="P636" s="1" t="s">
        <v>2056</v>
      </c>
      <c r="Q636" s="1" t="s">
        <v>1474</v>
      </c>
      <c r="R636" s="1">
        <f t="shared" si="9"/>
        <v>4</v>
      </c>
      <c r="S636" s="4">
        <f>J636*K636*M636</f>
        <v>30400</v>
      </c>
    </row>
    <row r="637" spans="1:19" ht="43" hidden="1" customHeight="1">
      <c r="A637" s="1" t="s">
        <v>2280</v>
      </c>
      <c r="B637" s="1" t="s">
        <v>379</v>
      </c>
      <c r="C637" s="29">
        <v>45959.6544954282</v>
      </c>
      <c r="D637" s="1" t="s">
        <v>3052</v>
      </c>
      <c r="E637" s="1" t="s">
        <v>3053</v>
      </c>
      <c r="F637" s="1">
        <v>11</v>
      </c>
      <c r="G637" s="12" t="s">
        <v>1437</v>
      </c>
      <c r="H637" s="1" t="s">
        <v>1437</v>
      </c>
      <c r="I637" s="1" t="s">
        <v>130</v>
      </c>
      <c r="J637" s="30">
        <v>10</v>
      </c>
      <c r="K637" s="30">
        <v>160000</v>
      </c>
      <c r="L637" s="31">
        <v>1600000</v>
      </c>
      <c r="M637" s="1" t="s">
        <v>16</v>
      </c>
      <c r="N637" s="1" t="s">
        <v>17</v>
      </c>
      <c r="O637" s="1" t="s">
        <v>2057</v>
      </c>
      <c r="P637" s="1" t="s">
        <v>2056</v>
      </c>
      <c r="Q637" s="1" t="s">
        <v>1578</v>
      </c>
      <c r="R637" s="1">
        <f t="shared" si="9"/>
        <v>4</v>
      </c>
      <c r="S637" s="4">
        <f>J637*K637*M637</f>
        <v>128000</v>
      </c>
    </row>
    <row r="638" spans="1:19" ht="43" hidden="1" customHeight="1">
      <c r="A638" s="1" t="s">
        <v>2280</v>
      </c>
      <c r="B638" s="1" t="s">
        <v>188</v>
      </c>
      <c r="C638" s="29">
        <v>45928.944600393501</v>
      </c>
      <c r="D638" s="1" t="s">
        <v>3052</v>
      </c>
      <c r="E638" s="1" t="s">
        <v>3053</v>
      </c>
      <c r="F638" s="1">
        <v>16</v>
      </c>
      <c r="G638" s="12" t="s">
        <v>1437</v>
      </c>
      <c r="H638" s="1" t="s">
        <v>1437</v>
      </c>
      <c r="I638" s="1" t="s">
        <v>130</v>
      </c>
      <c r="J638" s="30">
        <v>2</v>
      </c>
      <c r="K638" s="30">
        <v>30000</v>
      </c>
      <c r="L638" s="31">
        <v>60000</v>
      </c>
      <c r="M638" s="1" t="s">
        <v>30</v>
      </c>
      <c r="N638" s="1" t="s">
        <v>17</v>
      </c>
      <c r="O638" s="1" t="s">
        <v>2057</v>
      </c>
      <c r="P638" s="1" t="s">
        <v>2056</v>
      </c>
      <c r="Q638" s="1" t="s">
        <v>546</v>
      </c>
      <c r="R638" s="1">
        <f t="shared" si="9"/>
        <v>3</v>
      </c>
      <c r="S638" s="4">
        <f>J638*K638*M638</f>
        <v>6000</v>
      </c>
    </row>
    <row r="639" spans="1:19" ht="43" hidden="1" customHeight="1">
      <c r="A639" s="1" t="s">
        <v>2280</v>
      </c>
      <c r="B639" s="1" t="s">
        <v>1143</v>
      </c>
      <c r="C639" s="29">
        <v>45926.638938830998</v>
      </c>
      <c r="D639" s="1" t="s">
        <v>3056</v>
      </c>
      <c r="E639" s="1" t="s">
        <v>3057</v>
      </c>
      <c r="F639" s="1">
        <v>6</v>
      </c>
      <c r="G639" s="12" t="s">
        <v>1437</v>
      </c>
      <c r="H639" s="1" t="s">
        <v>1437</v>
      </c>
      <c r="I639" s="1" t="s">
        <v>130</v>
      </c>
      <c r="J639" s="30">
        <v>1</v>
      </c>
      <c r="K639" s="30">
        <v>30000</v>
      </c>
      <c r="L639" s="31">
        <v>30000</v>
      </c>
      <c r="M639" s="1" t="s">
        <v>30</v>
      </c>
      <c r="N639" s="1" t="s">
        <v>17</v>
      </c>
      <c r="O639" s="1" t="s">
        <v>2057</v>
      </c>
      <c r="P639" s="1" t="s">
        <v>2056</v>
      </c>
      <c r="Q639" s="1" t="s">
        <v>558</v>
      </c>
      <c r="R639" s="1">
        <f t="shared" si="9"/>
        <v>3</v>
      </c>
      <c r="S639" s="4">
        <f>J639*K639*M639</f>
        <v>3000</v>
      </c>
    </row>
    <row r="640" spans="1:19" ht="43" hidden="1" customHeight="1">
      <c r="A640" s="1" t="s">
        <v>2280</v>
      </c>
      <c r="B640" s="1" t="s">
        <v>1472</v>
      </c>
      <c r="C640" s="29">
        <v>45899.6448496991</v>
      </c>
      <c r="D640" s="1" t="s">
        <v>3052</v>
      </c>
      <c r="E640" s="1" t="s">
        <v>3053</v>
      </c>
      <c r="F640" s="1">
        <v>6</v>
      </c>
      <c r="G640" s="12" t="s">
        <v>1437</v>
      </c>
      <c r="H640" s="1" t="s">
        <v>1437</v>
      </c>
      <c r="I640" s="1" t="s">
        <v>130</v>
      </c>
      <c r="J640" s="30">
        <v>41</v>
      </c>
      <c r="K640" s="30">
        <v>6000</v>
      </c>
      <c r="L640" s="31">
        <v>246000</v>
      </c>
      <c r="M640" s="1" t="s">
        <v>30</v>
      </c>
      <c r="N640" s="1" t="s">
        <v>17</v>
      </c>
      <c r="O640" s="1" t="s">
        <v>2057</v>
      </c>
      <c r="P640" s="1" t="s">
        <v>2056</v>
      </c>
      <c r="Q640" s="1" t="s">
        <v>636</v>
      </c>
      <c r="R640" s="1">
        <f t="shared" si="9"/>
        <v>3</v>
      </c>
      <c r="S640" s="4">
        <f>J640*K640*M640</f>
        <v>24600</v>
      </c>
    </row>
    <row r="641" spans="1:19" ht="43" hidden="1" customHeight="1">
      <c r="A641" s="1" t="s">
        <v>2280</v>
      </c>
      <c r="B641" s="1" t="s">
        <v>1262</v>
      </c>
      <c r="C641" s="29">
        <v>45838.622051655097</v>
      </c>
      <c r="D641" s="1" t="s">
        <v>3052</v>
      </c>
      <c r="E641" s="1" t="s">
        <v>3053</v>
      </c>
      <c r="F641" s="1">
        <v>26</v>
      </c>
      <c r="G641" s="12" t="s">
        <v>1437</v>
      </c>
      <c r="H641" s="1" t="s">
        <v>1437</v>
      </c>
      <c r="I641" s="1" t="s">
        <v>130</v>
      </c>
      <c r="J641" s="30">
        <v>1</v>
      </c>
      <c r="K641" s="30">
        <v>220000</v>
      </c>
      <c r="L641" s="31">
        <v>220000</v>
      </c>
      <c r="M641" s="1" t="s">
        <v>30</v>
      </c>
      <c r="N641" s="1" t="s">
        <v>17</v>
      </c>
      <c r="O641" s="1" t="s">
        <v>2057</v>
      </c>
      <c r="P641" s="1" t="s">
        <v>2056</v>
      </c>
      <c r="Q641" s="1" t="s">
        <v>828</v>
      </c>
      <c r="R641" s="1">
        <f t="shared" si="9"/>
        <v>2</v>
      </c>
      <c r="S641" s="4">
        <f>J641*K641*M641</f>
        <v>22000</v>
      </c>
    </row>
    <row r="642" spans="1:19" ht="43" hidden="1" customHeight="1">
      <c r="A642" s="1" t="s">
        <v>2280</v>
      </c>
      <c r="B642" s="1" t="s">
        <v>136</v>
      </c>
      <c r="C642" s="29">
        <v>45709.704236689802</v>
      </c>
      <c r="D642" s="1" t="s">
        <v>3052</v>
      </c>
      <c r="E642" s="1" t="s">
        <v>3053</v>
      </c>
      <c r="F642" s="1">
        <v>4</v>
      </c>
      <c r="G642" s="12" t="s">
        <v>1437</v>
      </c>
      <c r="H642" s="1" t="s">
        <v>1437</v>
      </c>
      <c r="I642" s="1" t="s">
        <v>130</v>
      </c>
      <c r="J642" s="30">
        <v>10</v>
      </c>
      <c r="K642" s="30">
        <v>6400</v>
      </c>
      <c r="L642" s="31">
        <v>64000</v>
      </c>
      <c r="M642" s="1" t="s">
        <v>30</v>
      </c>
      <c r="N642" s="1" t="s">
        <v>17</v>
      </c>
      <c r="O642" s="1" t="s">
        <v>2057</v>
      </c>
      <c r="P642" s="1" t="s">
        <v>2056</v>
      </c>
      <c r="Q642" s="1" t="s">
        <v>2040</v>
      </c>
      <c r="R642" s="1">
        <f t="shared" si="9"/>
        <v>1</v>
      </c>
      <c r="S642" s="4">
        <f>J642*K642*M642</f>
        <v>6400</v>
      </c>
    </row>
    <row r="643" spans="1:19" ht="43" hidden="1" customHeight="1">
      <c r="A643" s="1" t="s">
        <v>2280</v>
      </c>
      <c r="B643" s="1" t="s">
        <v>1315</v>
      </c>
      <c r="C643" s="29">
        <v>45747.658940451402</v>
      </c>
      <c r="D643" s="1" t="s">
        <v>3071</v>
      </c>
      <c r="E643" s="1" t="s">
        <v>3053</v>
      </c>
      <c r="F643" s="1">
        <v>22</v>
      </c>
      <c r="G643" s="12" t="s">
        <v>1137</v>
      </c>
      <c r="H643" s="1" t="s">
        <v>2016</v>
      </c>
      <c r="I643" s="1" t="s">
        <v>130</v>
      </c>
      <c r="J643" s="30">
        <v>1</v>
      </c>
      <c r="K643" s="30">
        <v>395000</v>
      </c>
      <c r="L643" s="31">
        <v>395000</v>
      </c>
      <c r="M643" s="1" t="s">
        <v>30</v>
      </c>
      <c r="N643" s="1" t="s">
        <v>17</v>
      </c>
      <c r="O643" s="1" t="s">
        <v>2057</v>
      </c>
      <c r="P643" s="1" t="s">
        <v>2056</v>
      </c>
      <c r="Q643" s="1" t="s">
        <v>42</v>
      </c>
      <c r="R643" s="1">
        <f t="shared" ref="R643:R706" si="10">ROUNDUP(MONTH(Q643)/3,0)</f>
        <v>1</v>
      </c>
      <c r="S643" s="4">
        <f>J643*K643*M643</f>
        <v>39500</v>
      </c>
    </row>
    <row r="644" spans="1:19" ht="43" hidden="1" customHeight="1">
      <c r="A644" s="1" t="s">
        <v>2280</v>
      </c>
      <c r="B644" s="1" t="s">
        <v>1400</v>
      </c>
      <c r="C644" s="29">
        <v>45990.721094398097</v>
      </c>
      <c r="D644" s="1" t="s">
        <v>3052</v>
      </c>
      <c r="E644" s="1" t="s">
        <v>3053</v>
      </c>
      <c r="F644" s="1">
        <v>50</v>
      </c>
      <c r="G644" s="12" t="s">
        <v>1374</v>
      </c>
      <c r="H644" s="1" t="s">
        <v>1374</v>
      </c>
      <c r="I644" s="1" t="s">
        <v>130</v>
      </c>
      <c r="J644" s="30">
        <v>1</v>
      </c>
      <c r="K644" s="30">
        <v>70000</v>
      </c>
      <c r="L644" s="31">
        <v>70000</v>
      </c>
      <c r="M644" s="1" t="s">
        <v>16</v>
      </c>
      <c r="N644" s="1" t="s">
        <v>17</v>
      </c>
      <c r="O644" s="1" t="s">
        <v>2057</v>
      </c>
      <c r="P644" s="1" t="s">
        <v>2056</v>
      </c>
      <c r="Q644" s="1" t="s">
        <v>1531</v>
      </c>
      <c r="R644" s="1">
        <f t="shared" si="10"/>
        <v>4</v>
      </c>
      <c r="S644" s="4">
        <f>J644*K644*M644</f>
        <v>5600</v>
      </c>
    </row>
    <row r="645" spans="1:19" ht="43" hidden="1" customHeight="1">
      <c r="A645" s="1" t="s">
        <v>2280</v>
      </c>
      <c r="B645" s="1" t="s">
        <v>379</v>
      </c>
      <c r="C645" s="29">
        <v>45959.6544954282</v>
      </c>
      <c r="D645" s="1" t="s">
        <v>3052</v>
      </c>
      <c r="E645" s="1" t="s">
        <v>3053</v>
      </c>
      <c r="F645" s="1">
        <v>26</v>
      </c>
      <c r="G645" s="12" t="s">
        <v>1374</v>
      </c>
      <c r="H645" s="1" t="s">
        <v>1374</v>
      </c>
      <c r="I645" s="1" t="s">
        <v>130</v>
      </c>
      <c r="J645" s="30">
        <v>20</v>
      </c>
      <c r="K645" s="30">
        <v>18000</v>
      </c>
      <c r="L645" s="31">
        <v>360000</v>
      </c>
      <c r="M645" s="1" t="s">
        <v>16</v>
      </c>
      <c r="N645" s="1" t="s">
        <v>17</v>
      </c>
      <c r="O645" s="1" t="s">
        <v>2057</v>
      </c>
      <c r="P645" s="1" t="s">
        <v>2056</v>
      </c>
      <c r="Q645" s="1" t="s">
        <v>1578</v>
      </c>
      <c r="R645" s="1">
        <f t="shared" si="10"/>
        <v>4</v>
      </c>
      <c r="S645" s="4">
        <f>J645*K645*M645</f>
        <v>28800</v>
      </c>
    </row>
    <row r="646" spans="1:19" ht="43" hidden="1" customHeight="1">
      <c r="A646" s="1" t="s">
        <v>2280</v>
      </c>
      <c r="B646" s="1" t="s">
        <v>1462</v>
      </c>
      <c r="C646" s="29">
        <v>45928.944135983802</v>
      </c>
      <c r="D646" s="1" t="s">
        <v>3052</v>
      </c>
      <c r="E646" s="1" t="s">
        <v>3053</v>
      </c>
      <c r="F646" s="1">
        <v>12</v>
      </c>
      <c r="G646" s="12" t="s">
        <v>1374</v>
      </c>
      <c r="H646" s="1" t="s">
        <v>1374</v>
      </c>
      <c r="I646" s="1" t="s">
        <v>130</v>
      </c>
      <c r="J646" s="30">
        <v>1</v>
      </c>
      <c r="K646" s="30">
        <v>20000</v>
      </c>
      <c r="L646" s="31">
        <v>20000</v>
      </c>
      <c r="M646" s="1" t="s">
        <v>16</v>
      </c>
      <c r="N646" s="1" t="s">
        <v>17</v>
      </c>
      <c r="O646" s="1" t="s">
        <v>2057</v>
      </c>
      <c r="P646" s="1" t="s">
        <v>2056</v>
      </c>
      <c r="Q646" s="1" t="s">
        <v>546</v>
      </c>
      <c r="R646" s="1">
        <f t="shared" si="10"/>
        <v>3</v>
      </c>
      <c r="S646" s="4">
        <f>J646*K646*M646</f>
        <v>1600</v>
      </c>
    </row>
    <row r="647" spans="1:19" ht="43" hidden="1" customHeight="1">
      <c r="A647" s="1" t="s">
        <v>2280</v>
      </c>
      <c r="B647" s="1" t="s">
        <v>1467</v>
      </c>
      <c r="C647" s="29">
        <v>45928.732318564798</v>
      </c>
      <c r="D647" s="1" t="s">
        <v>3052</v>
      </c>
      <c r="E647" s="1" t="s">
        <v>3053</v>
      </c>
      <c r="F647" s="1">
        <v>59</v>
      </c>
      <c r="G647" s="12" t="s">
        <v>1374</v>
      </c>
      <c r="H647" s="1" t="s">
        <v>1374</v>
      </c>
      <c r="I647" s="1" t="s">
        <v>130</v>
      </c>
      <c r="J647" s="30">
        <v>1</v>
      </c>
      <c r="K647" s="30">
        <v>260000</v>
      </c>
      <c r="L647" s="31">
        <v>260000</v>
      </c>
      <c r="M647" s="1" t="s">
        <v>16</v>
      </c>
      <c r="N647" s="1" t="s">
        <v>17</v>
      </c>
      <c r="O647" s="1" t="s">
        <v>2057</v>
      </c>
      <c r="P647" s="1" t="s">
        <v>2056</v>
      </c>
      <c r="Q647" s="1" t="s">
        <v>546</v>
      </c>
      <c r="R647" s="1">
        <f t="shared" si="10"/>
        <v>3</v>
      </c>
      <c r="S647" s="4">
        <f>J647*K647*M647</f>
        <v>20800</v>
      </c>
    </row>
    <row r="648" spans="1:19" ht="43" customHeight="1">
      <c r="A648" s="1" t="s">
        <v>2280</v>
      </c>
      <c r="B648" s="1" t="s">
        <v>1462</v>
      </c>
      <c r="C648" s="29">
        <v>45928.944135983802</v>
      </c>
      <c r="D648" s="1" t="s">
        <v>3052</v>
      </c>
      <c r="E648" s="1" t="s">
        <v>3053</v>
      </c>
      <c r="F648" s="1">
        <v>41</v>
      </c>
      <c r="H648" s="1" t="s">
        <v>1610</v>
      </c>
      <c r="I648" s="1" t="s">
        <v>130</v>
      </c>
      <c r="J648" s="30">
        <v>1</v>
      </c>
      <c r="K648" s="30">
        <v>70000</v>
      </c>
      <c r="L648" s="31">
        <v>70000</v>
      </c>
      <c r="M648" s="1" t="s">
        <v>16</v>
      </c>
      <c r="N648" s="1" t="s">
        <v>17</v>
      </c>
      <c r="O648" s="1" t="s">
        <v>2057</v>
      </c>
      <c r="P648" s="1" t="s">
        <v>2056</v>
      </c>
      <c r="Q648" s="1" t="s">
        <v>546</v>
      </c>
      <c r="R648" s="1">
        <f t="shared" si="10"/>
        <v>3</v>
      </c>
      <c r="S648" s="4">
        <f>J648*K648*M648</f>
        <v>5600</v>
      </c>
    </row>
    <row r="649" spans="1:19" ht="43" customHeight="1">
      <c r="A649" s="1" t="s">
        <v>2280</v>
      </c>
      <c r="B649" s="1" t="s">
        <v>1413</v>
      </c>
      <c r="C649" s="29">
        <v>45889.506525011602</v>
      </c>
      <c r="D649" s="1" t="s">
        <v>3054</v>
      </c>
      <c r="E649" s="1" t="s">
        <v>3055</v>
      </c>
      <c r="F649" s="1">
        <v>13</v>
      </c>
      <c r="H649" s="1" t="s">
        <v>1610</v>
      </c>
      <c r="I649" s="1" t="s">
        <v>130</v>
      </c>
      <c r="J649" s="30">
        <v>8</v>
      </c>
      <c r="K649" s="30">
        <v>55000</v>
      </c>
      <c r="L649" s="31">
        <v>440000</v>
      </c>
      <c r="M649" s="1" t="s">
        <v>30</v>
      </c>
      <c r="N649" s="1" t="s">
        <v>17</v>
      </c>
      <c r="O649" s="1" t="s">
        <v>2057</v>
      </c>
      <c r="P649" s="1" t="s">
        <v>2056</v>
      </c>
      <c r="Q649" s="1" t="s">
        <v>674</v>
      </c>
      <c r="R649" s="1">
        <f t="shared" si="10"/>
        <v>3</v>
      </c>
      <c r="S649" s="4">
        <f>J649*K649*M649</f>
        <v>44000</v>
      </c>
    </row>
    <row r="650" spans="1:19" ht="43" hidden="1" customHeight="1">
      <c r="A650" s="1" t="s">
        <v>2072</v>
      </c>
      <c r="B650" s="1" t="s">
        <v>1294</v>
      </c>
      <c r="C650" s="29">
        <v>46021.613942164397</v>
      </c>
      <c r="D650" s="1" t="s">
        <v>3052</v>
      </c>
      <c r="E650" s="1" t="s">
        <v>3053</v>
      </c>
      <c r="F650" s="1">
        <v>70</v>
      </c>
      <c r="G650" s="12" t="s">
        <v>1348</v>
      </c>
      <c r="H650" s="1" t="s">
        <v>1348</v>
      </c>
      <c r="I650" s="1" t="s">
        <v>130</v>
      </c>
      <c r="J650" s="30">
        <v>1</v>
      </c>
      <c r="K650" s="30">
        <v>30000</v>
      </c>
      <c r="L650" s="31">
        <v>30000</v>
      </c>
      <c r="M650" s="1" t="s">
        <v>16</v>
      </c>
      <c r="N650" s="1" t="s">
        <v>17</v>
      </c>
      <c r="O650" s="1" t="s">
        <v>2057</v>
      </c>
      <c r="P650" s="1" t="s">
        <v>2056</v>
      </c>
      <c r="Q650" s="1" t="s">
        <v>1474</v>
      </c>
      <c r="R650" s="1">
        <f t="shared" si="10"/>
        <v>4</v>
      </c>
      <c r="S650" s="4">
        <f>J650*K650*M650</f>
        <v>2400</v>
      </c>
    </row>
    <row r="651" spans="1:19" ht="43" hidden="1" customHeight="1">
      <c r="A651" s="1" t="s">
        <v>2280</v>
      </c>
      <c r="B651" s="1" t="s">
        <v>1400</v>
      </c>
      <c r="C651" s="29">
        <v>45990.721094398097</v>
      </c>
      <c r="D651" s="1" t="s">
        <v>3052</v>
      </c>
      <c r="E651" s="1" t="s">
        <v>3053</v>
      </c>
      <c r="F651" s="1">
        <v>13</v>
      </c>
      <c r="G651" s="12" t="s">
        <v>79</v>
      </c>
      <c r="H651" s="1" t="s">
        <v>79</v>
      </c>
      <c r="I651" s="1" t="s">
        <v>130</v>
      </c>
      <c r="J651" s="30">
        <v>450</v>
      </c>
      <c r="K651" s="30">
        <v>10000</v>
      </c>
      <c r="L651" s="31">
        <v>4500000</v>
      </c>
      <c r="M651" s="1" t="s">
        <v>16</v>
      </c>
      <c r="N651" s="1" t="s">
        <v>17</v>
      </c>
      <c r="O651" s="1" t="s">
        <v>2057</v>
      </c>
      <c r="P651" s="1" t="s">
        <v>2056</v>
      </c>
      <c r="Q651" s="1" t="s">
        <v>1531</v>
      </c>
      <c r="R651" s="1">
        <f t="shared" si="10"/>
        <v>4</v>
      </c>
      <c r="S651" s="4">
        <f>J651*K651*M651</f>
        <v>360000</v>
      </c>
    </row>
    <row r="652" spans="1:19" ht="43" hidden="1" customHeight="1">
      <c r="A652" s="1" t="s">
        <v>2280</v>
      </c>
      <c r="B652" s="1" t="s">
        <v>1402</v>
      </c>
      <c r="C652" s="29">
        <v>45990.382403298601</v>
      </c>
      <c r="D652" s="1" t="s">
        <v>3052</v>
      </c>
      <c r="E652" s="1" t="s">
        <v>3053</v>
      </c>
      <c r="F652" s="1">
        <v>18</v>
      </c>
      <c r="G652" s="12" t="s">
        <v>79</v>
      </c>
      <c r="H652" s="1" t="s">
        <v>79</v>
      </c>
      <c r="I652" s="1" t="s">
        <v>130</v>
      </c>
      <c r="J652" s="30">
        <v>250</v>
      </c>
      <c r="K652" s="30">
        <v>10000</v>
      </c>
      <c r="L652" s="31">
        <v>2500000</v>
      </c>
      <c r="M652" s="1" t="s">
        <v>16</v>
      </c>
      <c r="N652" s="1" t="s">
        <v>17</v>
      </c>
      <c r="O652" s="1" t="s">
        <v>2057</v>
      </c>
      <c r="P652" s="1" t="s">
        <v>2056</v>
      </c>
      <c r="Q652" s="1" t="s">
        <v>1531</v>
      </c>
      <c r="R652" s="1">
        <f t="shared" si="10"/>
        <v>4</v>
      </c>
      <c r="S652" s="4">
        <f>J652*K652*M652</f>
        <v>200000</v>
      </c>
    </row>
    <row r="653" spans="1:19" ht="43" hidden="1" customHeight="1">
      <c r="A653" s="1" t="s">
        <v>2280</v>
      </c>
      <c r="B653" s="1" t="s">
        <v>1467</v>
      </c>
      <c r="C653" s="29">
        <v>45928.732318564798</v>
      </c>
      <c r="D653" s="1" t="s">
        <v>3052</v>
      </c>
      <c r="E653" s="1" t="s">
        <v>3053</v>
      </c>
      <c r="F653" s="1">
        <v>22</v>
      </c>
      <c r="G653" s="12" t="s">
        <v>79</v>
      </c>
      <c r="H653" s="1" t="s">
        <v>79</v>
      </c>
      <c r="I653" s="1" t="s">
        <v>1258</v>
      </c>
      <c r="J653" s="30">
        <v>12</v>
      </c>
      <c r="K653" s="30">
        <v>550000</v>
      </c>
      <c r="L653" s="31">
        <v>6600000</v>
      </c>
      <c r="M653" s="1" t="s">
        <v>16</v>
      </c>
      <c r="N653" s="1" t="s">
        <v>17</v>
      </c>
      <c r="O653" s="1" t="s">
        <v>2057</v>
      </c>
      <c r="P653" s="1" t="s">
        <v>2056</v>
      </c>
      <c r="Q653" s="1" t="s">
        <v>546</v>
      </c>
      <c r="R653" s="1">
        <f t="shared" si="10"/>
        <v>3</v>
      </c>
      <c r="S653" s="4">
        <f>J653*K653*M653</f>
        <v>528000</v>
      </c>
    </row>
    <row r="654" spans="1:19" ht="43" hidden="1" customHeight="1">
      <c r="A654" s="1" t="s">
        <v>2280</v>
      </c>
      <c r="B654" s="1" t="s">
        <v>794</v>
      </c>
      <c r="C654" s="29">
        <v>45959.655037615703</v>
      </c>
      <c r="D654" s="1" t="s">
        <v>3052</v>
      </c>
      <c r="E654" s="1" t="s">
        <v>3053</v>
      </c>
      <c r="F654" s="1">
        <v>7</v>
      </c>
      <c r="G654" s="12" t="s">
        <v>628</v>
      </c>
      <c r="H654" s="1" t="s">
        <v>628</v>
      </c>
      <c r="I654" s="1" t="s">
        <v>130</v>
      </c>
      <c r="J654" s="30">
        <v>2</v>
      </c>
      <c r="K654" s="30">
        <v>50000</v>
      </c>
      <c r="L654" s="31">
        <v>100000</v>
      </c>
      <c r="M654" s="1" t="s">
        <v>30</v>
      </c>
      <c r="N654" s="1" t="s">
        <v>17</v>
      </c>
      <c r="O654" s="1" t="s">
        <v>2057</v>
      </c>
      <c r="P654" s="1" t="s">
        <v>2056</v>
      </c>
      <c r="Q654" s="1" t="s">
        <v>1578</v>
      </c>
      <c r="R654" s="1">
        <f t="shared" si="10"/>
        <v>4</v>
      </c>
      <c r="S654" s="4">
        <f>J654*K654*M654</f>
        <v>10000</v>
      </c>
    </row>
    <row r="655" spans="1:19" ht="43" hidden="1" customHeight="1">
      <c r="A655" s="1" t="s">
        <v>2280</v>
      </c>
      <c r="B655" s="1" t="s">
        <v>188</v>
      </c>
      <c r="C655" s="29">
        <v>45928.944600393501</v>
      </c>
      <c r="D655" s="1" t="s">
        <v>3052</v>
      </c>
      <c r="E655" s="1" t="s">
        <v>3053</v>
      </c>
      <c r="F655" s="1">
        <v>1</v>
      </c>
      <c r="G655" s="12" t="s">
        <v>628</v>
      </c>
      <c r="H655" s="1" t="s">
        <v>628</v>
      </c>
      <c r="I655" s="1" t="s">
        <v>130</v>
      </c>
      <c r="J655" s="30">
        <v>2</v>
      </c>
      <c r="K655" s="30">
        <v>50000</v>
      </c>
      <c r="L655" s="31">
        <v>100000</v>
      </c>
      <c r="M655" s="1" t="s">
        <v>30</v>
      </c>
      <c r="N655" s="1" t="s">
        <v>17</v>
      </c>
      <c r="O655" s="1" t="s">
        <v>2057</v>
      </c>
      <c r="P655" s="1" t="s">
        <v>2056</v>
      </c>
      <c r="Q655" s="1" t="s">
        <v>546</v>
      </c>
      <c r="R655" s="1">
        <f t="shared" si="10"/>
        <v>3</v>
      </c>
      <c r="S655" s="4">
        <f>J655*K655*M655</f>
        <v>10000</v>
      </c>
    </row>
    <row r="656" spans="1:19" ht="43" hidden="1" customHeight="1">
      <c r="A656" s="1" t="s">
        <v>2280</v>
      </c>
      <c r="B656" s="1" t="s">
        <v>1034</v>
      </c>
      <c r="C656" s="29">
        <v>45928.7317327778</v>
      </c>
      <c r="D656" s="1" t="s">
        <v>3052</v>
      </c>
      <c r="E656" s="1" t="s">
        <v>3053</v>
      </c>
      <c r="F656" s="1">
        <v>4</v>
      </c>
      <c r="G656" s="12" t="s">
        <v>628</v>
      </c>
      <c r="H656" s="1" t="s">
        <v>628</v>
      </c>
      <c r="I656" s="1" t="s">
        <v>130</v>
      </c>
      <c r="J656" s="30">
        <v>15</v>
      </c>
      <c r="K656" s="30">
        <v>80000</v>
      </c>
      <c r="L656" s="31">
        <v>1200000</v>
      </c>
      <c r="M656" s="1" t="s">
        <v>30</v>
      </c>
      <c r="N656" s="1" t="s">
        <v>17</v>
      </c>
      <c r="O656" s="1" t="s">
        <v>2057</v>
      </c>
      <c r="P656" s="1" t="s">
        <v>2056</v>
      </c>
      <c r="Q656" s="1" t="s">
        <v>546</v>
      </c>
      <c r="R656" s="1">
        <f t="shared" si="10"/>
        <v>3</v>
      </c>
      <c r="S656" s="4">
        <f>J656*K656*M656</f>
        <v>120000</v>
      </c>
    </row>
    <row r="657" spans="1:19" ht="43" hidden="1" customHeight="1">
      <c r="A657" s="1" t="s">
        <v>2072</v>
      </c>
      <c r="B657" s="1" t="s">
        <v>146</v>
      </c>
      <c r="C657" s="29">
        <v>46020.386763703696</v>
      </c>
      <c r="D657" s="1" t="s">
        <v>3052</v>
      </c>
      <c r="E657" s="1" t="s">
        <v>3053</v>
      </c>
      <c r="F657" s="1">
        <v>21</v>
      </c>
      <c r="G657" s="12" t="s">
        <v>2195</v>
      </c>
      <c r="H657" s="1" t="s">
        <v>1347</v>
      </c>
      <c r="I657" s="1" t="s">
        <v>130</v>
      </c>
      <c r="J657" s="30">
        <v>2</v>
      </c>
      <c r="K657" s="30">
        <v>150000</v>
      </c>
      <c r="L657" s="31">
        <v>300000</v>
      </c>
      <c r="M657" s="1" t="s">
        <v>16</v>
      </c>
      <c r="N657" s="1" t="s">
        <v>17</v>
      </c>
      <c r="O657" s="1" t="s">
        <v>2057</v>
      </c>
      <c r="P657" s="1" t="s">
        <v>2056</v>
      </c>
      <c r="Q657" s="1" t="s">
        <v>275</v>
      </c>
      <c r="R657" s="1">
        <f t="shared" si="10"/>
        <v>4</v>
      </c>
      <c r="S657" s="4">
        <f>J657*K657*M657</f>
        <v>24000</v>
      </c>
    </row>
    <row r="658" spans="1:19" ht="43" hidden="1" customHeight="1">
      <c r="A658" s="1" t="s">
        <v>2280</v>
      </c>
      <c r="B658" s="1" t="s">
        <v>1463</v>
      </c>
      <c r="C658" s="29">
        <v>45928.734775775498</v>
      </c>
      <c r="D658" s="1" t="s">
        <v>3052</v>
      </c>
      <c r="E658" s="1" t="s">
        <v>3053</v>
      </c>
      <c r="F658" s="1">
        <v>1</v>
      </c>
      <c r="G658" s="12" t="s">
        <v>1615</v>
      </c>
      <c r="H658" s="1" t="s">
        <v>1615</v>
      </c>
      <c r="I658" s="1" t="s">
        <v>130</v>
      </c>
      <c r="J658" s="30">
        <v>1</v>
      </c>
      <c r="K658" s="30">
        <v>8000000</v>
      </c>
      <c r="L658" s="31">
        <v>8000000</v>
      </c>
      <c r="M658" s="1" t="s">
        <v>16</v>
      </c>
      <c r="N658" s="1" t="s">
        <v>17</v>
      </c>
      <c r="O658" s="1" t="s">
        <v>2057</v>
      </c>
      <c r="P658" s="1" t="s">
        <v>2056</v>
      </c>
      <c r="Q658" s="1" t="s">
        <v>546</v>
      </c>
      <c r="R658" s="1">
        <f t="shared" si="10"/>
        <v>3</v>
      </c>
      <c r="S658" s="4">
        <f>J658*K658*M658</f>
        <v>640000</v>
      </c>
    </row>
    <row r="659" spans="1:19" ht="43" hidden="1" customHeight="1">
      <c r="A659" s="1" t="s">
        <v>2280</v>
      </c>
      <c r="B659" s="1" t="s">
        <v>120</v>
      </c>
      <c r="C659" s="29">
        <v>45838.621748888901</v>
      </c>
      <c r="D659" s="1" t="s">
        <v>3052</v>
      </c>
      <c r="E659" s="1" t="s">
        <v>3053</v>
      </c>
      <c r="F659" s="1">
        <v>17</v>
      </c>
      <c r="G659" s="12" t="s">
        <v>1290</v>
      </c>
      <c r="H659" s="1" t="s">
        <v>1290</v>
      </c>
      <c r="I659" s="1" t="s">
        <v>130</v>
      </c>
      <c r="J659" s="30">
        <v>4</v>
      </c>
      <c r="K659" s="30">
        <v>175000</v>
      </c>
      <c r="L659" s="31">
        <v>700000</v>
      </c>
      <c r="M659" s="1" t="s">
        <v>16</v>
      </c>
      <c r="N659" s="1" t="s">
        <v>17</v>
      </c>
      <c r="O659" s="1" t="s">
        <v>2057</v>
      </c>
      <c r="P659" s="1" t="s">
        <v>2056</v>
      </c>
      <c r="Q659" s="1" t="s">
        <v>828</v>
      </c>
      <c r="R659" s="1">
        <f t="shared" si="10"/>
        <v>2</v>
      </c>
      <c r="S659" s="4">
        <f>J659*K659*M659</f>
        <v>56000</v>
      </c>
    </row>
    <row r="660" spans="1:19" ht="43" hidden="1" customHeight="1">
      <c r="A660" s="1" t="s">
        <v>2280</v>
      </c>
      <c r="B660" s="1" t="s">
        <v>305</v>
      </c>
      <c r="C660" s="29">
        <v>45709.705238449103</v>
      </c>
      <c r="D660" s="1" t="s">
        <v>3052</v>
      </c>
      <c r="E660" s="1" t="s">
        <v>3053</v>
      </c>
      <c r="F660" s="1">
        <v>1</v>
      </c>
      <c r="G660" s="12" t="s">
        <v>1290</v>
      </c>
      <c r="H660" s="1" t="s">
        <v>1290</v>
      </c>
      <c r="I660" s="1" t="s">
        <v>130</v>
      </c>
      <c r="J660" s="30">
        <v>30</v>
      </c>
      <c r="K660" s="30">
        <v>51700</v>
      </c>
      <c r="L660" s="31">
        <v>1551000</v>
      </c>
      <c r="M660" s="1" t="s">
        <v>16</v>
      </c>
      <c r="N660" s="1" t="s">
        <v>17</v>
      </c>
      <c r="O660" s="1" t="s">
        <v>2057</v>
      </c>
      <c r="P660" s="1" t="s">
        <v>2056</v>
      </c>
      <c r="Q660" s="1" t="s">
        <v>2040</v>
      </c>
      <c r="R660" s="1">
        <f t="shared" si="10"/>
        <v>1</v>
      </c>
      <c r="S660" s="4">
        <f>J660*K660*M660</f>
        <v>124080</v>
      </c>
    </row>
    <row r="661" spans="1:19" ht="43" hidden="1" customHeight="1">
      <c r="A661" s="1" t="s">
        <v>2280</v>
      </c>
      <c r="B661" s="1" t="s">
        <v>1467</v>
      </c>
      <c r="C661" s="29">
        <v>45928.732318564798</v>
      </c>
      <c r="D661" s="1" t="s">
        <v>3052</v>
      </c>
      <c r="E661" s="1" t="s">
        <v>3053</v>
      </c>
      <c r="F661" s="1">
        <v>62</v>
      </c>
      <c r="G661" s="12" t="s">
        <v>1254</v>
      </c>
      <c r="H661" s="1" t="s">
        <v>1254</v>
      </c>
      <c r="I661" s="1" t="s">
        <v>130</v>
      </c>
      <c r="J661" s="30">
        <v>5</v>
      </c>
      <c r="K661" s="30">
        <v>75000</v>
      </c>
      <c r="L661" s="31">
        <v>375000</v>
      </c>
      <c r="M661" s="1" t="s">
        <v>16</v>
      </c>
      <c r="N661" s="1" t="s">
        <v>17</v>
      </c>
      <c r="O661" s="1" t="s">
        <v>2057</v>
      </c>
      <c r="P661" s="1" t="s">
        <v>2056</v>
      </c>
      <c r="Q661" s="1" t="s">
        <v>546</v>
      </c>
      <c r="R661" s="1">
        <f t="shared" si="10"/>
        <v>3</v>
      </c>
      <c r="S661" s="4">
        <f>J661*K661*M661</f>
        <v>30000</v>
      </c>
    </row>
    <row r="662" spans="1:19" ht="43" hidden="1" customHeight="1">
      <c r="A662" s="1" t="s">
        <v>2280</v>
      </c>
      <c r="B662" s="1" t="s">
        <v>1158</v>
      </c>
      <c r="C662" s="29">
        <v>45868.606624756903</v>
      </c>
      <c r="D662" s="1" t="s">
        <v>3052</v>
      </c>
      <c r="E662" s="1" t="s">
        <v>3053</v>
      </c>
      <c r="F662" s="1">
        <v>1</v>
      </c>
      <c r="G662" s="12" t="s">
        <v>1254</v>
      </c>
      <c r="H662" s="1" t="s">
        <v>1750</v>
      </c>
      <c r="I662" s="1" t="s">
        <v>130</v>
      </c>
      <c r="J662" s="30">
        <v>1</v>
      </c>
      <c r="K662" s="30">
        <v>55000</v>
      </c>
      <c r="L662" s="31">
        <v>55000</v>
      </c>
      <c r="M662" s="1" t="s">
        <v>16</v>
      </c>
      <c r="N662" s="1" t="s">
        <v>17</v>
      </c>
      <c r="O662" s="1" t="s">
        <v>2057</v>
      </c>
      <c r="P662" s="1" t="s">
        <v>2056</v>
      </c>
      <c r="Q662" s="1" t="s">
        <v>800</v>
      </c>
      <c r="R662" s="1">
        <f t="shared" si="10"/>
        <v>3</v>
      </c>
      <c r="S662" s="4">
        <f>J662*K662*M662</f>
        <v>4400</v>
      </c>
    </row>
    <row r="663" spans="1:19" ht="43" hidden="1" customHeight="1">
      <c r="A663" s="1" t="s">
        <v>2280</v>
      </c>
      <c r="B663" s="1" t="s">
        <v>1295</v>
      </c>
      <c r="C663" s="29">
        <v>45807.7287575347</v>
      </c>
      <c r="D663" s="1" t="s">
        <v>3052</v>
      </c>
      <c r="E663" s="1" t="s">
        <v>3053</v>
      </c>
      <c r="F663" s="1">
        <v>7</v>
      </c>
      <c r="G663" s="12" t="s">
        <v>1254</v>
      </c>
      <c r="H663" s="1" t="s">
        <v>1254</v>
      </c>
      <c r="I663" s="1" t="s">
        <v>130</v>
      </c>
      <c r="J663" s="30">
        <v>5</v>
      </c>
      <c r="K663" s="30">
        <v>130000</v>
      </c>
      <c r="L663" s="31">
        <v>650000</v>
      </c>
      <c r="M663" s="1" t="s">
        <v>16</v>
      </c>
      <c r="N663" s="1" t="s">
        <v>17</v>
      </c>
      <c r="O663" s="1" t="s">
        <v>2057</v>
      </c>
      <c r="P663" s="1" t="s">
        <v>2056</v>
      </c>
      <c r="Q663" s="1" t="s">
        <v>925</v>
      </c>
      <c r="R663" s="1">
        <f t="shared" si="10"/>
        <v>2</v>
      </c>
      <c r="S663" s="4">
        <f>J663*K663*M663</f>
        <v>52000</v>
      </c>
    </row>
    <row r="664" spans="1:19" ht="43" hidden="1" customHeight="1">
      <c r="A664" s="1" t="s">
        <v>2280</v>
      </c>
      <c r="B664" s="1" t="s">
        <v>305</v>
      </c>
      <c r="C664" s="29">
        <v>45709.705238449103</v>
      </c>
      <c r="D664" s="1" t="s">
        <v>3052</v>
      </c>
      <c r="E664" s="1" t="s">
        <v>3053</v>
      </c>
      <c r="F664" s="1">
        <v>11</v>
      </c>
      <c r="G664" s="12" t="s">
        <v>1254</v>
      </c>
      <c r="H664" s="1" t="s">
        <v>1254</v>
      </c>
      <c r="I664" s="1" t="s">
        <v>130</v>
      </c>
      <c r="J664" s="30">
        <v>35</v>
      </c>
      <c r="K664" s="30">
        <v>52400</v>
      </c>
      <c r="L664" s="31">
        <v>1834000</v>
      </c>
      <c r="M664" s="1" t="s">
        <v>16</v>
      </c>
      <c r="N664" s="1" t="s">
        <v>17</v>
      </c>
      <c r="O664" s="1" t="s">
        <v>2057</v>
      </c>
      <c r="P664" s="1" t="s">
        <v>2056</v>
      </c>
      <c r="Q664" s="1" t="s">
        <v>2040</v>
      </c>
      <c r="R664" s="1">
        <f t="shared" si="10"/>
        <v>1</v>
      </c>
      <c r="S664" s="4">
        <f>J664*K664*M664</f>
        <v>146720</v>
      </c>
    </row>
    <row r="665" spans="1:19" ht="43" hidden="1" customHeight="1">
      <c r="A665" s="1" t="s">
        <v>2280</v>
      </c>
      <c r="B665" s="1" t="s">
        <v>120</v>
      </c>
      <c r="C665" s="29">
        <v>45838.621748888901</v>
      </c>
      <c r="D665" s="1" t="s">
        <v>3052</v>
      </c>
      <c r="E665" s="1" t="s">
        <v>3053</v>
      </c>
      <c r="F665" s="1">
        <v>31</v>
      </c>
      <c r="G665" s="12" t="s">
        <v>1277</v>
      </c>
      <c r="H665" s="1" t="s">
        <v>1834</v>
      </c>
      <c r="I665" s="1" t="s">
        <v>130</v>
      </c>
      <c r="J665" s="30">
        <v>1</v>
      </c>
      <c r="K665" s="30">
        <v>90000</v>
      </c>
      <c r="L665" s="31">
        <v>90000</v>
      </c>
      <c r="M665" s="1" t="s">
        <v>16</v>
      </c>
      <c r="N665" s="1" t="s">
        <v>17</v>
      </c>
      <c r="O665" s="1" t="s">
        <v>2057</v>
      </c>
      <c r="P665" s="1" t="s">
        <v>2056</v>
      </c>
      <c r="Q665" s="1" t="s">
        <v>828</v>
      </c>
      <c r="R665" s="1">
        <f t="shared" si="10"/>
        <v>2</v>
      </c>
      <c r="S665" s="4">
        <f>J665*K665*M665</f>
        <v>7200</v>
      </c>
    </row>
    <row r="666" spans="1:19" ht="43" hidden="1" customHeight="1">
      <c r="A666" s="1" t="s">
        <v>2280</v>
      </c>
      <c r="B666" s="1" t="s">
        <v>91</v>
      </c>
      <c r="C666" s="29">
        <v>45899.644512638901</v>
      </c>
      <c r="D666" s="1" t="s">
        <v>3052</v>
      </c>
      <c r="E666" s="1" t="s">
        <v>3053</v>
      </c>
      <c r="F666" s="1">
        <v>23</v>
      </c>
      <c r="G666" s="12" t="s">
        <v>2933</v>
      </c>
      <c r="H666" s="1" t="s">
        <v>1378</v>
      </c>
      <c r="I666" s="1" t="s">
        <v>130</v>
      </c>
      <c r="J666" s="30">
        <v>3</v>
      </c>
      <c r="K666" s="30">
        <v>250000</v>
      </c>
      <c r="L666" s="31">
        <v>750000</v>
      </c>
      <c r="M666" s="1" t="s">
        <v>16</v>
      </c>
      <c r="N666" s="1" t="s">
        <v>17</v>
      </c>
      <c r="O666" s="1" t="s">
        <v>2057</v>
      </c>
      <c r="P666" s="1" t="s">
        <v>2056</v>
      </c>
      <c r="Q666" s="1" t="s">
        <v>636</v>
      </c>
      <c r="R666" s="1">
        <f t="shared" si="10"/>
        <v>3</v>
      </c>
      <c r="S666" s="4">
        <f>J666*K666*M666</f>
        <v>60000</v>
      </c>
    </row>
    <row r="667" spans="1:19" ht="43" hidden="1" customHeight="1">
      <c r="A667" s="1" t="s">
        <v>2280</v>
      </c>
      <c r="B667" s="1" t="s">
        <v>120</v>
      </c>
      <c r="C667" s="29">
        <v>45838.621748888901</v>
      </c>
      <c r="D667" s="1" t="s">
        <v>3052</v>
      </c>
      <c r="E667" s="1" t="s">
        <v>3053</v>
      </c>
      <c r="F667" s="1">
        <v>18</v>
      </c>
      <c r="G667" s="12" t="s">
        <v>2934</v>
      </c>
      <c r="H667" s="1" t="s">
        <v>1830</v>
      </c>
      <c r="I667" s="1" t="s">
        <v>130</v>
      </c>
      <c r="J667" s="30">
        <v>4</v>
      </c>
      <c r="K667" s="30">
        <v>140000</v>
      </c>
      <c r="L667" s="31">
        <v>560000</v>
      </c>
      <c r="M667" s="1" t="s">
        <v>16</v>
      </c>
      <c r="N667" s="1" t="s">
        <v>17</v>
      </c>
      <c r="O667" s="1" t="s">
        <v>2057</v>
      </c>
      <c r="P667" s="1" t="s">
        <v>2056</v>
      </c>
      <c r="Q667" s="1" t="s">
        <v>828</v>
      </c>
      <c r="R667" s="1">
        <f t="shared" si="10"/>
        <v>2</v>
      </c>
      <c r="S667" s="4">
        <f>J667*K667*M667</f>
        <v>44800</v>
      </c>
    </row>
    <row r="668" spans="1:19" ht="43" hidden="1" customHeight="1">
      <c r="A668" s="1" t="s">
        <v>2280</v>
      </c>
      <c r="B668" s="1" t="s">
        <v>305</v>
      </c>
      <c r="C668" s="29">
        <v>45709.705238449103</v>
      </c>
      <c r="D668" s="1" t="s">
        <v>3052</v>
      </c>
      <c r="E668" s="1" t="s">
        <v>3053</v>
      </c>
      <c r="F668" s="1">
        <v>6</v>
      </c>
      <c r="G668" s="12" t="s">
        <v>1277</v>
      </c>
      <c r="H668" s="1" t="s">
        <v>1277</v>
      </c>
      <c r="I668" s="1" t="s">
        <v>130</v>
      </c>
      <c r="J668" s="30">
        <v>42</v>
      </c>
      <c r="K668" s="30">
        <v>75500</v>
      </c>
      <c r="L668" s="31">
        <v>3171000</v>
      </c>
      <c r="M668" s="1" t="s">
        <v>16</v>
      </c>
      <c r="N668" s="1" t="s">
        <v>17</v>
      </c>
      <c r="O668" s="1" t="s">
        <v>2057</v>
      </c>
      <c r="P668" s="1" t="s">
        <v>2056</v>
      </c>
      <c r="Q668" s="1" t="s">
        <v>2040</v>
      </c>
      <c r="R668" s="1">
        <f t="shared" si="10"/>
        <v>1</v>
      </c>
      <c r="S668" s="4">
        <f>J668*K668*M668</f>
        <v>253680</v>
      </c>
    </row>
    <row r="669" spans="1:19" ht="43" hidden="1" customHeight="1">
      <c r="A669" s="1" t="s">
        <v>2072</v>
      </c>
      <c r="B669" s="1" t="s">
        <v>1294</v>
      </c>
      <c r="C669" s="29">
        <v>46021.613942164397</v>
      </c>
      <c r="D669" s="1" t="s">
        <v>3052</v>
      </c>
      <c r="E669" s="1" t="s">
        <v>3053</v>
      </c>
      <c r="F669" s="1">
        <v>67</v>
      </c>
      <c r="G669" s="12" t="s">
        <v>685</v>
      </c>
      <c r="H669" s="1" t="s">
        <v>685</v>
      </c>
      <c r="I669" s="1" t="s">
        <v>62</v>
      </c>
      <c r="J669" s="30">
        <v>150</v>
      </c>
      <c r="K669" s="30">
        <v>50000</v>
      </c>
      <c r="L669" s="31">
        <v>7500000</v>
      </c>
      <c r="M669" s="1" t="s">
        <v>16</v>
      </c>
      <c r="N669" s="1" t="s">
        <v>17</v>
      </c>
      <c r="O669" s="1" t="s">
        <v>2057</v>
      </c>
      <c r="P669" s="1" t="s">
        <v>2056</v>
      </c>
      <c r="Q669" s="1" t="s">
        <v>1474</v>
      </c>
      <c r="R669" s="1">
        <f t="shared" si="10"/>
        <v>4</v>
      </c>
      <c r="S669" s="4">
        <f>J669*K669*M669</f>
        <v>600000</v>
      </c>
    </row>
    <row r="670" spans="1:19" ht="43" hidden="1" customHeight="1">
      <c r="A670" s="1" t="s">
        <v>2280</v>
      </c>
      <c r="B670" s="1" t="s">
        <v>801</v>
      </c>
      <c r="C670" s="29">
        <v>46007.362243773103</v>
      </c>
      <c r="F670" s="1">
        <v>6</v>
      </c>
      <c r="G670" s="12" t="s">
        <v>685</v>
      </c>
      <c r="H670" s="1" t="s">
        <v>685</v>
      </c>
      <c r="I670" s="1" t="s">
        <v>62</v>
      </c>
      <c r="J670" s="30">
        <v>1</v>
      </c>
      <c r="K670" s="30">
        <v>41000</v>
      </c>
      <c r="L670" s="31">
        <v>41000</v>
      </c>
      <c r="M670" s="1" t="s">
        <v>16</v>
      </c>
      <c r="N670" s="1" t="s">
        <v>17</v>
      </c>
      <c r="O670" s="1" t="s">
        <v>2057</v>
      </c>
      <c r="P670" s="1" t="s">
        <v>2056</v>
      </c>
      <c r="Q670" s="1" t="s">
        <v>262</v>
      </c>
      <c r="R670" s="1">
        <f t="shared" si="10"/>
        <v>4</v>
      </c>
      <c r="S670" s="4">
        <f>J670*K670*M670</f>
        <v>3280</v>
      </c>
    </row>
    <row r="671" spans="1:19" ht="43" hidden="1" customHeight="1">
      <c r="A671" s="1" t="s">
        <v>2280</v>
      </c>
      <c r="B671" s="1" t="s">
        <v>1272</v>
      </c>
      <c r="C671" s="29">
        <v>45836.414122164402</v>
      </c>
      <c r="D671" s="1" t="s">
        <v>3052</v>
      </c>
      <c r="E671" s="1" t="s">
        <v>3053</v>
      </c>
      <c r="F671" s="1">
        <v>19</v>
      </c>
      <c r="G671" s="12" t="s">
        <v>685</v>
      </c>
      <c r="H671" s="1" t="s">
        <v>685</v>
      </c>
      <c r="I671" s="1" t="s">
        <v>62</v>
      </c>
      <c r="J671" s="30">
        <v>2</v>
      </c>
      <c r="K671" s="30">
        <v>40000</v>
      </c>
      <c r="L671" s="31">
        <v>80000</v>
      </c>
      <c r="M671" s="1" t="s">
        <v>30</v>
      </c>
      <c r="N671" s="1" t="s">
        <v>17</v>
      </c>
      <c r="O671" s="1" t="s">
        <v>2057</v>
      </c>
      <c r="P671" s="1" t="s">
        <v>2056</v>
      </c>
      <c r="Q671" s="1" t="s">
        <v>845</v>
      </c>
      <c r="R671" s="1">
        <f t="shared" si="10"/>
        <v>2</v>
      </c>
      <c r="S671" s="4">
        <f>J671*K671*M671</f>
        <v>8000</v>
      </c>
    </row>
    <row r="672" spans="1:19" ht="43" hidden="1" customHeight="1">
      <c r="A672" s="1" t="s">
        <v>2280</v>
      </c>
      <c r="B672" s="1" t="s">
        <v>1419</v>
      </c>
      <c r="C672" s="29">
        <v>45866.749486990702</v>
      </c>
      <c r="D672" s="1" t="s">
        <v>3052</v>
      </c>
      <c r="E672" s="1" t="s">
        <v>3053</v>
      </c>
      <c r="F672" s="1">
        <v>31</v>
      </c>
      <c r="G672" s="12" t="s">
        <v>2629</v>
      </c>
      <c r="H672" s="1" t="s">
        <v>1013</v>
      </c>
      <c r="I672" s="1" t="s">
        <v>62</v>
      </c>
      <c r="J672" s="30">
        <v>100</v>
      </c>
      <c r="K672" s="30">
        <v>52309.88</v>
      </c>
      <c r="L672" s="31">
        <v>5230988</v>
      </c>
      <c r="M672" s="1" t="s">
        <v>30</v>
      </c>
      <c r="N672" s="1" t="s">
        <v>17</v>
      </c>
      <c r="O672" s="1" t="s">
        <v>2057</v>
      </c>
      <c r="P672" s="1" t="s">
        <v>2056</v>
      </c>
      <c r="Q672" s="1" t="s">
        <v>1763</v>
      </c>
      <c r="R672" s="1">
        <f t="shared" si="10"/>
        <v>3</v>
      </c>
      <c r="S672" s="4">
        <f>J672*K672*M672</f>
        <v>523098.80000000005</v>
      </c>
    </row>
    <row r="673" spans="1:19" ht="43" hidden="1" customHeight="1">
      <c r="A673" s="1" t="s">
        <v>2280</v>
      </c>
      <c r="B673" s="1" t="s">
        <v>1402</v>
      </c>
      <c r="C673" s="29">
        <v>45990.382403298601</v>
      </c>
      <c r="D673" s="1" t="s">
        <v>3052</v>
      </c>
      <c r="E673" s="1" t="s">
        <v>3053</v>
      </c>
      <c r="F673" s="1">
        <v>3</v>
      </c>
      <c r="G673" s="12" t="s">
        <v>790</v>
      </c>
      <c r="H673" s="1" t="s">
        <v>790</v>
      </c>
      <c r="I673" s="1" t="s">
        <v>78</v>
      </c>
      <c r="J673" s="30">
        <v>225</v>
      </c>
      <c r="K673" s="30">
        <v>12000</v>
      </c>
      <c r="L673" s="31">
        <v>2700000</v>
      </c>
      <c r="M673" s="1" t="s">
        <v>16</v>
      </c>
      <c r="N673" s="1" t="s">
        <v>17</v>
      </c>
      <c r="O673" s="1" t="s">
        <v>2057</v>
      </c>
      <c r="P673" s="1" t="s">
        <v>2056</v>
      </c>
      <c r="Q673" s="1" t="s">
        <v>1531</v>
      </c>
      <c r="R673" s="1">
        <f t="shared" si="10"/>
        <v>4</v>
      </c>
      <c r="S673" s="4">
        <f>J673*K673*M673</f>
        <v>216000</v>
      </c>
    </row>
    <row r="674" spans="1:19" ht="43" hidden="1" customHeight="1">
      <c r="A674" s="1" t="s">
        <v>2280</v>
      </c>
      <c r="B674" s="1" t="s">
        <v>326</v>
      </c>
      <c r="C674" s="29">
        <v>45960.658345080999</v>
      </c>
      <c r="D674" s="1" t="s">
        <v>3052</v>
      </c>
      <c r="E674" s="1" t="s">
        <v>3053</v>
      </c>
      <c r="F674" s="1">
        <v>30</v>
      </c>
      <c r="G674" s="12" t="s">
        <v>790</v>
      </c>
      <c r="H674" s="1" t="s">
        <v>790</v>
      </c>
      <c r="I674" s="1" t="s">
        <v>78</v>
      </c>
      <c r="J674" s="30">
        <v>109.7</v>
      </c>
      <c r="K674" s="30">
        <v>21000</v>
      </c>
      <c r="L674" s="31">
        <v>2303700</v>
      </c>
      <c r="M674" s="1" t="s">
        <v>16</v>
      </c>
      <c r="N674" s="1" t="s">
        <v>17</v>
      </c>
      <c r="O674" s="1" t="s">
        <v>2057</v>
      </c>
      <c r="P674" s="1" t="s">
        <v>2056</v>
      </c>
      <c r="Q674" s="1" t="s">
        <v>533</v>
      </c>
      <c r="R674" s="1">
        <f t="shared" si="10"/>
        <v>4</v>
      </c>
      <c r="S674" s="4">
        <f>J674*K674*M674</f>
        <v>184296</v>
      </c>
    </row>
    <row r="675" spans="1:19" ht="43" hidden="1" customHeight="1">
      <c r="A675" s="1" t="s">
        <v>2280</v>
      </c>
      <c r="B675" s="1" t="s">
        <v>1018</v>
      </c>
      <c r="C675" s="29">
        <v>45957.708490682897</v>
      </c>
      <c r="D675" s="1" t="s">
        <v>3058</v>
      </c>
      <c r="E675" s="1" t="s">
        <v>3059</v>
      </c>
      <c r="F675" s="1">
        <v>2</v>
      </c>
      <c r="G675" s="12" t="s">
        <v>790</v>
      </c>
      <c r="H675" s="1" t="s">
        <v>790</v>
      </c>
      <c r="I675" s="1" t="s">
        <v>78</v>
      </c>
      <c r="J675" s="30">
        <v>20</v>
      </c>
      <c r="K675" s="30">
        <v>12500</v>
      </c>
      <c r="L675" s="31">
        <v>250000</v>
      </c>
      <c r="M675" s="1" t="s">
        <v>16</v>
      </c>
      <c r="N675" s="1" t="s">
        <v>17</v>
      </c>
      <c r="O675" s="1" t="s">
        <v>2057</v>
      </c>
      <c r="P675" s="1" t="s">
        <v>2056</v>
      </c>
      <c r="Q675" s="1" t="s">
        <v>1583</v>
      </c>
      <c r="R675" s="1">
        <f t="shared" si="10"/>
        <v>4</v>
      </c>
      <c r="S675" s="4">
        <f>J675*K675*M675</f>
        <v>20000</v>
      </c>
    </row>
    <row r="676" spans="1:19" ht="43" hidden="1" customHeight="1">
      <c r="A676" s="1" t="s">
        <v>2280</v>
      </c>
      <c r="B676" s="1" t="s">
        <v>1462</v>
      </c>
      <c r="C676" s="29">
        <v>45928.944135983802</v>
      </c>
      <c r="D676" s="1" t="s">
        <v>3052</v>
      </c>
      <c r="E676" s="1" t="s">
        <v>3053</v>
      </c>
      <c r="F676" s="1">
        <v>48</v>
      </c>
      <c r="G676" s="12" t="s">
        <v>790</v>
      </c>
      <c r="H676" s="1" t="s">
        <v>790</v>
      </c>
      <c r="I676" s="1" t="s">
        <v>71</v>
      </c>
      <c r="J676" s="30">
        <v>1</v>
      </c>
      <c r="K676" s="30">
        <v>30000</v>
      </c>
      <c r="L676" s="31">
        <v>30000</v>
      </c>
      <c r="M676" s="1" t="s">
        <v>16</v>
      </c>
      <c r="N676" s="1" t="s">
        <v>17</v>
      </c>
      <c r="O676" s="1" t="s">
        <v>2057</v>
      </c>
      <c r="P676" s="1" t="s">
        <v>2056</v>
      </c>
      <c r="Q676" s="1" t="s">
        <v>546</v>
      </c>
      <c r="R676" s="1">
        <f t="shared" si="10"/>
        <v>3</v>
      </c>
      <c r="S676" s="4">
        <f>J676*K676*M676</f>
        <v>2400</v>
      </c>
    </row>
    <row r="677" spans="1:19" ht="43" hidden="1" customHeight="1">
      <c r="A677" s="1" t="s">
        <v>2280</v>
      </c>
      <c r="B677" s="1" t="s">
        <v>1467</v>
      </c>
      <c r="C677" s="29">
        <v>45928.732318564798</v>
      </c>
      <c r="D677" s="1" t="s">
        <v>3052</v>
      </c>
      <c r="E677" s="1" t="s">
        <v>3053</v>
      </c>
      <c r="F677" s="1">
        <v>3</v>
      </c>
      <c r="G677" s="12" t="s">
        <v>790</v>
      </c>
      <c r="H677" s="1" t="s">
        <v>790</v>
      </c>
      <c r="I677" s="1" t="s">
        <v>78</v>
      </c>
      <c r="J677" s="30">
        <v>1</v>
      </c>
      <c r="K677" s="30">
        <v>35000</v>
      </c>
      <c r="L677" s="31">
        <v>35000</v>
      </c>
      <c r="M677" s="1" t="s">
        <v>16</v>
      </c>
      <c r="N677" s="1" t="s">
        <v>17</v>
      </c>
      <c r="O677" s="1" t="s">
        <v>2057</v>
      </c>
      <c r="P677" s="1" t="s">
        <v>2056</v>
      </c>
      <c r="Q677" s="1" t="s">
        <v>546</v>
      </c>
      <c r="R677" s="1">
        <f t="shared" si="10"/>
        <v>3</v>
      </c>
      <c r="S677" s="4">
        <f>J677*K677*M677</f>
        <v>2800</v>
      </c>
    </row>
    <row r="678" spans="1:19" ht="43" hidden="1" customHeight="1">
      <c r="A678" s="1" t="s">
        <v>2280</v>
      </c>
      <c r="B678" s="1" t="s">
        <v>1422</v>
      </c>
      <c r="C678" s="29">
        <v>45864.4394789699</v>
      </c>
      <c r="D678" s="1" t="s">
        <v>3058</v>
      </c>
      <c r="E678" s="1" t="s">
        <v>3059</v>
      </c>
      <c r="F678" s="1">
        <v>9</v>
      </c>
      <c r="G678" s="12" t="s">
        <v>790</v>
      </c>
      <c r="H678" s="1" t="s">
        <v>790</v>
      </c>
      <c r="I678" s="1" t="s">
        <v>62</v>
      </c>
      <c r="J678" s="30">
        <v>83.7</v>
      </c>
      <c r="K678" s="30">
        <v>90000</v>
      </c>
      <c r="L678" s="31">
        <v>7533000</v>
      </c>
      <c r="M678" s="1" t="s">
        <v>16</v>
      </c>
      <c r="N678" s="1" t="s">
        <v>17</v>
      </c>
      <c r="O678" s="1" t="s">
        <v>2057</v>
      </c>
      <c r="P678" s="1" t="s">
        <v>2056</v>
      </c>
      <c r="Q678" s="1" t="s">
        <v>1785</v>
      </c>
      <c r="R678" s="1">
        <f t="shared" si="10"/>
        <v>3</v>
      </c>
      <c r="S678" s="4">
        <f>J678*K678*M678</f>
        <v>602640</v>
      </c>
    </row>
    <row r="679" spans="1:19" ht="43" hidden="1" customHeight="1">
      <c r="A679" s="1" t="s">
        <v>2280</v>
      </c>
      <c r="B679" s="1" t="s">
        <v>1262</v>
      </c>
      <c r="C679" s="29">
        <v>45838.622051655097</v>
      </c>
      <c r="D679" s="1" t="s">
        <v>3052</v>
      </c>
      <c r="E679" s="1" t="s">
        <v>3053</v>
      </c>
      <c r="F679" s="1">
        <v>19</v>
      </c>
      <c r="G679" s="32" t="s">
        <v>261</v>
      </c>
      <c r="H679" s="1" t="s">
        <v>1813</v>
      </c>
      <c r="I679" s="1" t="s">
        <v>62</v>
      </c>
      <c r="J679" s="30">
        <v>4</v>
      </c>
      <c r="K679" s="30">
        <v>25000</v>
      </c>
      <c r="L679" s="31">
        <v>100000</v>
      </c>
      <c r="M679" s="1" t="s">
        <v>30</v>
      </c>
      <c r="N679" s="1" t="s">
        <v>17</v>
      </c>
      <c r="O679" s="1" t="s">
        <v>2057</v>
      </c>
      <c r="P679" s="1" t="s">
        <v>2056</v>
      </c>
      <c r="Q679" s="1" t="s">
        <v>828</v>
      </c>
      <c r="R679" s="1">
        <f t="shared" si="10"/>
        <v>2</v>
      </c>
      <c r="S679" s="4">
        <f>J679*K679*M679</f>
        <v>10000</v>
      </c>
    </row>
    <row r="680" spans="1:19" ht="43" hidden="1" customHeight="1">
      <c r="A680" s="1" t="s">
        <v>2072</v>
      </c>
      <c r="B680" s="1" t="s">
        <v>1250</v>
      </c>
      <c r="C680" s="29">
        <v>46021.613467673596</v>
      </c>
      <c r="D680" s="1" t="s">
        <v>3052</v>
      </c>
      <c r="E680" s="1" t="s">
        <v>3053</v>
      </c>
      <c r="F680" s="1">
        <v>3</v>
      </c>
      <c r="G680" s="12" t="s">
        <v>261</v>
      </c>
      <c r="H680" s="1" t="s">
        <v>261</v>
      </c>
      <c r="I680" s="1" t="s">
        <v>62</v>
      </c>
      <c r="J680" s="30">
        <v>1252</v>
      </c>
      <c r="K680" s="30">
        <v>22500</v>
      </c>
      <c r="L680" s="31">
        <v>28170000</v>
      </c>
      <c r="M680" s="1" t="s">
        <v>30</v>
      </c>
      <c r="N680" s="1" t="s">
        <v>17</v>
      </c>
      <c r="O680" s="1" t="s">
        <v>2057</v>
      </c>
      <c r="P680" s="1" t="s">
        <v>2056</v>
      </c>
      <c r="Q680" s="1" t="s">
        <v>1474</v>
      </c>
      <c r="R680" s="1">
        <f t="shared" si="10"/>
        <v>4</v>
      </c>
      <c r="S680" s="4">
        <f>J680*K680*M680</f>
        <v>2817000</v>
      </c>
    </row>
    <row r="681" spans="1:19" ht="43" hidden="1" customHeight="1">
      <c r="A681" s="1" t="s">
        <v>2072</v>
      </c>
      <c r="B681" s="1" t="s">
        <v>717</v>
      </c>
      <c r="C681" s="29">
        <v>46020.384472314799</v>
      </c>
      <c r="D681" s="1" t="s">
        <v>3052</v>
      </c>
      <c r="E681" s="1" t="s">
        <v>3053</v>
      </c>
      <c r="F681" s="1">
        <v>7</v>
      </c>
      <c r="G681" s="12" t="s">
        <v>261</v>
      </c>
      <c r="H681" s="1" t="s">
        <v>261</v>
      </c>
      <c r="I681" s="1" t="s">
        <v>62</v>
      </c>
      <c r="J681" s="30">
        <v>93.5</v>
      </c>
      <c r="K681" s="30">
        <v>25000</v>
      </c>
      <c r="L681" s="31">
        <v>2337500</v>
      </c>
      <c r="M681" s="1" t="s">
        <v>30</v>
      </c>
      <c r="N681" s="1" t="s">
        <v>17</v>
      </c>
      <c r="O681" s="1" t="s">
        <v>2057</v>
      </c>
      <c r="P681" s="1" t="s">
        <v>2056</v>
      </c>
      <c r="Q681" s="1" t="s">
        <v>275</v>
      </c>
      <c r="R681" s="1">
        <f t="shared" si="10"/>
        <v>4</v>
      </c>
      <c r="S681" s="4">
        <f>J681*K681*M681</f>
        <v>233750</v>
      </c>
    </row>
    <row r="682" spans="1:19" ht="43" hidden="1" customHeight="1">
      <c r="A682" s="1" t="s">
        <v>2072</v>
      </c>
      <c r="B682" s="1" t="s">
        <v>149</v>
      </c>
      <c r="C682" s="29">
        <v>46019.404524062498</v>
      </c>
      <c r="F682" s="1">
        <v>1</v>
      </c>
      <c r="G682" s="12" t="s">
        <v>261</v>
      </c>
      <c r="H682" s="1" t="s">
        <v>261</v>
      </c>
      <c r="I682" s="1" t="s">
        <v>62</v>
      </c>
      <c r="J682" s="30">
        <v>19</v>
      </c>
      <c r="K682" s="30">
        <v>20095.7</v>
      </c>
      <c r="L682" s="31">
        <v>381818</v>
      </c>
      <c r="M682" s="1" t="s">
        <v>30</v>
      </c>
      <c r="N682" s="1" t="s">
        <v>17</v>
      </c>
      <c r="O682" s="1" t="s">
        <v>2057</v>
      </c>
      <c r="P682" s="1" t="s">
        <v>2056</v>
      </c>
      <c r="Q682" s="1" t="s">
        <v>260</v>
      </c>
      <c r="R682" s="1">
        <f t="shared" si="10"/>
        <v>4</v>
      </c>
      <c r="S682" s="4">
        <f>J682*K682*M682</f>
        <v>38181.83</v>
      </c>
    </row>
    <row r="683" spans="1:19" ht="43" hidden="1" customHeight="1">
      <c r="A683" s="1" t="s">
        <v>2072</v>
      </c>
      <c r="B683" s="1" t="s">
        <v>172</v>
      </c>
      <c r="C683" s="29">
        <v>46015.408914791697</v>
      </c>
      <c r="F683" s="1">
        <v>1</v>
      </c>
      <c r="G683" s="12" t="s">
        <v>261</v>
      </c>
      <c r="H683" s="1" t="s">
        <v>261</v>
      </c>
      <c r="I683" s="1" t="s">
        <v>62</v>
      </c>
      <c r="J683" s="30">
        <v>19</v>
      </c>
      <c r="K683" s="30">
        <v>20095.7</v>
      </c>
      <c r="L683" s="31">
        <v>381818.3</v>
      </c>
      <c r="M683" s="1" t="s">
        <v>30</v>
      </c>
      <c r="N683" s="1" t="s">
        <v>17</v>
      </c>
      <c r="O683" s="1" t="s">
        <v>2057</v>
      </c>
      <c r="P683" s="1" t="s">
        <v>2056</v>
      </c>
      <c r="Q683" s="1" t="s">
        <v>1507</v>
      </c>
      <c r="R683" s="1">
        <f t="shared" si="10"/>
        <v>4</v>
      </c>
      <c r="S683" s="4">
        <f>J683*K683*M683</f>
        <v>38181.83</v>
      </c>
    </row>
    <row r="684" spans="1:19" ht="43" hidden="1" customHeight="1">
      <c r="A684" s="1" t="s">
        <v>2072</v>
      </c>
      <c r="B684" s="1" t="s">
        <v>1307</v>
      </c>
      <c r="C684" s="29">
        <v>46013.847726585598</v>
      </c>
      <c r="F684" s="1">
        <v>2</v>
      </c>
      <c r="G684" s="12" t="s">
        <v>261</v>
      </c>
      <c r="H684" s="1" t="s">
        <v>261</v>
      </c>
      <c r="I684" s="1" t="s">
        <v>62</v>
      </c>
      <c r="J684" s="30">
        <v>1</v>
      </c>
      <c r="K684" s="30">
        <v>19364</v>
      </c>
      <c r="L684" s="31">
        <v>19364</v>
      </c>
      <c r="M684" s="1" t="s">
        <v>30</v>
      </c>
      <c r="N684" s="1" t="s">
        <v>17</v>
      </c>
      <c r="O684" s="1" t="s">
        <v>2057</v>
      </c>
      <c r="P684" s="1" t="s">
        <v>2056</v>
      </c>
      <c r="Q684" s="1" t="s">
        <v>1508</v>
      </c>
      <c r="R684" s="1">
        <f t="shared" si="10"/>
        <v>4</v>
      </c>
      <c r="S684" s="4">
        <f>J684*K684*M684</f>
        <v>1936.4</v>
      </c>
    </row>
    <row r="685" spans="1:19" ht="43" hidden="1" customHeight="1">
      <c r="A685" s="1" t="s">
        <v>2280</v>
      </c>
      <c r="B685" s="1" t="s">
        <v>1401</v>
      </c>
      <c r="C685" s="29">
        <v>45990.720828530102</v>
      </c>
      <c r="D685" s="1" t="s">
        <v>3052</v>
      </c>
      <c r="E685" s="1" t="s">
        <v>3053</v>
      </c>
      <c r="F685" s="1">
        <v>7</v>
      </c>
      <c r="G685" s="12" t="s">
        <v>261</v>
      </c>
      <c r="H685" s="1" t="s">
        <v>261</v>
      </c>
      <c r="I685" s="1" t="s">
        <v>62</v>
      </c>
      <c r="J685" s="30">
        <v>1252</v>
      </c>
      <c r="K685" s="30">
        <v>22500</v>
      </c>
      <c r="L685" s="31">
        <v>28170000</v>
      </c>
      <c r="M685" s="1" t="s">
        <v>30</v>
      </c>
      <c r="N685" s="1" t="s">
        <v>17</v>
      </c>
      <c r="O685" s="1" t="s">
        <v>2057</v>
      </c>
      <c r="P685" s="1" t="s">
        <v>2056</v>
      </c>
      <c r="Q685" s="1" t="s">
        <v>1531</v>
      </c>
      <c r="R685" s="1">
        <f t="shared" si="10"/>
        <v>4</v>
      </c>
      <c r="S685" s="4">
        <f>J685*K685*M685</f>
        <v>2817000</v>
      </c>
    </row>
    <row r="686" spans="1:19" ht="43" hidden="1" customHeight="1">
      <c r="A686" s="1" t="s">
        <v>2280</v>
      </c>
      <c r="B686" s="1" t="s">
        <v>1457</v>
      </c>
      <c r="C686" s="29">
        <v>45937.407710069398</v>
      </c>
      <c r="D686" s="1" t="s">
        <v>3083</v>
      </c>
      <c r="E686" s="1" t="s">
        <v>3084</v>
      </c>
      <c r="F686" s="1">
        <v>2</v>
      </c>
      <c r="G686" s="12" t="s">
        <v>261</v>
      </c>
      <c r="H686" s="1" t="s">
        <v>261</v>
      </c>
      <c r="I686" s="1" t="s">
        <v>62</v>
      </c>
      <c r="J686" s="30">
        <v>40</v>
      </c>
      <c r="K686" s="30">
        <v>23000</v>
      </c>
      <c r="L686" s="31">
        <v>920000</v>
      </c>
      <c r="M686" s="1" t="s">
        <v>30</v>
      </c>
      <c r="N686" s="1" t="s">
        <v>17</v>
      </c>
      <c r="O686" s="1" t="s">
        <v>2057</v>
      </c>
      <c r="P686" s="1" t="s">
        <v>2056</v>
      </c>
      <c r="Q686" s="1" t="s">
        <v>1587</v>
      </c>
      <c r="R686" s="1">
        <f t="shared" si="10"/>
        <v>4</v>
      </c>
      <c r="S686" s="4">
        <f>J686*K686*M686</f>
        <v>92000</v>
      </c>
    </row>
    <row r="687" spans="1:19" ht="43" hidden="1" customHeight="1">
      <c r="A687" s="1" t="s">
        <v>2280</v>
      </c>
      <c r="B687" s="1" t="s">
        <v>188</v>
      </c>
      <c r="C687" s="29">
        <v>45928.944600393501</v>
      </c>
      <c r="D687" s="1" t="s">
        <v>3052</v>
      </c>
      <c r="E687" s="1" t="s">
        <v>3053</v>
      </c>
      <c r="F687" s="1">
        <v>4</v>
      </c>
      <c r="G687" s="12" t="s">
        <v>261</v>
      </c>
      <c r="H687" s="1" t="s">
        <v>261</v>
      </c>
      <c r="I687" s="1" t="s">
        <v>62</v>
      </c>
      <c r="J687" s="30">
        <v>50</v>
      </c>
      <c r="K687" s="30">
        <v>20000</v>
      </c>
      <c r="L687" s="31">
        <v>1000000</v>
      </c>
      <c r="M687" s="1" t="s">
        <v>30</v>
      </c>
      <c r="N687" s="1" t="s">
        <v>17</v>
      </c>
      <c r="O687" s="1" t="s">
        <v>2057</v>
      </c>
      <c r="P687" s="1" t="s">
        <v>2056</v>
      </c>
      <c r="Q687" s="1" t="s">
        <v>546</v>
      </c>
      <c r="R687" s="1">
        <f t="shared" si="10"/>
        <v>3</v>
      </c>
      <c r="S687" s="4">
        <f>J687*K687*M687</f>
        <v>100000</v>
      </c>
    </row>
    <row r="688" spans="1:19" ht="43" hidden="1" customHeight="1">
      <c r="A688" s="1" t="s">
        <v>2280</v>
      </c>
      <c r="B688" s="1" t="s">
        <v>1472</v>
      </c>
      <c r="C688" s="29">
        <v>45899.6448496991</v>
      </c>
      <c r="D688" s="1" t="s">
        <v>3052</v>
      </c>
      <c r="E688" s="1" t="s">
        <v>3053</v>
      </c>
      <c r="F688" s="1">
        <v>8</v>
      </c>
      <c r="G688" s="12" t="s">
        <v>261</v>
      </c>
      <c r="H688" s="1" t="s">
        <v>261</v>
      </c>
      <c r="I688" s="1" t="s">
        <v>62</v>
      </c>
      <c r="J688" s="30">
        <v>18</v>
      </c>
      <c r="K688" s="30">
        <v>20000</v>
      </c>
      <c r="L688" s="31">
        <v>360000</v>
      </c>
      <c r="M688" s="1" t="s">
        <v>30</v>
      </c>
      <c r="N688" s="1" t="s">
        <v>17</v>
      </c>
      <c r="O688" s="1" t="s">
        <v>2057</v>
      </c>
      <c r="P688" s="1" t="s">
        <v>2056</v>
      </c>
      <c r="Q688" s="1" t="s">
        <v>636</v>
      </c>
      <c r="R688" s="1">
        <f t="shared" si="10"/>
        <v>3</v>
      </c>
      <c r="S688" s="4">
        <f>J688*K688*M688</f>
        <v>36000</v>
      </c>
    </row>
    <row r="689" spans="1:19" ht="43" hidden="1" customHeight="1">
      <c r="A689" s="1" t="s">
        <v>2280</v>
      </c>
      <c r="B689" s="1" t="s">
        <v>1417</v>
      </c>
      <c r="C689" s="29">
        <v>45868.607072511601</v>
      </c>
      <c r="D689" s="1" t="s">
        <v>3052</v>
      </c>
      <c r="E689" s="1" t="s">
        <v>3053</v>
      </c>
      <c r="F689" s="1">
        <v>4</v>
      </c>
      <c r="G689" s="12" t="s">
        <v>261</v>
      </c>
      <c r="H689" s="1" t="s">
        <v>261</v>
      </c>
      <c r="I689" s="1" t="s">
        <v>62</v>
      </c>
      <c r="J689" s="30">
        <v>794</v>
      </c>
      <c r="K689" s="30">
        <v>22000</v>
      </c>
      <c r="L689" s="31">
        <v>17468000</v>
      </c>
      <c r="M689" s="1" t="s">
        <v>30</v>
      </c>
      <c r="N689" s="1" t="s">
        <v>17</v>
      </c>
      <c r="O689" s="1" t="s">
        <v>2057</v>
      </c>
      <c r="P689" s="1" t="s">
        <v>2056</v>
      </c>
      <c r="Q689" s="1" t="s">
        <v>800</v>
      </c>
      <c r="R689" s="1">
        <f t="shared" si="10"/>
        <v>3</v>
      </c>
      <c r="S689" s="4">
        <f>J689*K689*M689</f>
        <v>1746800</v>
      </c>
    </row>
    <row r="690" spans="1:19" ht="43" hidden="1" customHeight="1">
      <c r="A690" s="1" t="s">
        <v>2280</v>
      </c>
      <c r="B690" s="1" t="s">
        <v>1126</v>
      </c>
      <c r="C690" s="29">
        <v>45826.433636481503</v>
      </c>
      <c r="D690" s="1" t="s">
        <v>3058</v>
      </c>
      <c r="E690" s="1" t="s">
        <v>3059</v>
      </c>
      <c r="F690" s="1">
        <v>1</v>
      </c>
      <c r="G690" s="12" t="s">
        <v>261</v>
      </c>
      <c r="H690" s="1" t="s">
        <v>261</v>
      </c>
      <c r="I690" s="1" t="s">
        <v>62</v>
      </c>
      <c r="J690" s="30">
        <v>125</v>
      </c>
      <c r="K690" s="30">
        <v>20000</v>
      </c>
      <c r="L690" s="31">
        <v>2500000</v>
      </c>
      <c r="M690" s="1" t="s">
        <v>30</v>
      </c>
      <c r="N690" s="1" t="s">
        <v>17</v>
      </c>
      <c r="O690" s="1" t="s">
        <v>2057</v>
      </c>
      <c r="P690" s="1" t="s">
        <v>2056</v>
      </c>
      <c r="Q690" s="1" t="s">
        <v>863</v>
      </c>
      <c r="R690" s="1">
        <f t="shared" si="10"/>
        <v>2</v>
      </c>
      <c r="S690" s="4">
        <f>J690*K690*M690</f>
        <v>250000</v>
      </c>
    </row>
    <row r="691" spans="1:19" ht="43" customHeight="1">
      <c r="A691" s="1" t="s">
        <v>2280</v>
      </c>
      <c r="B691" s="1" t="s">
        <v>1419</v>
      </c>
      <c r="C691" s="29">
        <v>45866.749486990702</v>
      </c>
      <c r="D691" s="1" t="s">
        <v>3052</v>
      </c>
      <c r="E691" s="1" t="s">
        <v>3053</v>
      </c>
      <c r="F691" s="1">
        <v>23</v>
      </c>
      <c r="G691" s="33"/>
      <c r="H691" s="1" t="s">
        <v>1771</v>
      </c>
      <c r="I691" s="1" t="s">
        <v>1263</v>
      </c>
      <c r="J691" s="30">
        <v>1</v>
      </c>
      <c r="K691" s="30">
        <v>80000</v>
      </c>
      <c r="L691" s="31">
        <v>80000</v>
      </c>
      <c r="M691" s="1" t="s">
        <v>30</v>
      </c>
      <c r="N691" s="1" t="s">
        <v>17</v>
      </c>
      <c r="O691" s="1" t="s">
        <v>2057</v>
      </c>
      <c r="P691" s="1" t="s">
        <v>2056</v>
      </c>
      <c r="Q691" s="1" t="s">
        <v>1763</v>
      </c>
      <c r="R691" s="1">
        <f t="shared" si="10"/>
        <v>3</v>
      </c>
      <c r="S691" s="4">
        <f>J691*K691*M691</f>
        <v>8000</v>
      </c>
    </row>
    <row r="692" spans="1:19" ht="43" hidden="1" customHeight="1">
      <c r="A692" s="1" t="s">
        <v>2072</v>
      </c>
      <c r="B692" s="1" t="s">
        <v>1294</v>
      </c>
      <c r="C692" s="29">
        <v>46021.613942164397</v>
      </c>
      <c r="D692" s="1" t="s">
        <v>3052</v>
      </c>
      <c r="E692" s="1" t="s">
        <v>3053</v>
      </c>
      <c r="F692" s="1">
        <v>40</v>
      </c>
      <c r="G692" s="12" t="s">
        <v>1309</v>
      </c>
      <c r="H692" s="1" t="s">
        <v>1309</v>
      </c>
      <c r="I692" s="1" t="s">
        <v>130</v>
      </c>
      <c r="J692" s="30">
        <v>7</v>
      </c>
      <c r="K692" s="30">
        <v>60000</v>
      </c>
      <c r="L692" s="31">
        <v>420000</v>
      </c>
      <c r="M692" s="1" t="s">
        <v>16</v>
      </c>
      <c r="N692" s="1" t="s">
        <v>17</v>
      </c>
      <c r="O692" s="1" t="s">
        <v>2057</v>
      </c>
      <c r="P692" s="1" t="s">
        <v>2056</v>
      </c>
      <c r="Q692" s="1" t="s">
        <v>1474</v>
      </c>
      <c r="R692" s="1">
        <f t="shared" si="10"/>
        <v>4</v>
      </c>
      <c r="S692" s="4">
        <f>J692*K692*M692</f>
        <v>33600</v>
      </c>
    </row>
    <row r="693" spans="1:19" ht="43" hidden="1" customHeight="1">
      <c r="A693" s="1" t="s">
        <v>2072</v>
      </c>
      <c r="B693" s="1" t="s">
        <v>146</v>
      </c>
      <c r="C693" s="29">
        <v>46020.386763703696</v>
      </c>
      <c r="D693" s="1" t="s">
        <v>3052</v>
      </c>
      <c r="E693" s="1" t="s">
        <v>3053</v>
      </c>
      <c r="F693" s="1">
        <v>17</v>
      </c>
      <c r="G693" s="12" t="s">
        <v>1309</v>
      </c>
      <c r="H693" s="1" t="s">
        <v>1309</v>
      </c>
      <c r="I693" s="1" t="s">
        <v>130</v>
      </c>
      <c r="J693" s="30">
        <v>1</v>
      </c>
      <c r="K693" s="30">
        <v>125000</v>
      </c>
      <c r="L693" s="31">
        <v>125000</v>
      </c>
      <c r="M693" s="1" t="s">
        <v>16</v>
      </c>
      <c r="N693" s="1" t="s">
        <v>17</v>
      </c>
      <c r="O693" s="1" t="s">
        <v>2057</v>
      </c>
      <c r="P693" s="1" t="s">
        <v>2056</v>
      </c>
      <c r="Q693" s="1" t="s">
        <v>275</v>
      </c>
      <c r="R693" s="1">
        <f t="shared" si="10"/>
        <v>4</v>
      </c>
      <c r="S693" s="4">
        <f>J693*K693*M693</f>
        <v>10000</v>
      </c>
    </row>
    <row r="694" spans="1:19" ht="43" hidden="1" customHeight="1">
      <c r="A694" s="1" t="s">
        <v>2280</v>
      </c>
      <c r="B694" s="1" t="s">
        <v>1442</v>
      </c>
      <c r="C694" s="29">
        <v>45960.6594943866</v>
      </c>
      <c r="D694" s="1" t="s">
        <v>3052</v>
      </c>
      <c r="E694" s="1" t="s">
        <v>3053</v>
      </c>
      <c r="F694" s="1">
        <v>4</v>
      </c>
      <c r="G694" s="12" t="s">
        <v>1309</v>
      </c>
      <c r="H694" s="1" t="s">
        <v>1309</v>
      </c>
      <c r="I694" s="1" t="s">
        <v>130</v>
      </c>
      <c r="J694" s="30">
        <v>5</v>
      </c>
      <c r="K694" s="30">
        <v>35000</v>
      </c>
      <c r="L694" s="31">
        <v>175000</v>
      </c>
      <c r="M694" s="1" t="s">
        <v>30</v>
      </c>
      <c r="N694" s="1" t="s">
        <v>17</v>
      </c>
      <c r="O694" s="1" t="s">
        <v>2057</v>
      </c>
      <c r="P694" s="1" t="s">
        <v>2056</v>
      </c>
      <c r="Q694" s="1" t="s">
        <v>533</v>
      </c>
      <c r="R694" s="1">
        <f t="shared" si="10"/>
        <v>4</v>
      </c>
      <c r="S694" s="4">
        <f>J694*K694*M694</f>
        <v>17500</v>
      </c>
    </row>
    <row r="695" spans="1:19" ht="43" hidden="1" customHeight="1">
      <c r="A695" s="1" t="s">
        <v>2280</v>
      </c>
      <c r="B695" s="1" t="s">
        <v>1419</v>
      </c>
      <c r="C695" s="29">
        <v>45866.749486990702</v>
      </c>
      <c r="D695" s="1" t="s">
        <v>3052</v>
      </c>
      <c r="E695" s="1" t="s">
        <v>3053</v>
      </c>
      <c r="F695" s="1">
        <v>24</v>
      </c>
      <c r="G695" s="12" t="s">
        <v>1309</v>
      </c>
      <c r="H695" s="1" t="s">
        <v>1772</v>
      </c>
      <c r="I695" s="1" t="s">
        <v>1263</v>
      </c>
      <c r="J695" s="30">
        <v>1</v>
      </c>
      <c r="K695" s="30">
        <v>90000</v>
      </c>
      <c r="L695" s="31">
        <v>90000</v>
      </c>
      <c r="M695" s="1" t="s">
        <v>30</v>
      </c>
      <c r="N695" s="1" t="s">
        <v>17</v>
      </c>
      <c r="O695" s="1" t="s">
        <v>2057</v>
      </c>
      <c r="P695" s="1" t="s">
        <v>2056</v>
      </c>
      <c r="Q695" s="1" t="s">
        <v>1763</v>
      </c>
      <c r="R695" s="1">
        <f t="shared" si="10"/>
        <v>3</v>
      </c>
      <c r="S695" s="4">
        <f>J695*K695*M695</f>
        <v>9000</v>
      </c>
    </row>
    <row r="696" spans="1:19" ht="43" customHeight="1">
      <c r="A696" s="1" t="s">
        <v>2280</v>
      </c>
      <c r="B696" s="1" t="s">
        <v>1419</v>
      </c>
      <c r="C696" s="29">
        <v>45866.749486990702</v>
      </c>
      <c r="D696" s="1" t="s">
        <v>3052</v>
      </c>
      <c r="E696" s="1" t="s">
        <v>3053</v>
      </c>
      <c r="F696" s="1">
        <v>25</v>
      </c>
      <c r="H696" s="1" t="s">
        <v>1773</v>
      </c>
      <c r="I696" s="1" t="s">
        <v>1263</v>
      </c>
      <c r="J696" s="30">
        <v>1</v>
      </c>
      <c r="K696" s="30">
        <v>60000</v>
      </c>
      <c r="L696" s="31">
        <v>60000</v>
      </c>
      <c r="M696" s="1" t="s">
        <v>30</v>
      </c>
      <c r="N696" s="1" t="s">
        <v>17</v>
      </c>
      <c r="O696" s="1" t="s">
        <v>2057</v>
      </c>
      <c r="P696" s="1" t="s">
        <v>2056</v>
      </c>
      <c r="Q696" s="1" t="s">
        <v>1763</v>
      </c>
      <c r="R696" s="1">
        <f t="shared" si="10"/>
        <v>3</v>
      </c>
      <c r="S696" s="4">
        <f>J696*K696*M696</f>
        <v>6000</v>
      </c>
    </row>
    <row r="697" spans="1:19" ht="43" customHeight="1">
      <c r="A697" s="1" t="s">
        <v>2280</v>
      </c>
      <c r="B697" s="1" t="s">
        <v>1462</v>
      </c>
      <c r="C697" s="29">
        <v>45928.944135983802</v>
      </c>
      <c r="D697" s="1" t="s">
        <v>3052</v>
      </c>
      <c r="E697" s="1" t="s">
        <v>3053</v>
      </c>
      <c r="F697" s="1">
        <v>13</v>
      </c>
      <c r="H697" s="1" t="s">
        <v>1603</v>
      </c>
      <c r="I697" s="1" t="s">
        <v>130</v>
      </c>
      <c r="J697" s="30">
        <v>2</v>
      </c>
      <c r="K697" s="30">
        <v>180000</v>
      </c>
      <c r="L697" s="31">
        <v>360000</v>
      </c>
      <c r="M697" s="1" t="s">
        <v>16</v>
      </c>
      <c r="N697" s="1" t="s">
        <v>17</v>
      </c>
      <c r="O697" s="1" t="s">
        <v>2057</v>
      </c>
      <c r="P697" s="1" t="s">
        <v>2056</v>
      </c>
      <c r="Q697" s="1" t="s">
        <v>546</v>
      </c>
      <c r="R697" s="1">
        <f t="shared" si="10"/>
        <v>3</v>
      </c>
      <c r="S697" s="4">
        <f>J697*K697*M697</f>
        <v>28800</v>
      </c>
    </row>
    <row r="698" spans="1:19" ht="43" customHeight="1">
      <c r="A698" s="1" t="s">
        <v>2280</v>
      </c>
      <c r="B698" s="1" t="s">
        <v>1462</v>
      </c>
      <c r="C698" s="29">
        <v>45928.944135983802</v>
      </c>
      <c r="D698" s="1" t="s">
        <v>3052</v>
      </c>
      <c r="E698" s="1" t="s">
        <v>3053</v>
      </c>
      <c r="F698" s="1">
        <v>7</v>
      </c>
      <c r="H698" s="1" t="s">
        <v>1601</v>
      </c>
      <c r="I698" s="1" t="s">
        <v>130</v>
      </c>
      <c r="J698" s="30">
        <v>2</v>
      </c>
      <c r="K698" s="30">
        <v>150000</v>
      </c>
      <c r="L698" s="31">
        <v>300000</v>
      </c>
      <c r="M698" s="1" t="s">
        <v>16</v>
      </c>
      <c r="N698" s="1" t="s">
        <v>17</v>
      </c>
      <c r="O698" s="1" t="s">
        <v>2057</v>
      </c>
      <c r="P698" s="1" t="s">
        <v>2056</v>
      </c>
      <c r="Q698" s="1" t="s">
        <v>546</v>
      </c>
      <c r="R698" s="1">
        <f t="shared" si="10"/>
        <v>3</v>
      </c>
      <c r="S698" s="4">
        <f>J698*K698*M698</f>
        <v>24000</v>
      </c>
    </row>
    <row r="699" spans="1:19" ht="43" hidden="1" customHeight="1">
      <c r="A699" s="1" t="s">
        <v>2280</v>
      </c>
      <c r="B699" s="1" t="s">
        <v>1467</v>
      </c>
      <c r="C699" s="29">
        <v>45928.732318564798</v>
      </c>
      <c r="D699" s="1" t="s">
        <v>3052</v>
      </c>
      <c r="E699" s="1" t="s">
        <v>3053</v>
      </c>
      <c r="F699" s="1">
        <v>17</v>
      </c>
      <c r="G699" s="12" t="s">
        <v>1620</v>
      </c>
      <c r="H699" s="1" t="s">
        <v>1620</v>
      </c>
      <c r="I699" s="1" t="s">
        <v>130</v>
      </c>
      <c r="J699" s="30">
        <v>2</v>
      </c>
      <c r="K699" s="30">
        <v>600000</v>
      </c>
      <c r="L699" s="31">
        <v>1200000</v>
      </c>
      <c r="M699" s="1" t="s">
        <v>16</v>
      </c>
      <c r="N699" s="1" t="s">
        <v>17</v>
      </c>
      <c r="O699" s="1" t="s">
        <v>2057</v>
      </c>
      <c r="P699" s="1" t="s">
        <v>2056</v>
      </c>
      <c r="Q699" s="1" t="s">
        <v>546</v>
      </c>
      <c r="R699" s="1">
        <f t="shared" si="10"/>
        <v>3</v>
      </c>
      <c r="S699" s="4">
        <f>J699*K699*M699</f>
        <v>96000</v>
      </c>
    </row>
    <row r="700" spans="1:19" ht="43" hidden="1" customHeight="1">
      <c r="A700" s="1" t="s">
        <v>2280</v>
      </c>
      <c r="B700" s="1" t="s">
        <v>1467</v>
      </c>
      <c r="C700" s="29">
        <v>45928.732318564798</v>
      </c>
      <c r="D700" s="1" t="s">
        <v>3052</v>
      </c>
      <c r="E700" s="1" t="s">
        <v>3053</v>
      </c>
      <c r="F700" s="1">
        <v>18</v>
      </c>
      <c r="G700" s="12" t="s">
        <v>594</v>
      </c>
      <c r="H700" s="1" t="s">
        <v>594</v>
      </c>
      <c r="I700" s="1" t="s">
        <v>130</v>
      </c>
      <c r="J700" s="30">
        <v>1</v>
      </c>
      <c r="K700" s="30">
        <v>1700000</v>
      </c>
      <c r="L700" s="31">
        <v>1700000</v>
      </c>
      <c r="M700" s="1" t="s">
        <v>16</v>
      </c>
      <c r="N700" s="1" t="s">
        <v>17</v>
      </c>
      <c r="O700" s="1" t="s">
        <v>2057</v>
      </c>
      <c r="P700" s="1" t="s">
        <v>2056</v>
      </c>
      <c r="Q700" s="1" t="s">
        <v>546</v>
      </c>
      <c r="R700" s="1">
        <f t="shared" si="10"/>
        <v>3</v>
      </c>
      <c r="S700" s="4">
        <f>J700*K700*M700</f>
        <v>136000</v>
      </c>
    </row>
    <row r="701" spans="1:19" ht="43" customHeight="1">
      <c r="A701" s="1" t="s">
        <v>2280</v>
      </c>
      <c r="B701" s="1" t="s">
        <v>221</v>
      </c>
      <c r="C701" s="29">
        <v>45776.500553657403</v>
      </c>
      <c r="D701" s="1" t="s">
        <v>3052</v>
      </c>
      <c r="E701" s="1" t="s">
        <v>3053</v>
      </c>
      <c r="F701" s="1">
        <v>19</v>
      </c>
      <c r="H701" s="1" t="s">
        <v>1913</v>
      </c>
      <c r="I701" s="1" t="s">
        <v>1258</v>
      </c>
      <c r="J701" s="30">
        <v>1</v>
      </c>
      <c r="K701" s="30">
        <v>15000</v>
      </c>
      <c r="L701" s="31">
        <v>15000</v>
      </c>
      <c r="M701" s="1" t="s">
        <v>30</v>
      </c>
      <c r="N701" s="1" t="s">
        <v>17</v>
      </c>
      <c r="O701" s="1" t="s">
        <v>2057</v>
      </c>
      <c r="P701" s="1" t="s">
        <v>2056</v>
      </c>
      <c r="Q701" s="1" t="s">
        <v>937</v>
      </c>
      <c r="R701" s="1">
        <f t="shared" si="10"/>
        <v>2</v>
      </c>
      <c r="S701" s="4">
        <f>J701*K701*M701</f>
        <v>1500</v>
      </c>
    </row>
    <row r="702" spans="1:19" ht="43" hidden="1" customHeight="1">
      <c r="A702" s="1" t="s">
        <v>2072</v>
      </c>
      <c r="B702" s="1" t="s">
        <v>146</v>
      </c>
      <c r="C702" s="29">
        <v>46020.386763703696</v>
      </c>
      <c r="D702" s="1" t="s">
        <v>3052</v>
      </c>
      <c r="E702" s="1" t="s">
        <v>3053</v>
      </c>
      <c r="F702" s="1">
        <v>14</v>
      </c>
      <c r="G702" s="12" t="s">
        <v>337</v>
      </c>
      <c r="H702" s="1" t="s">
        <v>337</v>
      </c>
      <c r="I702" s="1" t="s">
        <v>130</v>
      </c>
      <c r="J702" s="30">
        <v>20</v>
      </c>
      <c r="K702" s="30">
        <v>1000</v>
      </c>
      <c r="L702" s="31">
        <v>20000</v>
      </c>
      <c r="M702" s="1" t="s">
        <v>16</v>
      </c>
      <c r="N702" s="1" t="s">
        <v>17</v>
      </c>
      <c r="O702" s="1" t="s">
        <v>2057</v>
      </c>
      <c r="P702" s="1" t="s">
        <v>2056</v>
      </c>
      <c r="Q702" s="1" t="s">
        <v>275</v>
      </c>
      <c r="R702" s="1">
        <f t="shared" si="10"/>
        <v>4</v>
      </c>
      <c r="S702" s="4">
        <f>J702*K702*M702</f>
        <v>1600</v>
      </c>
    </row>
    <row r="703" spans="1:19" ht="43" hidden="1" customHeight="1">
      <c r="A703" s="1" t="s">
        <v>2280</v>
      </c>
      <c r="B703" s="1" t="s">
        <v>1400</v>
      </c>
      <c r="C703" s="29">
        <v>45990.721094398097</v>
      </c>
      <c r="D703" s="1" t="s">
        <v>3052</v>
      </c>
      <c r="E703" s="1" t="s">
        <v>3053</v>
      </c>
      <c r="F703" s="1">
        <v>37</v>
      </c>
      <c r="G703" s="12" t="s">
        <v>337</v>
      </c>
      <c r="H703" s="1" t="s">
        <v>337</v>
      </c>
      <c r="I703" s="1" t="s">
        <v>130</v>
      </c>
      <c r="J703" s="30">
        <v>20</v>
      </c>
      <c r="K703" s="30">
        <v>5000</v>
      </c>
      <c r="L703" s="31">
        <v>100000</v>
      </c>
      <c r="M703" s="1" t="s">
        <v>16</v>
      </c>
      <c r="N703" s="1" t="s">
        <v>17</v>
      </c>
      <c r="O703" s="1" t="s">
        <v>2057</v>
      </c>
      <c r="P703" s="1" t="s">
        <v>2056</v>
      </c>
      <c r="Q703" s="1" t="s">
        <v>1531</v>
      </c>
      <c r="R703" s="1">
        <f t="shared" si="10"/>
        <v>4</v>
      </c>
      <c r="S703" s="4">
        <f>J703*K703*M703</f>
        <v>8000</v>
      </c>
    </row>
    <row r="704" spans="1:19" ht="43" customHeight="1">
      <c r="A704" s="1" t="s">
        <v>2280</v>
      </c>
      <c r="B704" s="1" t="s">
        <v>1412</v>
      </c>
      <c r="C704" s="29">
        <v>45898.896986157401</v>
      </c>
      <c r="D704" s="1" t="s">
        <v>3052</v>
      </c>
      <c r="E704" s="1" t="s">
        <v>3053</v>
      </c>
      <c r="F704" s="1">
        <v>40</v>
      </c>
      <c r="H704" s="1" t="s">
        <v>1691</v>
      </c>
      <c r="I704" s="1" t="s">
        <v>638</v>
      </c>
      <c r="J704" s="30">
        <v>1</v>
      </c>
      <c r="K704" s="30">
        <v>1500000</v>
      </c>
      <c r="L704" s="31">
        <v>1500000</v>
      </c>
      <c r="M704" s="1" t="s">
        <v>16</v>
      </c>
      <c r="N704" s="1" t="s">
        <v>17</v>
      </c>
      <c r="O704" s="1" t="s">
        <v>2057</v>
      </c>
      <c r="P704" s="1" t="s">
        <v>2056</v>
      </c>
      <c r="Q704" s="1" t="s">
        <v>652</v>
      </c>
      <c r="R704" s="1">
        <f t="shared" si="10"/>
        <v>3</v>
      </c>
      <c r="S704" s="4">
        <f>J704*K704*M704</f>
        <v>120000</v>
      </c>
    </row>
    <row r="705" spans="1:19" ht="43" hidden="1" customHeight="1">
      <c r="A705" s="1" t="s">
        <v>2280</v>
      </c>
      <c r="B705" s="1" t="s">
        <v>1467</v>
      </c>
      <c r="C705" s="29">
        <v>45928.732318564798</v>
      </c>
      <c r="D705" s="1" t="s">
        <v>3052</v>
      </c>
      <c r="E705" s="1" t="s">
        <v>3053</v>
      </c>
      <c r="F705" s="1">
        <v>27</v>
      </c>
      <c r="G705" s="12" t="s">
        <v>1340</v>
      </c>
      <c r="H705" s="1" t="s">
        <v>1340</v>
      </c>
      <c r="I705" s="1" t="s">
        <v>71</v>
      </c>
      <c r="J705" s="30">
        <v>4</v>
      </c>
      <c r="K705" s="30">
        <v>55000</v>
      </c>
      <c r="L705" s="31">
        <v>220000</v>
      </c>
      <c r="M705" s="1" t="s">
        <v>16</v>
      </c>
      <c r="N705" s="1" t="s">
        <v>17</v>
      </c>
      <c r="O705" s="1" t="s">
        <v>2057</v>
      </c>
      <c r="P705" s="1" t="s">
        <v>2056</v>
      </c>
      <c r="Q705" s="1" t="s">
        <v>546</v>
      </c>
      <c r="R705" s="1">
        <f t="shared" si="10"/>
        <v>3</v>
      </c>
      <c r="S705" s="4">
        <f>J705*K705*M705</f>
        <v>17600</v>
      </c>
    </row>
    <row r="706" spans="1:19" ht="43" hidden="1" customHeight="1">
      <c r="A706" s="1" t="s">
        <v>2280</v>
      </c>
      <c r="B706" s="1" t="s">
        <v>1158</v>
      </c>
      <c r="C706" s="29">
        <v>45868.606624756903</v>
      </c>
      <c r="D706" s="1" t="s">
        <v>3052</v>
      </c>
      <c r="E706" s="1" t="s">
        <v>3053</v>
      </c>
      <c r="F706" s="1">
        <v>4</v>
      </c>
      <c r="G706" s="12" t="s">
        <v>1340</v>
      </c>
      <c r="H706" s="1" t="s">
        <v>1340</v>
      </c>
      <c r="I706" s="1" t="s">
        <v>638</v>
      </c>
      <c r="J706" s="30">
        <v>1</v>
      </c>
      <c r="K706" s="30">
        <v>1500000</v>
      </c>
      <c r="L706" s="31">
        <v>1500000</v>
      </c>
      <c r="M706" s="1" t="s">
        <v>16</v>
      </c>
      <c r="N706" s="1" t="s">
        <v>17</v>
      </c>
      <c r="O706" s="1" t="s">
        <v>2057</v>
      </c>
      <c r="P706" s="1" t="s">
        <v>2056</v>
      </c>
      <c r="Q706" s="1" t="s">
        <v>800</v>
      </c>
      <c r="R706" s="1">
        <f t="shared" si="10"/>
        <v>3</v>
      </c>
      <c r="S706" s="4">
        <f>J706*K706*M706</f>
        <v>120000</v>
      </c>
    </row>
    <row r="707" spans="1:19" ht="43" customHeight="1">
      <c r="A707" s="1" t="s">
        <v>2072</v>
      </c>
      <c r="B707" s="1" t="s">
        <v>194</v>
      </c>
      <c r="C707" s="29">
        <v>46013.422271064803</v>
      </c>
      <c r="D707" s="1" t="s">
        <v>3077</v>
      </c>
      <c r="E707" s="1" t="s">
        <v>3078</v>
      </c>
      <c r="F707" s="1">
        <v>3</v>
      </c>
      <c r="H707" s="1" t="s">
        <v>1511</v>
      </c>
      <c r="I707" s="1" t="s">
        <v>78</v>
      </c>
      <c r="J707" s="30">
        <v>145</v>
      </c>
      <c r="K707" s="30">
        <v>25000</v>
      </c>
      <c r="L707" s="31">
        <v>3625000</v>
      </c>
      <c r="M707" s="1" t="s">
        <v>30</v>
      </c>
      <c r="N707" s="1" t="s">
        <v>17</v>
      </c>
      <c r="O707" s="1" t="s">
        <v>2057</v>
      </c>
      <c r="P707" s="1" t="s">
        <v>2056</v>
      </c>
      <c r="Q707" s="1" t="s">
        <v>1508</v>
      </c>
      <c r="R707" s="1">
        <f t="shared" ref="R707:R770" si="11">ROUNDUP(MONTH(Q707)/3,0)</f>
        <v>4</v>
      </c>
      <c r="S707" s="4">
        <f>J707*K707*M707</f>
        <v>362500</v>
      </c>
    </row>
    <row r="708" spans="1:19" ht="43" customHeight="1">
      <c r="A708" s="1" t="s">
        <v>2280</v>
      </c>
      <c r="B708" s="1" t="s">
        <v>1412</v>
      </c>
      <c r="C708" s="29">
        <v>45898.896986157401</v>
      </c>
      <c r="D708" s="1" t="s">
        <v>3052</v>
      </c>
      <c r="E708" s="1" t="s">
        <v>3053</v>
      </c>
      <c r="F708" s="1">
        <v>32</v>
      </c>
      <c r="G708" s="12"/>
      <c r="H708" s="1" t="s">
        <v>1686</v>
      </c>
      <c r="I708" s="1" t="s">
        <v>130</v>
      </c>
      <c r="J708" s="30">
        <v>5</v>
      </c>
      <c r="K708" s="30">
        <v>80000</v>
      </c>
      <c r="L708" s="31">
        <v>400000</v>
      </c>
      <c r="M708" s="1" t="s">
        <v>16</v>
      </c>
      <c r="N708" s="1" t="s">
        <v>17</v>
      </c>
      <c r="O708" s="1" t="s">
        <v>2057</v>
      </c>
      <c r="P708" s="1" t="s">
        <v>2056</v>
      </c>
      <c r="Q708" s="1" t="s">
        <v>652</v>
      </c>
      <c r="R708" s="1">
        <f t="shared" si="11"/>
        <v>3</v>
      </c>
      <c r="S708" s="4">
        <f>J708*K708*M708</f>
        <v>32000</v>
      </c>
    </row>
    <row r="709" spans="1:19" ht="43" hidden="1" customHeight="1">
      <c r="A709" s="1" t="s">
        <v>2280</v>
      </c>
      <c r="B709" s="1" t="s">
        <v>1400</v>
      </c>
      <c r="C709" s="29">
        <v>45990.721094398097</v>
      </c>
      <c r="D709" s="1" t="s">
        <v>3052</v>
      </c>
      <c r="E709" s="1" t="s">
        <v>3053</v>
      </c>
      <c r="F709" s="1">
        <v>29</v>
      </c>
      <c r="G709" s="12" t="s">
        <v>1323</v>
      </c>
      <c r="H709" s="1" t="s">
        <v>1323</v>
      </c>
      <c r="I709" s="1" t="s">
        <v>130</v>
      </c>
      <c r="J709" s="30">
        <v>5</v>
      </c>
      <c r="K709" s="30">
        <v>40000</v>
      </c>
      <c r="L709" s="31">
        <v>200000</v>
      </c>
      <c r="M709" s="1" t="s">
        <v>16</v>
      </c>
      <c r="N709" s="1" t="s">
        <v>17</v>
      </c>
      <c r="O709" s="1" t="s">
        <v>2057</v>
      </c>
      <c r="P709" s="1" t="s">
        <v>2056</v>
      </c>
      <c r="Q709" s="1" t="s">
        <v>1531</v>
      </c>
      <c r="R709" s="1">
        <f t="shared" si="11"/>
        <v>4</v>
      </c>
      <c r="S709" s="4">
        <f>J709*K709*M709</f>
        <v>16000</v>
      </c>
    </row>
    <row r="710" spans="1:19" ht="43" hidden="1" customHeight="1">
      <c r="A710" s="1" t="s">
        <v>2280</v>
      </c>
      <c r="B710" s="1" t="s">
        <v>1462</v>
      </c>
      <c r="C710" s="29">
        <v>45928.944135983802</v>
      </c>
      <c r="D710" s="1" t="s">
        <v>3052</v>
      </c>
      <c r="E710" s="1" t="s">
        <v>3053</v>
      </c>
      <c r="F710" s="1">
        <v>54</v>
      </c>
      <c r="G710" s="12" t="s">
        <v>1323</v>
      </c>
      <c r="H710" s="1" t="s">
        <v>1323</v>
      </c>
      <c r="I710" s="1" t="s">
        <v>130</v>
      </c>
      <c r="J710" s="30">
        <v>10</v>
      </c>
      <c r="K710" s="30">
        <v>10000</v>
      </c>
      <c r="L710" s="31">
        <v>100000</v>
      </c>
      <c r="M710" s="1" t="s">
        <v>16</v>
      </c>
      <c r="N710" s="1" t="s">
        <v>17</v>
      </c>
      <c r="O710" s="1" t="s">
        <v>2057</v>
      </c>
      <c r="P710" s="1" t="s">
        <v>2056</v>
      </c>
      <c r="Q710" s="1" t="s">
        <v>546</v>
      </c>
      <c r="R710" s="1">
        <f t="shared" si="11"/>
        <v>3</v>
      </c>
      <c r="S710" s="4">
        <f>J710*K710*M710</f>
        <v>8000</v>
      </c>
    </row>
    <row r="711" spans="1:19" ht="43" hidden="1" customHeight="1">
      <c r="A711" s="1" t="s">
        <v>2280</v>
      </c>
      <c r="B711" s="1" t="s">
        <v>1467</v>
      </c>
      <c r="C711" s="29">
        <v>45928.732318564798</v>
      </c>
      <c r="D711" s="1" t="s">
        <v>3052</v>
      </c>
      <c r="E711" s="1" t="s">
        <v>3053</v>
      </c>
      <c r="F711" s="1">
        <v>8</v>
      </c>
      <c r="G711" s="12" t="s">
        <v>1323</v>
      </c>
      <c r="H711" s="1" t="s">
        <v>1323</v>
      </c>
      <c r="I711" s="1" t="s">
        <v>130</v>
      </c>
      <c r="J711" s="30">
        <v>5</v>
      </c>
      <c r="K711" s="30">
        <v>10000</v>
      </c>
      <c r="L711" s="31">
        <v>50000</v>
      </c>
      <c r="M711" s="1" t="s">
        <v>16</v>
      </c>
      <c r="N711" s="1" t="s">
        <v>17</v>
      </c>
      <c r="O711" s="1" t="s">
        <v>2057</v>
      </c>
      <c r="P711" s="1" t="s">
        <v>2056</v>
      </c>
      <c r="Q711" s="1" t="s">
        <v>546</v>
      </c>
      <c r="R711" s="1">
        <f t="shared" si="11"/>
        <v>3</v>
      </c>
      <c r="S711" s="4">
        <f>J711*K711*M711</f>
        <v>4000</v>
      </c>
    </row>
    <row r="712" spans="1:19" ht="43" hidden="1" customHeight="1">
      <c r="A712" s="1" t="s">
        <v>2072</v>
      </c>
      <c r="B712" s="1" t="s">
        <v>1295</v>
      </c>
      <c r="C712" s="29">
        <v>46019.8874690046</v>
      </c>
      <c r="F712" s="1">
        <v>7</v>
      </c>
      <c r="G712" s="12" t="s">
        <v>1470</v>
      </c>
      <c r="H712" s="1" t="s">
        <v>1470</v>
      </c>
      <c r="I712" s="1" t="s">
        <v>130</v>
      </c>
      <c r="J712" s="30">
        <v>1</v>
      </c>
      <c r="K712" s="30">
        <v>8500</v>
      </c>
      <c r="L712" s="31">
        <v>8500</v>
      </c>
      <c r="M712" s="1" t="s">
        <v>16</v>
      </c>
      <c r="N712" s="1" t="s">
        <v>17</v>
      </c>
      <c r="O712" s="1" t="s">
        <v>2057</v>
      </c>
      <c r="P712" s="1" t="s">
        <v>2056</v>
      </c>
      <c r="Q712" s="1" t="s">
        <v>260</v>
      </c>
      <c r="R712" s="1">
        <f t="shared" si="11"/>
        <v>4</v>
      </c>
      <c r="S712" s="4">
        <f>J712*K712*M712</f>
        <v>680</v>
      </c>
    </row>
    <row r="713" spans="1:19" ht="43" hidden="1" customHeight="1">
      <c r="A713" s="1" t="s">
        <v>2280</v>
      </c>
      <c r="B713" s="1" t="s">
        <v>326</v>
      </c>
      <c r="C713" s="29">
        <v>45960.658345080999</v>
      </c>
      <c r="D713" s="1" t="s">
        <v>3052</v>
      </c>
      <c r="E713" s="1" t="s">
        <v>3053</v>
      </c>
      <c r="F713" s="1">
        <v>7</v>
      </c>
      <c r="G713" s="12" t="s">
        <v>1470</v>
      </c>
      <c r="H713" s="1" t="s">
        <v>1470</v>
      </c>
      <c r="I713" s="1" t="s">
        <v>130</v>
      </c>
      <c r="J713" s="30">
        <v>2</v>
      </c>
      <c r="K713" s="30">
        <v>70000</v>
      </c>
      <c r="L713" s="31">
        <v>140000</v>
      </c>
      <c r="M713" s="1" t="s">
        <v>16</v>
      </c>
      <c r="N713" s="1" t="s">
        <v>17</v>
      </c>
      <c r="O713" s="1" t="s">
        <v>2057</v>
      </c>
      <c r="P713" s="1" t="s">
        <v>2056</v>
      </c>
      <c r="Q713" s="1" t="s">
        <v>533</v>
      </c>
      <c r="R713" s="1">
        <f t="shared" si="11"/>
        <v>4</v>
      </c>
      <c r="S713" s="4">
        <f>J713*K713*M713</f>
        <v>11200</v>
      </c>
    </row>
    <row r="714" spans="1:19" ht="43" hidden="1" customHeight="1">
      <c r="A714" s="1" t="s">
        <v>2280</v>
      </c>
      <c r="B714" s="1" t="s">
        <v>1462</v>
      </c>
      <c r="C714" s="29">
        <v>45928.944135983802</v>
      </c>
      <c r="D714" s="1" t="s">
        <v>3052</v>
      </c>
      <c r="E714" s="1" t="s">
        <v>3053</v>
      </c>
      <c r="F714" s="1">
        <v>51</v>
      </c>
      <c r="G714" s="12" t="s">
        <v>1470</v>
      </c>
      <c r="H714" s="1" t="s">
        <v>1470</v>
      </c>
      <c r="I714" s="1" t="s">
        <v>130</v>
      </c>
      <c r="J714" s="30">
        <v>5</v>
      </c>
      <c r="K714" s="30">
        <v>35000</v>
      </c>
      <c r="L714" s="31">
        <v>175000</v>
      </c>
      <c r="M714" s="1" t="s">
        <v>16</v>
      </c>
      <c r="N714" s="1" t="s">
        <v>17</v>
      </c>
      <c r="O714" s="1" t="s">
        <v>2057</v>
      </c>
      <c r="P714" s="1" t="s">
        <v>2056</v>
      </c>
      <c r="Q714" s="1" t="s">
        <v>546</v>
      </c>
      <c r="R714" s="1">
        <f t="shared" si="11"/>
        <v>3</v>
      </c>
      <c r="S714" s="4">
        <f>J714*K714*M714</f>
        <v>14000</v>
      </c>
    </row>
    <row r="715" spans="1:19" ht="43" hidden="1" customHeight="1">
      <c r="A715" s="1" t="s">
        <v>2072</v>
      </c>
      <c r="B715" s="1" t="s">
        <v>146</v>
      </c>
      <c r="C715" s="29">
        <v>46020.386763703696</v>
      </c>
      <c r="D715" s="1" t="s">
        <v>3052</v>
      </c>
      <c r="E715" s="1" t="s">
        <v>3053</v>
      </c>
      <c r="F715" s="1">
        <v>35</v>
      </c>
      <c r="G715" s="12" t="s">
        <v>1261</v>
      </c>
      <c r="H715" s="1" t="s">
        <v>1261</v>
      </c>
      <c r="I715" s="1" t="s">
        <v>130</v>
      </c>
      <c r="J715" s="30">
        <v>3</v>
      </c>
      <c r="K715" s="30">
        <v>55000</v>
      </c>
      <c r="L715" s="31">
        <v>165000</v>
      </c>
      <c r="M715" s="1" t="s">
        <v>16</v>
      </c>
      <c r="N715" s="1" t="s">
        <v>17</v>
      </c>
      <c r="O715" s="1" t="s">
        <v>2057</v>
      </c>
      <c r="P715" s="1" t="s">
        <v>2056</v>
      </c>
      <c r="Q715" s="1" t="s">
        <v>275</v>
      </c>
      <c r="R715" s="1">
        <f t="shared" si="11"/>
        <v>4</v>
      </c>
      <c r="S715" s="4">
        <f>J715*K715*M715</f>
        <v>13200</v>
      </c>
    </row>
    <row r="716" spans="1:19" ht="43" hidden="1" customHeight="1">
      <c r="A716" s="1" t="s">
        <v>2280</v>
      </c>
      <c r="B716" s="1" t="s">
        <v>1402</v>
      </c>
      <c r="C716" s="29">
        <v>45990.382403298601</v>
      </c>
      <c r="D716" s="1" t="s">
        <v>3052</v>
      </c>
      <c r="E716" s="1" t="s">
        <v>3053</v>
      </c>
      <c r="F716" s="1">
        <v>11</v>
      </c>
      <c r="G716" s="12" t="s">
        <v>1261</v>
      </c>
      <c r="H716" s="1" t="s">
        <v>1261</v>
      </c>
      <c r="I716" s="1" t="s">
        <v>130</v>
      </c>
      <c r="J716" s="30">
        <v>3</v>
      </c>
      <c r="K716" s="30">
        <v>80000</v>
      </c>
      <c r="L716" s="31">
        <v>240000</v>
      </c>
      <c r="M716" s="1" t="s">
        <v>16</v>
      </c>
      <c r="N716" s="1" t="s">
        <v>17</v>
      </c>
      <c r="O716" s="1" t="s">
        <v>2057</v>
      </c>
      <c r="P716" s="1" t="s">
        <v>2056</v>
      </c>
      <c r="Q716" s="1" t="s">
        <v>1531</v>
      </c>
      <c r="R716" s="1">
        <f t="shared" si="11"/>
        <v>4</v>
      </c>
      <c r="S716" s="4">
        <f>J716*K716*M716</f>
        <v>19200</v>
      </c>
    </row>
    <row r="717" spans="1:19" ht="43" hidden="1" customHeight="1">
      <c r="A717" s="1" t="s">
        <v>2280</v>
      </c>
      <c r="B717" s="1" t="s">
        <v>326</v>
      </c>
      <c r="C717" s="29">
        <v>45960.658345080999</v>
      </c>
      <c r="D717" s="1" t="s">
        <v>3052</v>
      </c>
      <c r="E717" s="1" t="s">
        <v>3053</v>
      </c>
      <c r="F717" s="1">
        <v>6</v>
      </c>
      <c r="G717" s="12" t="s">
        <v>1261</v>
      </c>
      <c r="H717" s="1" t="s">
        <v>1261</v>
      </c>
      <c r="I717" s="1" t="s">
        <v>130</v>
      </c>
      <c r="J717" s="30">
        <v>4</v>
      </c>
      <c r="K717" s="30">
        <v>70000</v>
      </c>
      <c r="L717" s="31">
        <v>280000</v>
      </c>
      <c r="M717" s="1" t="s">
        <v>16</v>
      </c>
      <c r="N717" s="1" t="s">
        <v>17</v>
      </c>
      <c r="O717" s="1" t="s">
        <v>2057</v>
      </c>
      <c r="P717" s="1" t="s">
        <v>2056</v>
      </c>
      <c r="Q717" s="1" t="s">
        <v>533</v>
      </c>
      <c r="R717" s="1">
        <f t="shared" si="11"/>
        <v>4</v>
      </c>
      <c r="S717" s="4">
        <f>J717*K717*M717</f>
        <v>22400</v>
      </c>
    </row>
    <row r="718" spans="1:19" ht="43" hidden="1" customHeight="1">
      <c r="A718" s="1" t="s">
        <v>2280</v>
      </c>
      <c r="B718" s="1" t="s">
        <v>379</v>
      </c>
      <c r="C718" s="29">
        <v>45959.6544954282</v>
      </c>
      <c r="D718" s="1" t="s">
        <v>3052</v>
      </c>
      <c r="E718" s="1" t="s">
        <v>3053</v>
      </c>
      <c r="F718" s="1">
        <v>27</v>
      </c>
      <c r="G718" s="12" t="s">
        <v>1261</v>
      </c>
      <c r="H718" s="1" t="s">
        <v>1261</v>
      </c>
      <c r="I718" s="1" t="s">
        <v>130</v>
      </c>
      <c r="J718" s="30">
        <v>5</v>
      </c>
      <c r="K718" s="30">
        <v>40000</v>
      </c>
      <c r="L718" s="31">
        <v>200000</v>
      </c>
      <c r="M718" s="1" t="s">
        <v>16</v>
      </c>
      <c r="N718" s="1" t="s">
        <v>17</v>
      </c>
      <c r="O718" s="1" t="s">
        <v>2057</v>
      </c>
      <c r="P718" s="1" t="s">
        <v>2056</v>
      </c>
      <c r="Q718" s="1" t="s">
        <v>1578</v>
      </c>
      <c r="R718" s="1">
        <f t="shared" si="11"/>
        <v>4</v>
      </c>
      <c r="S718" s="4">
        <f>J718*K718*M718</f>
        <v>16000</v>
      </c>
    </row>
    <row r="719" spans="1:19" ht="43" hidden="1" customHeight="1">
      <c r="A719" s="1" t="s">
        <v>2280</v>
      </c>
      <c r="B719" s="1" t="s">
        <v>1462</v>
      </c>
      <c r="C719" s="29">
        <v>45928.944135983802</v>
      </c>
      <c r="D719" s="1" t="s">
        <v>3052</v>
      </c>
      <c r="E719" s="1" t="s">
        <v>3053</v>
      </c>
      <c r="F719" s="1">
        <v>52</v>
      </c>
      <c r="G719" s="12" t="s">
        <v>1261</v>
      </c>
      <c r="H719" s="1" t="s">
        <v>1261</v>
      </c>
      <c r="I719" s="1" t="s">
        <v>130</v>
      </c>
      <c r="J719" s="30">
        <v>5</v>
      </c>
      <c r="K719" s="30">
        <v>30000</v>
      </c>
      <c r="L719" s="31">
        <v>150000</v>
      </c>
      <c r="M719" s="1" t="s">
        <v>16</v>
      </c>
      <c r="N719" s="1" t="s">
        <v>17</v>
      </c>
      <c r="O719" s="1" t="s">
        <v>2057</v>
      </c>
      <c r="P719" s="1" t="s">
        <v>2056</v>
      </c>
      <c r="Q719" s="1" t="s">
        <v>546</v>
      </c>
      <c r="R719" s="1">
        <f t="shared" si="11"/>
        <v>3</v>
      </c>
      <c r="S719" s="4">
        <f>J719*K719*M719</f>
        <v>12000</v>
      </c>
    </row>
    <row r="720" spans="1:19" ht="43" hidden="1" customHeight="1">
      <c r="A720" s="1" t="s">
        <v>2280</v>
      </c>
      <c r="B720" s="1" t="s">
        <v>1467</v>
      </c>
      <c r="C720" s="29">
        <v>45928.732318564798</v>
      </c>
      <c r="D720" s="1" t="s">
        <v>3052</v>
      </c>
      <c r="E720" s="1" t="s">
        <v>3053</v>
      </c>
      <c r="F720" s="1">
        <v>7</v>
      </c>
      <c r="G720" s="12" t="s">
        <v>1261</v>
      </c>
      <c r="H720" s="1" t="s">
        <v>1261</v>
      </c>
      <c r="I720" s="1" t="s">
        <v>130</v>
      </c>
      <c r="J720" s="30">
        <v>5</v>
      </c>
      <c r="K720" s="30">
        <v>25000</v>
      </c>
      <c r="L720" s="31">
        <v>125000</v>
      </c>
      <c r="M720" s="1" t="s">
        <v>16</v>
      </c>
      <c r="N720" s="1" t="s">
        <v>17</v>
      </c>
      <c r="O720" s="1" t="s">
        <v>2057</v>
      </c>
      <c r="P720" s="1" t="s">
        <v>2056</v>
      </c>
      <c r="Q720" s="1" t="s">
        <v>546</v>
      </c>
      <c r="R720" s="1">
        <f t="shared" si="11"/>
        <v>3</v>
      </c>
      <c r="S720" s="4">
        <f>J720*K720*M720</f>
        <v>10000</v>
      </c>
    </row>
    <row r="721" spans="1:19" ht="43" hidden="1" customHeight="1">
      <c r="A721" s="1" t="s">
        <v>2280</v>
      </c>
      <c r="B721" s="1" t="s">
        <v>91</v>
      </c>
      <c r="C721" s="29">
        <v>45899.644512638901</v>
      </c>
      <c r="D721" s="1" t="s">
        <v>3052</v>
      </c>
      <c r="E721" s="1" t="s">
        <v>3053</v>
      </c>
      <c r="F721" s="1">
        <v>9</v>
      </c>
      <c r="G721" s="12" t="s">
        <v>1261</v>
      </c>
      <c r="H721" s="1" t="s">
        <v>1261</v>
      </c>
      <c r="I721" s="1" t="s">
        <v>130</v>
      </c>
      <c r="J721" s="30">
        <v>3</v>
      </c>
      <c r="K721" s="30">
        <v>25000</v>
      </c>
      <c r="L721" s="31">
        <v>75000</v>
      </c>
      <c r="M721" s="1" t="s">
        <v>16</v>
      </c>
      <c r="N721" s="1" t="s">
        <v>17</v>
      </c>
      <c r="O721" s="1" t="s">
        <v>2057</v>
      </c>
      <c r="P721" s="1" t="s">
        <v>2056</v>
      </c>
      <c r="Q721" s="1" t="s">
        <v>636</v>
      </c>
      <c r="R721" s="1">
        <f t="shared" si="11"/>
        <v>3</v>
      </c>
      <c r="S721" s="4">
        <f>J721*K721*M721</f>
        <v>6000</v>
      </c>
    </row>
    <row r="722" spans="1:19" ht="43" hidden="1" customHeight="1">
      <c r="A722" s="1" t="s">
        <v>2280</v>
      </c>
      <c r="B722" s="1" t="s">
        <v>1467</v>
      </c>
      <c r="C722" s="29">
        <v>45928.732318564798</v>
      </c>
      <c r="D722" s="1" t="s">
        <v>3052</v>
      </c>
      <c r="E722" s="1" t="s">
        <v>3053</v>
      </c>
      <c r="F722" s="1">
        <v>76</v>
      </c>
      <c r="G722" s="12" t="s">
        <v>1334</v>
      </c>
      <c r="H722" s="1" t="s">
        <v>1334</v>
      </c>
      <c r="I722" s="1" t="s">
        <v>576</v>
      </c>
      <c r="J722" s="30">
        <v>1</v>
      </c>
      <c r="K722" s="30">
        <v>800000</v>
      </c>
      <c r="L722" s="31">
        <v>800000</v>
      </c>
      <c r="M722" s="1" t="s">
        <v>16</v>
      </c>
      <c r="N722" s="1" t="s">
        <v>17</v>
      </c>
      <c r="O722" s="1" t="s">
        <v>2057</v>
      </c>
      <c r="P722" s="1" t="s">
        <v>2056</v>
      </c>
      <c r="Q722" s="1" t="s">
        <v>546</v>
      </c>
      <c r="R722" s="1">
        <f t="shared" si="11"/>
        <v>3</v>
      </c>
      <c r="S722" s="4">
        <f>J722*K722*M722</f>
        <v>64000</v>
      </c>
    </row>
    <row r="723" spans="1:19" ht="43" hidden="1" customHeight="1">
      <c r="A723" s="1" t="s">
        <v>2072</v>
      </c>
      <c r="B723" s="1" t="s">
        <v>1294</v>
      </c>
      <c r="C723" s="29">
        <v>46021.613942164397</v>
      </c>
      <c r="D723" s="1" t="s">
        <v>3052</v>
      </c>
      <c r="E723" s="1" t="s">
        <v>3053</v>
      </c>
      <c r="F723" s="1">
        <v>6</v>
      </c>
      <c r="G723" s="12" t="s">
        <v>1438</v>
      </c>
      <c r="H723" s="1" t="s">
        <v>1438</v>
      </c>
      <c r="I723" s="1" t="s">
        <v>683</v>
      </c>
      <c r="J723" s="30">
        <v>40</v>
      </c>
      <c r="K723" s="30">
        <v>660000</v>
      </c>
      <c r="L723" s="31">
        <v>26400000</v>
      </c>
      <c r="M723" s="1" t="s">
        <v>16</v>
      </c>
      <c r="N723" s="1" t="s">
        <v>17</v>
      </c>
      <c r="O723" s="1" t="s">
        <v>2057</v>
      </c>
      <c r="P723" s="1" t="s">
        <v>2056</v>
      </c>
      <c r="Q723" s="1" t="s">
        <v>1474</v>
      </c>
      <c r="R723" s="1">
        <f t="shared" si="11"/>
        <v>4</v>
      </c>
      <c r="S723" s="4">
        <f>J723*K723*M723</f>
        <v>2112000</v>
      </c>
    </row>
    <row r="724" spans="1:19" ht="43" hidden="1" customHeight="1">
      <c r="A724" s="1" t="s">
        <v>2280</v>
      </c>
      <c r="B724" s="1" t="s">
        <v>1400</v>
      </c>
      <c r="C724" s="29">
        <v>45990.721094398097</v>
      </c>
      <c r="D724" s="1" t="s">
        <v>3052</v>
      </c>
      <c r="E724" s="1" t="s">
        <v>3053</v>
      </c>
      <c r="F724" s="1">
        <v>4</v>
      </c>
      <c r="G724" s="12" t="s">
        <v>1438</v>
      </c>
      <c r="H724" s="1" t="s">
        <v>1438</v>
      </c>
      <c r="I724" s="1" t="s">
        <v>683</v>
      </c>
      <c r="J724" s="30">
        <v>27</v>
      </c>
      <c r="K724" s="30">
        <v>660000</v>
      </c>
      <c r="L724" s="31">
        <v>17820000</v>
      </c>
      <c r="M724" s="1" t="s">
        <v>16</v>
      </c>
      <c r="N724" s="1" t="s">
        <v>17</v>
      </c>
      <c r="O724" s="1" t="s">
        <v>2057</v>
      </c>
      <c r="P724" s="1" t="s">
        <v>2056</v>
      </c>
      <c r="Q724" s="1" t="s">
        <v>1531</v>
      </c>
      <c r="R724" s="1">
        <f t="shared" si="11"/>
        <v>4</v>
      </c>
      <c r="S724" s="4">
        <f>J724*K724*M724</f>
        <v>1425600</v>
      </c>
    </row>
    <row r="725" spans="1:19" ht="43" hidden="1" customHeight="1">
      <c r="A725" s="1" t="s">
        <v>2280</v>
      </c>
      <c r="B725" s="1" t="s">
        <v>379</v>
      </c>
      <c r="C725" s="29">
        <v>45959.6544954282</v>
      </c>
      <c r="D725" s="1" t="s">
        <v>3052</v>
      </c>
      <c r="E725" s="1" t="s">
        <v>3053</v>
      </c>
      <c r="F725" s="1">
        <v>17</v>
      </c>
      <c r="G725" s="12" t="s">
        <v>1438</v>
      </c>
      <c r="H725" s="1" t="s">
        <v>1438</v>
      </c>
      <c r="I725" s="1" t="s">
        <v>576</v>
      </c>
      <c r="J725" s="30">
        <v>2</v>
      </c>
      <c r="K725" s="30">
        <v>700000</v>
      </c>
      <c r="L725" s="31">
        <v>1400000</v>
      </c>
      <c r="M725" s="1" t="s">
        <v>16</v>
      </c>
      <c r="N725" s="1" t="s">
        <v>17</v>
      </c>
      <c r="O725" s="1" t="s">
        <v>2057</v>
      </c>
      <c r="P725" s="1" t="s">
        <v>2056</v>
      </c>
      <c r="Q725" s="1" t="s">
        <v>1578</v>
      </c>
      <c r="R725" s="1">
        <f t="shared" si="11"/>
        <v>4</v>
      </c>
      <c r="S725" s="4">
        <f>J725*K725*M725</f>
        <v>112000</v>
      </c>
    </row>
    <row r="726" spans="1:19" ht="43" hidden="1" customHeight="1">
      <c r="A726" s="1" t="s">
        <v>2280</v>
      </c>
      <c r="B726" s="1" t="s">
        <v>1462</v>
      </c>
      <c r="C726" s="29">
        <v>45928.944135983802</v>
      </c>
      <c r="D726" s="1" t="s">
        <v>3052</v>
      </c>
      <c r="E726" s="1" t="s">
        <v>3053</v>
      </c>
      <c r="F726" s="1">
        <v>57</v>
      </c>
      <c r="G726" s="12" t="s">
        <v>1438</v>
      </c>
      <c r="H726" s="1" t="s">
        <v>1438</v>
      </c>
      <c r="I726" s="1" t="s">
        <v>683</v>
      </c>
      <c r="J726" s="30">
        <v>20</v>
      </c>
      <c r="K726" s="30">
        <v>660000</v>
      </c>
      <c r="L726" s="31">
        <v>13200000</v>
      </c>
      <c r="M726" s="1" t="s">
        <v>16</v>
      </c>
      <c r="N726" s="1" t="s">
        <v>17</v>
      </c>
      <c r="O726" s="1" t="s">
        <v>2057</v>
      </c>
      <c r="P726" s="1" t="s">
        <v>2056</v>
      </c>
      <c r="Q726" s="1" t="s">
        <v>546</v>
      </c>
      <c r="R726" s="1">
        <f t="shared" si="11"/>
        <v>3</v>
      </c>
      <c r="S726" s="4">
        <f>J726*K726*M726</f>
        <v>1056000</v>
      </c>
    </row>
    <row r="727" spans="1:19" ht="43" hidden="1" customHeight="1">
      <c r="A727" s="1" t="s">
        <v>2280</v>
      </c>
      <c r="B727" s="1" t="s">
        <v>1419</v>
      </c>
      <c r="C727" s="29">
        <v>45866.749486990702</v>
      </c>
      <c r="D727" s="1" t="s">
        <v>3052</v>
      </c>
      <c r="E727" s="1" t="s">
        <v>3053</v>
      </c>
      <c r="F727" s="1">
        <v>6</v>
      </c>
      <c r="G727" s="12" t="s">
        <v>1438</v>
      </c>
      <c r="H727" s="1" t="s">
        <v>1438</v>
      </c>
      <c r="I727" s="1" t="s">
        <v>81</v>
      </c>
      <c r="J727" s="30">
        <v>2</v>
      </c>
      <c r="K727" s="30">
        <v>800000</v>
      </c>
      <c r="L727" s="31">
        <v>1600000</v>
      </c>
      <c r="M727" s="1" t="s">
        <v>30</v>
      </c>
      <c r="N727" s="1" t="s">
        <v>17</v>
      </c>
      <c r="O727" s="1" t="s">
        <v>2057</v>
      </c>
      <c r="P727" s="1" t="s">
        <v>2056</v>
      </c>
      <c r="Q727" s="1" t="s">
        <v>1763</v>
      </c>
      <c r="R727" s="1">
        <f t="shared" si="11"/>
        <v>3</v>
      </c>
      <c r="S727" s="4">
        <f>J727*K727*M727</f>
        <v>160000</v>
      </c>
    </row>
    <row r="728" spans="1:19" ht="43" hidden="1" customHeight="1">
      <c r="A728" s="1" t="s">
        <v>2280</v>
      </c>
      <c r="B728" s="1" t="s">
        <v>717</v>
      </c>
      <c r="C728" s="29">
        <v>45807.729117129602</v>
      </c>
      <c r="D728" s="1" t="s">
        <v>3052</v>
      </c>
      <c r="E728" s="1" t="s">
        <v>3053</v>
      </c>
      <c r="F728" s="1">
        <v>1</v>
      </c>
      <c r="G728" s="12" t="s">
        <v>1438</v>
      </c>
      <c r="H728" s="1" t="s">
        <v>1438</v>
      </c>
      <c r="I728" s="1" t="s">
        <v>81</v>
      </c>
      <c r="J728" s="30">
        <v>2</v>
      </c>
      <c r="K728" s="30">
        <v>800000</v>
      </c>
      <c r="L728" s="31">
        <v>1600000</v>
      </c>
      <c r="M728" s="1" t="s">
        <v>30</v>
      </c>
      <c r="N728" s="1" t="s">
        <v>17</v>
      </c>
      <c r="O728" s="1" t="s">
        <v>2057</v>
      </c>
      <c r="P728" s="1" t="s">
        <v>2056</v>
      </c>
      <c r="Q728" s="1" t="s">
        <v>925</v>
      </c>
      <c r="R728" s="1">
        <f t="shared" si="11"/>
        <v>2</v>
      </c>
      <c r="S728" s="4">
        <f>J728*K728*M728</f>
        <v>160000</v>
      </c>
    </row>
    <row r="729" spans="1:19" ht="43" hidden="1" customHeight="1">
      <c r="A729" s="1" t="s">
        <v>2280</v>
      </c>
      <c r="B729" s="1" t="s">
        <v>717</v>
      </c>
      <c r="C729" s="29">
        <v>45807.729117129602</v>
      </c>
      <c r="D729" s="1" t="s">
        <v>3052</v>
      </c>
      <c r="E729" s="1" t="s">
        <v>3053</v>
      </c>
      <c r="F729" s="1">
        <v>14</v>
      </c>
      <c r="G729" s="12" t="s">
        <v>1438</v>
      </c>
      <c r="H729" s="1" t="s">
        <v>1438</v>
      </c>
      <c r="I729" s="1" t="s">
        <v>81</v>
      </c>
      <c r="J729" s="30">
        <v>10</v>
      </c>
      <c r="K729" s="30">
        <v>500000</v>
      </c>
      <c r="L729" s="31">
        <v>5000000</v>
      </c>
      <c r="M729" s="1" t="s">
        <v>30</v>
      </c>
      <c r="N729" s="1" t="s">
        <v>17</v>
      </c>
      <c r="O729" s="1" t="s">
        <v>2057</v>
      </c>
      <c r="P729" s="1" t="s">
        <v>2056</v>
      </c>
      <c r="Q729" s="1" t="s">
        <v>925</v>
      </c>
      <c r="R729" s="1">
        <f t="shared" si="11"/>
        <v>2</v>
      </c>
      <c r="S729" s="4">
        <f>J729*K729*M729</f>
        <v>500000</v>
      </c>
    </row>
    <row r="730" spans="1:19" ht="43" hidden="1" customHeight="1">
      <c r="A730" s="1" t="s">
        <v>2280</v>
      </c>
      <c r="B730" s="1" t="s">
        <v>1412</v>
      </c>
      <c r="C730" s="29">
        <v>45898.896986157401</v>
      </c>
      <c r="D730" s="1" t="s">
        <v>3052</v>
      </c>
      <c r="E730" s="1" t="s">
        <v>3053</v>
      </c>
      <c r="F730" s="1">
        <v>55</v>
      </c>
      <c r="G730" s="12" t="s">
        <v>1438</v>
      </c>
      <c r="H730" s="1" t="s">
        <v>157</v>
      </c>
      <c r="I730" s="1" t="s">
        <v>683</v>
      </c>
      <c r="J730" s="30">
        <v>4</v>
      </c>
      <c r="K730" s="30">
        <v>500000</v>
      </c>
      <c r="L730" s="31">
        <v>2000000</v>
      </c>
      <c r="M730" s="1" t="s">
        <v>16</v>
      </c>
      <c r="N730" s="1" t="s">
        <v>17</v>
      </c>
      <c r="O730" s="1" t="s">
        <v>2057</v>
      </c>
      <c r="P730" s="1" t="s">
        <v>2056</v>
      </c>
      <c r="Q730" s="1" t="s">
        <v>652</v>
      </c>
      <c r="R730" s="1">
        <f t="shared" si="11"/>
        <v>3</v>
      </c>
      <c r="S730" s="4">
        <f>J730*K730*M730</f>
        <v>160000</v>
      </c>
    </row>
    <row r="731" spans="1:19" ht="43" hidden="1" customHeight="1">
      <c r="A731" s="1" t="s">
        <v>2072</v>
      </c>
      <c r="B731" s="1" t="s">
        <v>84</v>
      </c>
      <c r="C731" s="29">
        <v>46019.5634834722</v>
      </c>
      <c r="F731" s="1">
        <v>1</v>
      </c>
      <c r="G731" s="12" t="s">
        <v>101</v>
      </c>
      <c r="H731" s="1" t="s">
        <v>101</v>
      </c>
      <c r="I731" s="1" t="s">
        <v>192</v>
      </c>
      <c r="J731" s="30">
        <v>2</v>
      </c>
      <c r="K731" s="30">
        <v>1900000</v>
      </c>
      <c r="L731" s="31">
        <v>3800000</v>
      </c>
      <c r="M731" s="1" t="s">
        <v>16</v>
      </c>
      <c r="N731" s="1" t="s">
        <v>17</v>
      </c>
      <c r="O731" s="1" t="s">
        <v>2057</v>
      </c>
      <c r="P731" s="1" t="s">
        <v>2056</v>
      </c>
      <c r="Q731" s="1" t="s">
        <v>260</v>
      </c>
      <c r="R731" s="1">
        <f t="shared" si="11"/>
        <v>4</v>
      </c>
      <c r="S731" s="4">
        <f>J731*K731*M731</f>
        <v>304000</v>
      </c>
    </row>
    <row r="732" spans="1:19" ht="43" hidden="1" customHeight="1">
      <c r="A732" s="1" t="s">
        <v>2280</v>
      </c>
      <c r="B732" s="1" t="s">
        <v>801</v>
      </c>
      <c r="C732" s="29">
        <v>46007.362243773103</v>
      </c>
      <c r="F732" s="1">
        <v>4</v>
      </c>
      <c r="G732" s="12" t="s">
        <v>1299</v>
      </c>
      <c r="H732" s="1" t="s">
        <v>1299</v>
      </c>
      <c r="I732" s="1" t="s">
        <v>173</v>
      </c>
      <c r="J732" s="30">
        <v>2</v>
      </c>
      <c r="K732" s="30">
        <v>635000</v>
      </c>
      <c r="L732" s="31">
        <v>1270000</v>
      </c>
      <c r="M732" s="1" t="s">
        <v>16</v>
      </c>
      <c r="N732" s="1" t="s">
        <v>17</v>
      </c>
      <c r="O732" s="1" t="s">
        <v>2057</v>
      </c>
      <c r="P732" s="1" t="s">
        <v>2056</v>
      </c>
      <c r="Q732" s="1" t="s">
        <v>262</v>
      </c>
      <c r="R732" s="1">
        <f t="shared" si="11"/>
        <v>4</v>
      </c>
      <c r="S732" s="4">
        <f>J732*K732*M732</f>
        <v>101600</v>
      </c>
    </row>
    <row r="733" spans="1:19" ht="43" customHeight="1">
      <c r="A733" s="1" t="s">
        <v>2280</v>
      </c>
      <c r="B733" s="1" t="s">
        <v>221</v>
      </c>
      <c r="C733" s="29">
        <v>45776.500553657403</v>
      </c>
      <c r="D733" s="1" t="s">
        <v>3052</v>
      </c>
      <c r="E733" s="1" t="s">
        <v>3053</v>
      </c>
      <c r="F733" s="1">
        <v>17</v>
      </c>
      <c r="H733" s="1" t="s">
        <v>1020</v>
      </c>
      <c r="I733" s="1" t="s">
        <v>71</v>
      </c>
      <c r="J733" s="30">
        <v>3</v>
      </c>
      <c r="K733" s="30">
        <v>395000</v>
      </c>
      <c r="L733" s="31">
        <v>1185000</v>
      </c>
      <c r="M733" s="1" t="s">
        <v>30</v>
      </c>
      <c r="N733" s="1" t="s">
        <v>17</v>
      </c>
      <c r="O733" s="1" t="s">
        <v>2057</v>
      </c>
      <c r="P733" s="1" t="s">
        <v>2056</v>
      </c>
      <c r="Q733" s="1" t="s">
        <v>937</v>
      </c>
      <c r="R733" s="1">
        <f t="shared" si="11"/>
        <v>2</v>
      </c>
      <c r="S733" s="4">
        <f>J733*K733*M733</f>
        <v>118500</v>
      </c>
    </row>
    <row r="734" spans="1:19" ht="43" hidden="1" customHeight="1">
      <c r="A734" s="1" t="s">
        <v>2280</v>
      </c>
      <c r="B734" s="1" t="s">
        <v>1315</v>
      </c>
      <c r="C734" s="29">
        <v>45747.658940451402</v>
      </c>
      <c r="D734" s="1" t="s">
        <v>3071</v>
      </c>
      <c r="E734" s="1" t="s">
        <v>3053</v>
      </c>
      <c r="F734" s="1">
        <v>35</v>
      </c>
      <c r="G734" s="12" t="s">
        <v>1134</v>
      </c>
      <c r="H734" s="1" t="s">
        <v>2028</v>
      </c>
      <c r="I734" s="1" t="s">
        <v>71</v>
      </c>
      <c r="J734" s="30">
        <v>6</v>
      </c>
      <c r="K734" s="30">
        <v>386000</v>
      </c>
      <c r="L734" s="31">
        <v>2316000</v>
      </c>
      <c r="M734" s="1" t="s">
        <v>30</v>
      </c>
      <c r="N734" s="1" t="s">
        <v>17</v>
      </c>
      <c r="O734" s="1" t="s">
        <v>2057</v>
      </c>
      <c r="P734" s="1" t="s">
        <v>2056</v>
      </c>
      <c r="Q734" s="1" t="s">
        <v>42</v>
      </c>
      <c r="R734" s="1">
        <f t="shared" si="11"/>
        <v>1</v>
      </c>
      <c r="S734" s="4">
        <f>J734*K734*M734</f>
        <v>231600</v>
      </c>
    </row>
    <row r="735" spans="1:19" ht="43" hidden="1" customHeight="1">
      <c r="A735" s="1" t="s">
        <v>2072</v>
      </c>
      <c r="B735" s="1" t="s">
        <v>1294</v>
      </c>
      <c r="C735" s="29">
        <v>46021.613942164397</v>
      </c>
      <c r="D735" s="1" t="s">
        <v>3052</v>
      </c>
      <c r="E735" s="1" t="s">
        <v>3053</v>
      </c>
      <c r="F735" s="1">
        <v>43</v>
      </c>
      <c r="G735" s="12" t="s">
        <v>829</v>
      </c>
      <c r="H735" s="1" t="s">
        <v>829</v>
      </c>
      <c r="I735" s="1" t="s">
        <v>511</v>
      </c>
      <c r="J735" s="30">
        <v>10</v>
      </c>
      <c r="K735" s="30">
        <v>25000</v>
      </c>
      <c r="L735" s="31">
        <v>250000</v>
      </c>
      <c r="M735" s="1" t="s">
        <v>16</v>
      </c>
      <c r="N735" s="1" t="s">
        <v>17</v>
      </c>
      <c r="O735" s="1" t="s">
        <v>2057</v>
      </c>
      <c r="P735" s="1" t="s">
        <v>2056</v>
      </c>
      <c r="Q735" s="1" t="s">
        <v>1474</v>
      </c>
      <c r="R735" s="1">
        <f t="shared" si="11"/>
        <v>4</v>
      </c>
      <c r="S735" s="4">
        <f>J735*K735*M735</f>
        <v>20000</v>
      </c>
    </row>
    <row r="736" spans="1:19" ht="43" hidden="1" customHeight="1">
      <c r="A736" s="1" t="s">
        <v>2280</v>
      </c>
      <c r="B736" s="1" t="s">
        <v>1462</v>
      </c>
      <c r="C736" s="29">
        <v>45928.944135983802</v>
      </c>
      <c r="D736" s="1" t="s">
        <v>3052</v>
      </c>
      <c r="E736" s="1" t="s">
        <v>3053</v>
      </c>
      <c r="F736" s="1">
        <v>43</v>
      </c>
      <c r="G736" s="12" t="s">
        <v>829</v>
      </c>
      <c r="H736" s="1" t="s">
        <v>829</v>
      </c>
      <c r="I736" s="1" t="s">
        <v>130</v>
      </c>
      <c r="J736" s="30">
        <v>20</v>
      </c>
      <c r="K736" s="30">
        <v>25000</v>
      </c>
      <c r="L736" s="31">
        <v>500000</v>
      </c>
      <c r="M736" s="1" t="s">
        <v>16</v>
      </c>
      <c r="N736" s="1" t="s">
        <v>17</v>
      </c>
      <c r="O736" s="1" t="s">
        <v>2057</v>
      </c>
      <c r="P736" s="1" t="s">
        <v>2056</v>
      </c>
      <c r="Q736" s="1" t="s">
        <v>546</v>
      </c>
      <c r="R736" s="1">
        <f t="shared" si="11"/>
        <v>3</v>
      </c>
      <c r="S736" s="4">
        <f>J736*K736*M736</f>
        <v>40000</v>
      </c>
    </row>
    <row r="737" spans="1:19" ht="43" hidden="1" customHeight="1">
      <c r="A737" s="1" t="s">
        <v>2280</v>
      </c>
      <c r="B737" s="1" t="s">
        <v>1467</v>
      </c>
      <c r="C737" s="29">
        <v>45928.732318564798</v>
      </c>
      <c r="D737" s="1" t="s">
        <v>3052</v>
      </c>
      <c r="E737" s="1" t="s">
        <v>3053</v>
      </c>
      <c r="F737" s="1">
        <v>49</v>
      </c>
      <c r="G737" s="12" t="s">
        <v>829</v>
      </c>
      <c r="H737" s="1" t="s">
        <v>829</v>
      </c>
      <c r="I737" s="1" t="s">
        <v>130</v>
      </c>
      <c r="J737" s="30">
        <v>50</v>
      </c>
      <c r="K737" s="30">
        <v>35000</v>
      </c>
      <c r="L737" s="31">
        <v>1750000</v>
      </c>
      <c r="M737" s="1" t="s">
        <v>16</v>
      </c>
      <c r="N737" s="1" t="s">
        <v>17</v>
      </c>
      <c r="O737" s="1" t="s">
        <v>2057</v>
      </c>
      <c r="P737" s="1" t="s">
        <v>2056</v>
      </c>
      <c r="Q737" s="1" t="s">
        <v>546</v>
      </c>
      <c r="R737" s="1">
        <f t="shared" si="11"/>
        <v>3</v>
      </c>
      <c r="S737" s="4">
        <f>J737*K737*M737</f>
        <v>140000</v>
      </c>
    </row>
    <row r="738" spans="1:19" ht="43" hidden="1" customHeight="1">
      <c r="A738" s="1" t="s">
        <v>2280</v>
      </c>
      <c r="B738" s="1" t="s">
        <v>1417</v>
      </c>
      <c r="C738" s="29">
        <v>45868.607072511601</v>
      </c>
      <c r="D738" s="1" t="s">
        <v>3052</v>
      </c>
      <c r="E738" s="1" t="s">
        <v>3053</v>
      </c>
      <c r="F738" s="1">
        <v>3</v>
      </c>
      <c r="G738" s="12" t="s">
        <v>829</v>
      </c>
      <c r="H738" s="1" t="s">
        <v>829</v>
      </c>
      <c r="I738" s="1" t="s">
        <v>130</v>
      </c>
      <c r="J738" s="30">
        <v>2</v>
      </c>
      <c r="K738" s="30">
        <v>110000</v>
      </c>
      <c r="L738" s="31">
        <v>220000</v>
      </c>
      <c r="M738" s="1" t="s">
        <v>30</v>
      </c>
      <c r="N738" s="1" t="s">
        <v>17</v>
      </c>
      <c r="O738" s="1" t="s">
        <v>2057</v>
      </c>
      <c r="P738" s="1" t="s">
        <v>2056</v>
      </c>
      <c r="Q738" s="1" t="s">
        <v>800</v>
      </c>
      <c r="R738" s="1">
        <f t="shared" si="11"/>
        <v>3</v>
      </c>
      <c r="S738" s="4">
        <f>J738*K738*M738</f>
        <v>22000</v>
      </c>
    </row>
    <row r="739" spans="1:19" ht="43" hidden="1" customHeight="1">
      <c r="A739" s="1" t="s">
        <v>2072</v>
      </c>
      <c r="B739" s="1" t="s">
        <v>1294</v>
      </c>
      <c r="C739" s="29">
        <v>46021.613942164397</v>
      </c>
      <c r="D739" s="1" t="s">
        <v>3052</v>
      </c>
      <c r="E739" s="1" t="s">
        <v>3053</v>
      </c>
      <c r="F739" s="1">
        <v>52</v>
      </c>
      <c r="G739" s="12" t="s">
        <v>1121</v>
      </c>
      <c r="H739" s="1" t="s">
        <v>1121</v>
      </c>
      <c r="I739" s="1" t="s">
        <v>511</v>
      </c>
      <c r="J739" s="30">
        <v>3</v>
      </c>
      <c r="K739" s="30">
        <v>25000</v>
      </c>
      <c r="L739" s="31">
        <v>75000</v>
      </c>
      <c r="M739" s="1" t="s">
        <v>16</v>
      </c>
      <c r="N739" s="1" t="s">
        <v>17</v>
      </c>
      <c r="O739" s="1" t="s">
        <v>2057</v>
      </c>
      <c r="P739" s="1" t="s">
        <v>2056</v>
      </c>
      <c r="Q739" s="1" t="s">
        <v>1474</v>
      </c>
      <c r="R739" s="1">
        <f t="shared" si="11"/>
        <v>4</v>
      </c>
      <c r="S739" s="4">
        <f>J739*K739*M739</f>
        <v>6000</v>
      </c>
    </row>
    <row r="740" spans="1:19" ht="43" hidden="1" customHeight="1">
      <c r="A740" s="1" t="s">
        <v>2280</v>
      </c>
      <c r="B740" s="1" t="s">
        <v>326</v>
      </c>
      <c r="C740" s="29">
        <v>45960.658345080999</v>
      </c>
      <c r="D740" s="1" t="s">
        <v>3052</v>
      </c>
      <c r="E740" s="1" t="s">
        <v>3053</v>
      </c>
      <c r="F740" s="1">
        <v>15</v>
      </c>
      <c r="G740" s="12" t="s">
        <v>1121</v>
      </c>
      <c r="H740" s="1" t="s">
        <v>1121</v>
      </c>
      <c r="I740" s="1" t="s">
        <v>130</v>
      </c>
      <c r="J740" s="30">
        <v>10</v>
      </c>
      <c r="K740" s="30">
        <v>38000</v>
      </c>
      <c r="L740" s="31">
        <v>380000</v>
      </c>
      <c r="M740" s="1" t="s">
        <v>16</v>
      </c>
      <c r="N740" s="1" t="s">
        <v>17</v>
      </c>
      <c r="O740" s="1" t="s">
        <v>2057</v>
      </c>
      <c r="P740" s="1" t="s">
        <v>2056</v>
      </c>
      <c r="Q740" s="1" t="s">
        <v>533</v>
      </c>
      <c r="R740" s="1">
        <f t="shared" si="11"/>
        <v>4</v>
      </c>
      <c r="S740" s="4">
        <f>J740*K740*M740</f>
        <v>30400</v>
      </c>
    </row>
    <row r="741" spans="1:19" ht="43" hidden="1" customHeight="1">
      <c r="A741" s="1" t="s">
        <v>2280</v>
      </c>
      <c r="B741" s="1" t="s">
        <v>1462</v>
      </c>
      <c r="C741" s="29">
        <v>45928.944135983802</v>
      </c>
      <c r="D741" s="1" t="s">
        <v>3052</v>
      </c>
      <c r="E741" s="1" t="s">
        <v>3053</v>
      </c>
      <c r="F741" s="1">
        <v>44</v>
      </c>
      <c r="G741" s="12" t="s">
        <v>1121</v>
      </c>
      <c r="H741" s="1" t="s">
        <v>1121</v>
      </c>
      <c r="I741" s="1" t="s">
        <v>130</v>
      </c>
      <c r="J741" s="30">
        <v>17</v>
      </c>
      <c r="K741" s="30">
        <v>25000</v>
      </c>
      <c r="L741" s="31">
        <v>425000</v>
      </c>
      <c r="M741" s="1" t="s">
        <v>16</v>
      </c>
      <c r="N741" s="1" t="s">
        <v>17</v>
      </c>
      <c r="O741" s="1" t="s">
        <v>2057</v>
      </c>
      <c r="P741" s="1" t="s">
        <v>2056</v>
      </c>
      <c r="Q741" s="1" t="s">
        <v>546</v>
      </c>
      <c r="R741" s="1">
        <f t="shared" si="11"/>
        <v>3</v>
      </c>
      <c r="S741" s="4">
        <f>J741*K741*M741</f>
        <v>34000</v>
      </c>
    </row>
    <row r="742" spans="1:19" ht="43" hidden="1" customHeight="1">
      <c r="A742" s="1" t="s">
        <v>2280</v>
      </c>
      <c r="B742" s="1" t="s">
        <v>1472</v>
      </c>
      <c r="C742" s="29">
        <v>45899.6448496991</v>
      </c>
      <c r="D742" s="1" t="s">
        <v>3052</v>
      </c>
      <c r="E742" s="1" t="s">
        <v>3053</v>
      </c>
      <c r="F742" s="1">
        <v>7</v>
      </c>
      <c r="G742" s="12" t="s">
        <v>1121</v>
      </c>
      <c r="H742" s="1" t="s">
        <v>1121</v>
      </c>
      <c r="I742" s="1" t="s">
        <v>511</v>
      </c>
      <c r="J742" s="30">
        <v>1</v>
      </c>
      <c r="K742" s="30">
        <v>10000</v>
      </c>
      <c r="L742" s="31">
        <v>10000</v>
      </c>
      <c r="M742" s="1" t="s">
        <v>30</v>
      </c>
      <c r="N742" s="1" t="s">
        <v>17</v>
      </c>
      <c r="O742" s="1" t="s">
        <v>2057</v>
      </c>
      <c r="P742" s="1" t="s">
        <v>2056</v>
      </c>
      <c r="Q742" s="1" t="s">
        <v>636</v>
      </c>
      <c r="R742" s="1">
        <f t="shared" si="11"/>
        <v>3</v>
      </c>
      <c r="S742" s="4">
        <f>J742*K742*M742</f>
        <v>1000</v>
      </c>
    </row>
    <row r="743" spans="1:19" ht="43" hidden="1" customHeight="1">
      <c r="A743" s="1" t="s">
        <v>2280</v>
      </c>
      <c r="B743" s="1" t="s">
        <v>1262</v>
      </c>
      <c r="C743" s="29">
        <v>45838.622051655097</v>
      </c>
      <c r="D743" s="1" t="s">
        <v>3052</v>
      </c>
      <c r="E743" s="1" t="s">
        <v>3053</v>
      </c>
      <c r="F743" s="1">
        <v>27</v>
      </c>
      <c r="G743" s="12" t="s">
        <v>1121</v>
      </c>
      <c r="H743" s="1" t="s">
        <v>1121</v>
      </c>
      <c r="I743" s="1" t="s">
        <v>130</v>
      </c>
      <c r="J743" s="30">
        <v>5</v>
      </c>
      <c r="K743" s="30">
        <v>20000</v>
      </c>
      <c r="L743" s="31">
        <v>100000</v>
      </c>
      <c r="M743" s="1" t="s">
        <v>30</v>
      </c>
      <c r="N743" s="1" t="s">
        <v>17</v>
      </c>
      <c r="O743" s="1" t="s">
        <v>2057</v>
      </c>
      <c r="P743" s="1" t="s">
        <v>2056</v>
      </c>
      <c r="Q743" s="1" t="s">
        <v>828</v>
      </c>
      <c r="R743" s="1">
        <f t="shared" si="11"/>
        <v>2</v>
      </c>
      <c r="S743" s="4">
        <f>J743*K743*M743</f>
        <v>10000</v>
      </c>
    </row>
    <row r="744" spans="1:19" ht="43" hidden="1" customHeight="1">
      <c r="A744" s="1" t="s">
        <v>2280</v>
      </c>
      <c r="B744" s="1" t="s">
        <v>1398</v>
      </c>
      <c r="C744" s="29">
        <v>45996.640779340298</v>
      </c>
      <c r="D744" s="1" t="s">
        <v>3058</v>
      </c>
      <c r="E744" s="1" t="s">
        <v>3059</v>
      </c>
      <c r="F744" s="1">
        <v>5</v>
      </c>
      <c r="G744" s="12" t="s">
        <v>1243</v>
      </c>
      <c r="H744" s="1" t="s">
        <v>1243</v>
      </c>
      <c r="I744" s="1" t="s">
        <v>62</v>
      </c>
      <c r="J744" s="30">
        <v>6</v>
      </c>
      <c r="K744" s="30">
        <v>50000</v>
      </c>
      <c r="L744" s="31">
        <v>300000</v>
      </c>
      <c r="M744" s="1" t="s">
        <v>16</v>
      </c>
      <c r="N744" s="1" t="s">
        <v>17</v>
      </c>
      <c r="O744" s="1" t="s">
        <v>2057</v>
      </c>
      <c r="P744" s="1" t="s">
        <v>2056</v>
      </c>
      <c r="Q744" s="1" t="s">
        <v>304</v>
      </c>
      <c r="R744" s="1">
        <f t="shared" si="11"/>
        <v>4</v>
      </c>
      <c r="S744" s="4">
        <f>J744*K744*M744</f>
        <v>24000</v>
      </c>
    </row>
    <row r="745" spans="1:19" ht="43" hidden="1" customHeight="1">
      <c r="A745" s="1" t="s">
        <v>2280</v>
      </c>
      <c r="B745" s="1" t="s">
        <v>1445</v>
      </c>
      <c r="C745" s="29">
        <v>45958.591443275502</v>
      </c>
      <c r="D745" s="1" t="s">
        <v>3054</v>
      </c>
      <c r="E745" s="1" t="s">
        <v>3055</v>
      </c>
      <c r="F745" s="1">
        <v>1</v>
      </c>
      <c r="G745" s="12" t="s">
        <v>1243</v>
      </c>
      <c r="H745" s="1" t="s">
        <v>1243</v>
      </c>
      <c r="I745" s="1" t="s">
        <v>62</v>
      </c>
      <c r="J745" s="30">
        <v>18</v>
      </c>
      <c r="K745" s="30">
        <v>55000</v>
      </c>
      <c r="L745" s="31">
        <v>990000</v>
      </c>
      <c r="M745" s="1" t="s">
        <v>16</v>
      </c>
      <c r="N745" s="1" t="s">
        <v>17</v>
      </c>
      <c r="O745" s="1" t="s">
        <v>2057</v>
      </c>
      <c r="P745" s="1" t="s">
        <v>2056</v>
      </c>
      <c r="Q745" s="1" t="s">
        <v>1581</v>
      </c>
      <c r="R745" s="1">
        <f t="shared" si="11"/>
        <v>4</v>
      </c>
      <c r="S745" s="4">
        <f>J745*K745*M745</f>
        <v>79200</v>
      </c>
    </row>
    <row r="746" spans="1:19" ht="43" hidden="1" customHeight="1">
      <c r="A746" s="1" t="s">
        <v>2280</v>
      </c>
      <c r="B746" s="1" t="s">
        <v>1467</v>
      </c>
      <c r="C746" s="29">
        <v>45928.732318564798</v>
      </c>
      <c r="D746" s="1" t="s">
        <v>3052</v>
      </c>
      <c r="E746" s="1" t="s">
        <v>3053</v>
      </c>
      <c r="F746" s="1">
        <v>48</v>
      </c>
      <c r="G746" s="12" t="s">
        <v>1243</v>
      </c>
      <c r="H746" s="1" t="s">
        <v>1243</v>
      </c>
      <c r="I746" s="1" t="s">
        <v>62</v>
      </c>
      <c r="J746" s="30">
        <v>10</v>
      </c>
      <c r="K746" s="30">
        <v>52000</v>
      </c>
      <c r="L746" s="31">
        <v>520000</v>
      </c>
      <c r="M746" s="1" t="s">
        <v>16</v>
      </c>
      <c r="N746" s="1" t="s">
        <v>17</v>
      </c>
      <c r="O746" s="1" t="s">
        <v>2057</v>
      </c>
      <c r="P746" s="1" t="s">
        <v>2056</v>
      </c>
      <c r="Q746" s="1" t="s">
        <v>546</v>
      </c>
      <c r="R746" s="1">
        <f t="shared" si="11"/>
        <v>3</v>
      </c>
      <c r="S746" s="4">
        <f>J746*K746*M746</f>
        <v>41600</v>
      </c>
    </row>
    <row r="747" spans="1:19" ht="43" hidden="1" customHeight="1">
      <c r="A747" s="1" t="s">
        <v>2280</v>
      </c>
      <c r="B747" s="1" t="s">
        <v>305</v>
      </c>
      <c r="C747" s="29">
        <v>45709.705238449103</v>
      </c>
      <c r="D747" s="1" t="s">
        <v>3052</v>
      </c>
      <c r="E747" s="1" t="s">
        <v>3053</v>
      </c>
      <c r="F747" s="1">
        <v>4</v>
      </c>
      <c r="G747" s="12" t="s">
        <v>1243</v>
      </c>
      <c r="H747" s="1" t="s">
        <v>1243</v>
      </c>
      <c r="I747" s="1" t="s">
        <v>62</v>
      </c>
      <c r="J747" s="30">
        <v>70</v>
      </c>
      <c r="K747" s="30">
        <v>50000</v>
      </c>
      <c r="L747" s="31">
        <v>3500000</v>
      </c>
      <c r="M747" s="1" t="s">
        <v>16</v>
      </c>
      <c r="N747" s="1" t="s">
        <v>17</v>
      </c>
      <c r="O747" s="1" t="s">
        <v>2057</v>
      </c>
      <c r="P747" s="1" t="s">
        <v>2056</v>
      </c>
      <c r="Q747" s="1" t="s">
        <v>2040</v>
      </c>
      <c r="R747" s="1">
        <f t="shared" si="11"/>
        <v>1</v>
      </c>
      <c r="S747" s="4">
        <f>J747*K747*M747</f>
        <v>280000</v>
      </c>
    </row>
    <row r="748" spans="1:19" ht="43" customHeight="1">
      <c r="A748" s="1" t="s">
        <v>2280</v>
      </c>
      <c r="B748" s="1" t="s">
        <v>1412</v>
      </c>
      <c r="C748" s="29">
        <v>45898.896986157401</v>
      </c>
      <c r="D748" s="1" t="s">
        <v>3052</v>
      </c>
      <c r="E748" s="1" t="s">
        <v>3053</v>
      </c>
      <c r="F748" s="1">
        <v>59</v>
      </c>
      <c r="H748" s="1" t="s">
        <v>1699</v>
      </c>
      <c r="I748" s="1" t="s">
        <v>130</v>
      </c>
      <c r="J748" s="30">
        <v>1</v>
      </c>
      <c r="K748" s="30">
        <v>1380000</v>
      </c>
      <c r="L748" s="31">
        <v>1380000</v>
      </c>
      <c r="M748" s="1" t="s">
        <v>16</v>
      </c>
      <c r="N748" s="1" t="s">
        <v>17</v>
      </c>
      <c r="O748" s="1" t="s">
        <v>2057</v>
      </c>
      <c r="P748" s="1" t="s">
        <v>2056</v>
      </c>
      <c r="Q748" s="1" t="s">
        <v>652</v>
      </c>
      <c r="R748" s="1">
        <f t="shared" si="11"/>
        <v>3</v>
      </c>
      <c r="S748" s="4">
        <f>J748*K748*M748</f>
        <v>110400</v>
      </c>
    </row>
    <row r="749" spans="1:19" ht="43" customHeight="1">
      <c r="A749" s="1" t="s">
        <v>2280</v>
      </c>
      <c r="B749" s="1" t="s">
        <v>126</v>
      </c>
      <c r="C749" s="29">
        <v>45898.896719536999</v>
      </c>
      <c r="D749" s="1" t="s">
        <v>3052</v>
      </c>
      <c r="E749" s="1" t="s">
        <v>3053</v>
      </c>
      <c r="F749" s="1">
        <v>7</v>
      </c>
      <c r="H749" s="1" t="s">
        <v>1713</v>
      </c>
      <c r="I749" s="1" t="s">
        <v>130</v>
      </c>
      <c r="J749" s="30">
        <v>1</v>
      </c>
      <c r="K749" s="30">
        <v>800000</v>
      </c>
      <c r="L749" s="31">
        <v>800000</v>
      </c>
      <c r="M749" s="1" t="s">
        <v>30</v>
      </c>
      <c r="N749" s="1" t="s">
        <v>17</v>
      </c>
      <c r="O749" s="1" t="s">
        <v>2057</v>
      </c>
      <c r="P749" s="1" t="s">
        <v>2056</v>
      </c>
      <c r="Q749" s="1" t="s">
        <v>652</v>
      </c>
      <c r="R749" s="1">
        <f t="shared" si="11"/>
        <v>3</v>
      </c>
      <c r="S749" s="4">
        <f>J749*K749*M749</f>
        <v>80000</v>
      </c>
    </row>
    <row r="750" spans="1:19" ht="43" hidden="1" customHeight="1">
      <c r="A750" s="1" t="s">
        <v>2280</v>
      </c>
      <c r="B750" s="1" t="s">
        <v>1467</v>
      </c>
      <c r="C750" s="29">
        <v>45928.732318564798</v>
      </c>
      <c r="D750" s="1" t="s">
        <v>3052</v>
      </c>
      <c r="E750" s="1" t="s">
        <v>3053</v>
      </c>
      <c r="F750" s="1">
        <v>60</v>
      </c>
      <c r="G750" s="12" t="s">
        <v>1632</v>
      </c>
      <c r="H750" s="1" t="s">
        <v>1632</v>
      </c>
      <c r="I750" s="1" t="s">
        <v>130</v>
      </c>
      <c r="J750" s="30">
        <v>1</v>
      </c>
      <c r="K750" s="30">
        <v>2540000</v>
      </c>
      <c r="L750" s="31">
        <v>2540000</v>
      </c>
      <c r="M750" s="1" t="s">
        <v>16</v>
      </c>
      <c r="N750" s="1" t="s">
        <v>17</v>
      </c>
      <c r="O750" s="1" t="s">
        <v>2057</v>
      </c>
      <c r="P750" s="1" t="s">
        <v>2056</v>
      </c>
      <c r="Q750" s="1" t="s">
        <v>546</v>
      </c>
      <c r="R750" s="1">
        <f t="shared" si="11"/>
        <v>3</v>
      </c>
      <c r="S750" s="4">
        <f>J750*K750*M750</f>
        <v>203200</v>
      </c>
    </row>
    <row r="751" spans="1:19" ht="43" hidden="1" customHeight="1">
      <c r="A751" s="1" t="s">
        <v>2280</v>
      </c>
      <c r="B751" s="1" t="s">
        <v>1400</v>
      </c>
      <c r="C751" s="29">
        <v>45990.721094398097</v>
      </c>
      <c r="D751" s="1" t="s">
        <v>3052</v>
      </c>
      <c r="E751" s="1" t="s">
        <v>3053</v>
      </c>
      <c r="F751" s="1">
        <v>6</v>
      </c>
      <c r="G751" s="12" t="s">
        <v>735</v>
      </c>
      <c r="H751" s="1" t="s">
        <v>735</v>
      </c>
      <c r="I751" s="1" t="s">
        <v>130</v>
      </c>
      <c r="J751" s="30">
        <v>2</v>
      </c>
      <c r="K751" s="30">
        <v>2800000</v>
      </c>
      <c r="L751" s="31">
        <v>5600000</v>
      </c>
      <c r="M751" s="1" t="s">
        <v>16</v>
      </c>
      <c r="N751" s="1" t="s">
        <v>17</v>
      </c>
      <c r="O751" s="1" t="s">
        <v>2057</v>
      </c>
      <c r="P751" s="1" t="s">
        <v>2056</v>
      </c>
      <c r="Q751" s="1" t="s">
        <v>1531</v>
      </c>
      <c r="R751" s="1">
        <f t="shared" si="11"/>
        <v>4</v>
      </c>
      <c r="S751" s="4">
        <f>J751*K751*M751</f>
        <v>448000</v>
      </c>
    </row>
    <row r="752" spans="1:19" ht="43" hidden="1" customHeight="1">
      <c r="A752" s="1" t="s">
        <v>2280</v>
      </c>
      <c r="B752" s="1" t="s">
        <v>1412</v>
      </c>
      <c r="C752" s="29">
        <v>45898.896986157401</v>
      </c>
      <c r="D752" s="1" t="s">
        <v>3052</v>
      </c>
      <c r="E752" s="1" t="s">
        <v>3053</v>
      </c>
      <c r="F752" s="1">
        <v>6</v>
      </c>
      <c r="G752" s="12" t="s">
        <v>735</v>
      </c>
      <c r="H752" s="1" t="s">
        <v>735</v>
      </c>
      <c r="I752" s="1" t="s">
        <v>130</v>
      </c>
      <c r="J752" s="30">
        <v>3</v>
      </c>
      <c r="K752" s="30">
        <v>4650000</v>
      </c>
      <c r="L752" s="31">
        <v>13950000</v>
      </c>
      <c r="M752" s="1" t="s">
        <v>16</v>
      </c>
      <c r="N752" s="1" t="s">
        <v>17</v>
      </c>
      <c r="O752" s="1" t="s">
        <v>2057</v>
      </c>
      <c r="P752" s="1" t="s">
        <v>2056</v>
      </c>
      <c r="Q752" s="1" t="s">
        <v>652</v>
      </c>
      <c r="R752" s="1">
        <f t="shared" si="11"/>
        <v>3</v>
      </c>
      <c r="S752" s="4">
        <f>J752*K752*M752</f>
        <v>1116000</v>
      </c>
    </row>
    <row r="753" spans="1:19" ht="43" customHeight="1">
      <c r="A753" s="1" t="s">
        <v>2280</v>
      </c>
      <c r="B753" s="1" t="s">
        <v>1419</v>
      </c>
      <c r="C753" s="29">
        <v>45866.749486990702</v>
      </c>
      <c r="D753" s="1" t="s">
        <v>3052</v>
      </c>
      <c r="E753" s="1" t="s">
        <v>3053</v>
      </c>
      <c r="F753" s="1">
        <v>9</v>
      </c>
      <c r="H753" s="1" t="s">
        <v>1766</v>
      </c>
      <c r="I753" s="1" t="s">
        <v>130</v>
      </c>
      <c r="J753" s="30">
        <v>1</v>
      </c>
      <c r="K753" s="30">
        <v>2850000</v>
      </c>
      <c r="L753" s="31">
        <v>2850000</v>
      </c>
      <c r="M753" s="1" t="s">
        <v>30</v>
      </c>
      <c r="N753" s="1" t="s">
        <v>17</v>
      </c>
      <c r="O753" s="1" t="s">
        <v>2057</v>
      </c>
      <c r="P753" s="1" t="s">
        <v>2056</v>
      </c>
      <c r="Q753" s="1" t="s">
        <v>1763</v>
      </c>
      <c r="R753" s="1">
        <f t="shared" si="11"/>
        <v>3</v>
      </c>
      <c r="S753" s="4">
        <f>J753*K753*M753</f>
        <v>285000</v>
      </c>
    </row>
    <row r="754" spans="1:19" ht="43" customHeight="1">
      <c r="A754" s="1" t="s">
        <v>2280</v>
      </c>
      <c r="B754" s="1" t="s">
        <v>1412</v>
      </c>
      <c r="C754" s="29">
        <v>45898.896986157401</v>
      </c>
      <c r="D754" s="1" t="s">
        <v>3052</v>
      </c>
      <c r="E754" s="1" t="s">
        <v>3053</v>
      </c>
      <c r="F754" s="1">
        <v>30</v>
      </c>
      <c r="H754" s="1" t="s">
        <v>1684</v>
      </c>
      <c r="I754" s="1" t="s">
        <v>130</v>
      </c>
      <c r="J754" s="30">
        <v>2</v>
      </c>
      <c r="K754" s="30">
        <v>1750000</v>
      </c>
      <c r="L754" s="31">
        <v>3500000</v>
      </c>
      <c r="M754" s="1" t="s">
        <v>16</v>
      </c>
      <c r="N754" s="1" t="s">
        <v>17</v>
      </c>
      <c r="O754" s="1" t="s">
        <v>2057</v>
      </c>
      <c r="P754" s="1" t="s">
        <v>2056</v>
      </c>
      <c r="Q754" s="1" t="s">
        <v>652</v>
      </c>
      <c r="R754" s="1">
        <f t="shared" si="11"/>
        <v>3</v>
      </c>
      <c r="S754" s="4">
        <f>J754*K754*M754</f>
        <v>280000</v>
      </c>
    </row>
    <row r="755" spans="1:19" ht="43" customHeight="1">
      <c r="A755" s="1" t="s">
        <v>2280</v>
      </c>
      <c r="B755" s="1" t="s">
        <v>1419</v>
      </c>
      <c r="C755" s="29">
        <v>45866.749486990702</v>
      </c>
      <c r="D755" s="1" t="s">
        <v>3052</v>
      </c>
      <c r="E755" s="1" t="s">
        <v>3053</v>
      </c>
      <c r="F755" s="1">
        <v>20</v>
      </c>
      <c r="H755" s="1" t="s">
        <v>1768</v>
      </c>
      <c r="I755" s="1" t="s">
        <v>130</v>
      </c>
      <c r="J755" s="30">
        <v>4</v>
      </c>
      <c r="K755" s="30">
        <v>4650000</v>
      </c>
      <c r="L755" s="31">
        <v>18600000</v>
      </c>
      <c r="M755" s="1" t="s">
        <v>30</v>
      </c>
      <c r="N755" s="1" t="s">
        <v>17</v>
      </c>
      <c r="O755" s="1" t="s">
        <v>2057</v>
      </c>
      <c r="P755" s="1" t="s">
        <v>2056</v>
      </c>
      <c r="Q755" s="1" t="s">
        <v>1763</v>
      </c>
      <c r="R755" s="1">
        <f t="shared" si="11"/>
        <v>3</v>
      </c>
      <c r="S755" s="4">
        <f>J755*K755*M755</f>
        <v>1860000</v>
      </c>
    </row>
    <row r="756" spans="1:19" ht="43" customHeight="1">
      <c r="A756" s="1" t="s">
        <v>2280</v>
      </c>
      <c r="B756" s="1" t="s">
        <v>1412</v>
      </c>
      <c r="C756" s="29">
        <v>45898.896986157401</v>
      </c>
      <c r="D756" s="1" t="s">
        <v>3052</v>
      </c>
      <c r="E756" s="1" t="s">
        <v>3053</v>
      </c>
      <c r="F756" s="1">
        <v>63</v>
      </c>
      <c r="H756" s="1" t="s">
        <v>1702</v>
      </c>
      <c r="I756" s="1" t="s">
        <v>130</v>
      </c>
      <c r="J756" s="30">
        <v>1</v>
      </c>
      <c r="K756" s="30">
        <v>1250000</v>
      </c>
      <c r="L756" s="31">
        <v>1250000</v>
      </c>
      <c r="M756" s="1" t="s">
        <v>16</v>
      </c>
      <c r="N756" s="1" t="s">
        <v>17</v>
      </c>
      <c r="O756" s="1" t="s">
        <v>2057</v>
      </c>
      <c r="P756" s="1" t="s">
        <v>2056</v>
      </c>
      <c r="Q756" s="1" t="s">
        <v>652</v>
      </c>
      <c r="R756" s="1">
        <f t="shared" si="11"/>
        <v>3</v>
      </c>
      <c r="S756" s="4">
        <f>J756*K756*M756</f>
        <v>100000</v>
      </c>
    </row>
    <row r="757" spans="1:19" ht="43" customHeight="1">
      <c r="A757" s="1" t="s">
        <v>2280</v>
      </c>
      <c r="B757" s="1" t="s">
        <v>1419</v>
      </c>
      <c r="C757" s="29">
        <v>45866.749486990702</v>
      </c>
      <c r="D757" s="1" t="s">
        <v>3052</v>
      </c>
      <c r="E757" s="1" t="s">
        <v>3053</v>
      </c>
      <c r="F757" s="1">
        <v>21</v>
      </c>
      <c r="H757" s="1" t="s">
        <v>1769</v>
      </c>
      <c r="I757" s="1" t="s">
        <v>130</v>
      </c>
      <c r="J757" s="30">
        <v>1</v>
      </c>
      <c r="K757" s="30">
        <v>2450000</v>
      </c>
      <c r="L757" s="31">
        <v>2450000</v>
      </c>
      <c r="M757" s="1" t="s">
        <v>30</v>
      </c>
      <c r="N757" s="1" t="s">
        <v>17</v>
      </c>
      <c r="O757" s="1" t="s">
        <v>2057</v>
      </c>
      <c r="P757" s="1" t="s">
        <v>2056</v>
      </c>
      <c r="Q757" s="1" t="s">
        <v>1763</v>
      </c>
      <c r="R757" s="1">
        <f t="shared" si="11"/>
        <v>3</v>
      </c>
      <c r="S757" s="4">
        <f>J757*K757*M757</f>
        <v>245000</v>
      </c>
    </row>
    <row r="758" spans="1:19" ht="43" customHeight="1">
      <c r="A758" s="1" t="s">
        <v>2280</v>
      </c>
      <c r="B758" s="1" t="s">
        <v>194</v>
      </c>
      <c r="C758" s="29">
        <v>45747.667547175901</v>
      </c>
      <c r="D758" s="1" t="s">
        <v>3071</v>
      </c>
      <c r="E758" s="1" t="s">
        <v>3053</v>
      </c>
      <c r="F758" s="1">
        <v>5</v>
      </c>
      <c r="H758" s="1" t="s">
        <v>1994</v>
      </c>
      <c r="I758" s="1" t="s">
        <v>130</v>
      </c>
      <c r="J758" s="30">
        <v>1</v>
      </c>
      <c r="K758" s="30">
        <v>3863636</v>
      </c>
      <c r="L758" s="31">
        <v>3863636</v>
      </c>
      <c r="M758" s="1" t="s">
        <v>30</v>
      </c>
      <c r="N758" s="1" t="s">
        <v>17</v>
      </c>
      <c r="O758" s="1" t="s">
        <v>2057</v>
      </c>
      <c r="P758" s="1" t="s">
        <v>2056</v>
      </c>
      <c r="Q758" s="1" t="s">
        <v>42</v>
      </c>
      <c r="R758" s="1">
        <f t="shared" si="11"/>
        <v>1</v>
      </c>
      <c r="S758" s="4">
        <f>J758*K758*M758</f>
        <v>386363.60000000003</v>
      </c>
    </row>
    <row r="759" spans="1:19" ht="43" customHeight="1">
      <c r="A759" s="1" t="s">
        <v>2280</v>
      </c>
      <c r="B759" s="1" t="s">
        <v>221</v>
      </c>
      <c r="C759" s="29">
        <v>45776.500553657403</v>
      </c>
      <c r="D759" s="1" t="s">
        <v>3052</v>
      </c>
      <c r="E759" s="1" t="s">
        <v>3053</v>
      </c>
      <c r="F759" s="1">
        <v>11</v>
      </c>
      <c r="H759" s="1" t="s">
        <v>1909</v>
      </c>
      <c r="I759" s="1" t="s">
        <v>130</v>
      </c>
      <c r="J759" s="30">
        <v>1</v>
      </c>
      <c r="K759" s="30">
        <v>2800000</v>
      </c>
      <c r="L759" s="31">
        <v>2800000</v>
      </c>
      <c r="M759" s="1" t="s">
        <v>30</v>
      </c>
      <c r="N759" s="1" t="s">
        <v>17</v>
      </c>
      <c r="O759" s="1" t="s">
        <v>2057</v>
      </c>
      <c r="P759" s="1" t="s">
        <v>2056</v>
      </c>
      <c r="Q759" s="1" t="s">
        <v>937</v>
      </c>
      <c r="R759" s="1">
        <f t="shared" si="11"/>
        <v>2</v>
      </c>
      <c r="S759" s="4">
        <f>J759*K759*M759</f>
        <v>280000</v>
      </c>
    </row>
    <row r="760" spans="1:19" ht="43" customHeight="1">
      <c r="A760" s="1" t="s">
        <v>2280</v>
      </c>
      <c r="B760" s="1" t="s">
        <v>1419</v>
      </c>
      <c r="C760" s="29">
        <v>45866.749486990702</v>
      </c>
      <c r="D760" s="1" t="s">
        <v>3052</v>
      </c>
      <c r="E760" s="1" t="s">
        <v>3053</v>
      </c>
      <c r="F760" s="1">
        <v>22</v>
      </c>
      <c r="H760" s="1" t="s">
        <v>1770</v>
      </c>
      <c r="I760" s="1" t="s">
        <v>130</v>
      </c>
      <c r="J760" s="30">
        <v>1</v>
      </c>
      <c r="K760" s="30">
        <v>1250000</v>
      </c>
      <c r="L760" s="31">
        <v>1250000</v>
      </c>
      <c r="M760" s="1" t="s">
        <v>30</v>
      </c>
      <c r="N760" s="1" t="s">
        <v>17</v>
      </c>
      <c r="O760" s="1" t="s">
        <v>2057</v>
      </c>
      <c r="P760" s="1" t="s">
        <v>2056</v>
      </c>
      <c r="Q760" s="1" t="s">
        <v>1763</v>
      </c>
      <c r="R760" s="1">
        <f t="shared" si="11"/>
        <v>3</v>
      </c>
      <c r="S760" s="4">
        <f>J760*K760*M760</f>
        <v>125000</v>
      </c>
    </row>
    <row r="761" spans="1:19" ht="43" hidden="1" customHeight="1">
      <c r="A761" s="1" t="s">
        <v>2280</v>
      </c>
      <c r="B761" s="1" t="s">
        <v>1262</v>
      </c>
      <c r="C761" s="29">
        <v>45838.622051655097</v>
      </c>
      <c r="D761" s="1" t="s">
        <v>3052</v>
      </c>
      <c r="E761" s="1" t="s">
        <v>3053</v>
      </c>
      <c r="F761" s="1">
        <v>11</v>
      </c>
      <c r="G761" s="12" t="s">
        <v>2651</v>
      </c>
      <c r="H761" s="1" t="s">
        <v>1807</v>
      </c>
      <c r="I761" s="1" t="s">
        <v>130</v>
      </c>
      <c r="J761" s="30">
        <v>1</v>
      </c>
      <c r="K761" s="30">
        <v>4650000</v>
      </c>
      <c r="L761" s="31">
        <v>4650000</v>
      </c>
      <c r="M761" s="1" t="s">
        <v>30</v>
      </c>
      <c r="N761" s="1" t="s">
        <v>17</v>
      </c>
      <c r="O761" s="1" t="s">
        <v>2057</v>
      </c>
      <c r="P761" s="1" t="s">
        <v>2056</v>
      </c>
      <c r="Q761" s="1" t="s">
        <v>828</v>
      </c>
      <c r="R761" s="1">
        <f t="shared" si="11"/>
        <v>2</v>
      </c>
      <c r="S761" s="4">
        <f>J761*K761*M761</f>
        <v>465000</v>
      </c>
    </row>
    <row r="762" spans="1:19" ht="43" hidden="1" customHeight="1">
      <c r="A762" s="1" t="s">
        <v>2280</v>
      </c>
      <c r="B762" s="1" t="s">
        <v>1462</v>
      </c>
      <c r="C762" s="29">
        <v>45928.944135983802</v>
      </c>
      <c r="D762" s="1" t="s">
        <v>3052</v>
      </c>
      <c r="E762" s="1" t="s">
        <v>3053</v>
      </c>
      <c r="F762" s="1">
        <v>17</v>
      </c>
      <c r="G762" s="12" t="s">
        <v>632</v>
      </c>
      <c r="H762" s="1" t="s">
        <v>632</v>
      </c>
      <c r="I762" s="1" t="s">
        <v>130</v>
      </c>
      <c r="J762" s="30">
        <v>1</v>
      </c>
      <c r="K762" s="30">
        <v>4350000</v>
      </c>
      <c r="L762" s="31">
        <v>4350000</v>
      </c>
      <c r="M762" s="1" t="s">
        <v>16</v>
      </c>
      <c r="N762" s="1" t="s">
        <v>17</v>
      </c>
      <c r="O762" s="1" t="s">
        <v>2057</v>
      </c>
      <c r="P762" s="1" t="s">
        <v>2056</v>
      </c>
      <c r="Q762" s="1" t="s">
        <v>546</v>
      </c>
      <c r="R762" s="1">
        <f t="shared" si="11"/>
        <v>3</v>
      </c>
      <c r="S762" s="4">
        <f>J762*K762*M762</f>
        <v>348000</v>
      </c>
    </row>
    <row r="763" spans="1:19" ht="43" customHeight="1">
      <c r="A763" s="1" t="s">
        <v>2072</v>
      </c>
      <c r="B763" s="1" t="s">
        <v>1315</v>
      </c>
      <c r="C763" s="29">
        <v>46013.422500011598</v>
      </c>
      <c r="D763" s="1" t="s">
        <v>3077</v>
      </c>
      <c r="E763" s="1" t="s">
        <v>3078</v>
      </c>
      <c r="F763" s="1">
        <v>4</v>
      </c>
      <c r="H763" s="1" t="s">
        <v>1519</v>
      </c>
      <c r="I763" s="1" t="s">
        <v>1520</v>
      </c>
      <c r="J763" s="30">
        <v>1</v>
      </c>
      <c r="K763" s="30">
        <v>500000</v>
      </c>
      <c r="L763" s="31">
        <v>500000</v>
      </c>
      <c r="M763" s="1" t="s">
        <v>16</v>
      </c>
      <c r="N763" s="1" t="s">
        <v>17</v>
      </c>
      <c r="O763" s="1" t="s">
        <v>2057</v>
      </c>
      <c r="P763" s="1" t="s">
        <v>2056</v>
      </c>
      <c r="Q763" s="1" t="s">
        <v>1508</v>
      </c>
      <c r="R763" s="1">
        <f t="shared" si="11"/>
        <v>4</v>
      </c>
      <c r="S763" s="4">
        <f>J763*K763*M763</f>
        <v>40000</v>
      </c>
    </row>
    <row r="764" spans="1:19" ht="43" hidden="1" customHeight="1">
      <c r="A764" s="1" t="s">
        <v>2280</v>
      </c>
      <c r="B764" s="1" t="s">
        <v>379</v>
      </c>
      <c r="C764" s="29">
        <v>45959.6544954282</v>
      </c>
      <c r="D764" s="1" t="s">
        <v>3052</v>
      </c>
      <c r="E764" s="1" t="s">
        <v>3053</v>
      </c>
      <c r="F764" s="1">
        <v>2</v>
      </c>
      <c r="G764" s="12" t="s">
        <v>161</v>
      </c>
      <c r="H764" s="1" t="s">
        <v>161</v>
      </c>
      <c r="I764" s="1" t="s">
        <v>130</v>
      </c>
      <c r="J764" s="30">
        <v>1</v>
      </c>
      <c r="K764" s="30">
        <v>5500000</v>
      </c>
      <c r="L764" s="31">
        <v>5500000</v>
      </c>
      <c r="M764" s="1" t="s">
        <v>16</v>
      </c>
      <c r="N764" s="1" t="s">
        <v>17</v>
      </c>
      <c r="O764" s="1" t="s">
        <v>2057</v>
      </c>
      <c r="P764" s="1" t="s">
        <v>2056</v>
      </c>
      <c r="Q764" s="1" t="s">
        <v>1578</v>
      </c>
      <c r="R764" s="1">
        <f t="shared" si="11"/>
        <v>4</v>
      </c>
      <c r="S764" s="4">
        <f>J764*K764*M764</f>
        <v>440000</v>
      </c>
    </row>
    <row r="765" spans="1:19" ht="43" hidden="1" customHeight="1">
      <c r="A765" s="1" t="s">
        <v>2280</v>
      </c>
      <c r="B765" s="1" t="s">
        <v>1462</v>
      </c>
      <c r="C765" s="29">
        <v>45928.944135983802</v>
      </c>
      <c r="D765" s="1" t="s">
        <v>3052</v>
      </c>
      <c r="E765" s="1" t="s">
        <v>3053</v>
      </c>
      <c r="F765" s="1">
        <v>36</v>
      </c>
      <c r="G765" s="12" t="s">
        <v>161</v>
      </c>
      <c r="H765" s="1" t="s">
        <v>161</v>
      </c>
      <c r="I765" s="1" t="s">
        <v>130</v>
      </c>
      <c r="J765" s="30">
        <v>1</v>
      </c>
      <c r="K765" s="30">
        <v>5000000</v>
      </c>
      <c r="L765" s="31">
        <v>5000000</v>
      </c>
      <c r="M765" s="1" t="s">
        <v>16</v>
      </c>
      <c r="N765" s="1" t="s">
        <v>17</v>
      </c>
      <c r="O765" s="1" t="s">
        <v>2057</v>
      </c>
      <c r="P765" s="1" t="s">
        <v>2056</v>
      </c>
      <c r="Q765" s="1" t="s">
        <v>546</v>
      </c>
      <c r="R765" s="1">
        <f t="shared" si="11"/>
        <v>3</v>
      </c>
      <c r="S765" s="4">
        <f>J765*K765*M765</f>
        <v>400000</v>
      </c>
    </row>
    <row r="766" spans="1:19" ht="43" hidden="1" customHeight="1">
      <c r="A766" s="1" t="s">
        <v>2280</v>
      </c>
      <c r="B766" s="1" t="s">
        <v>1267</v>
      </c>
      <c r="C766" s="29">
        <v>45836.662306689803</v>
      </c>
      <c r="D766" s="1" t="s">
        <v>3072</v>
      </c>
      <c r="E766" s="1" t="s">
        <v>3073</v>
      </c>
      <c r="F766" s="1">
        <v>6</v>
      </c>
      <c r="G766" s="12" t="s">
        <v>161</v>
      </c>
      <c r="H766" s="1" t="s">
        <v>161</v>
      </c>
      <c r="I766" s="1" t="s">
        <v>130</v>
      </c>
      <c r="J766" s="30">
        <v>1</v>
      </c>
      <c r="K766" s="30">
        <v>2500000</v>
      </c>
      <c r="L766" s="31">
        <v>2500000</v>
      </c>
      <c r="M766" s="1" t="s">
        <v>30</v>
      </c>
      <c r="N766" s="1" t="s">
        <v>17</v>
      </c>
      <c r="O766" s="1" t="s">
        <v>2057</v>
      </c>
      <c r="P766" s="1" t="s">
        <v>2056</v>
      </c>
      <c r="Q766" s="1" t="s">
        <v>845</v>
      </c>
      <c r="R766" s="1">
        <f t="shared" si="11"/>
        <v>2</v>
      </c>
      <c r="S766" s="4">
        <f>J766*K766*M766</f>
        <v>250000</v>
      </c>
    </row>
    <row r="767" spans="1:19" ht="43" hidden="1" customHeight="1">
      <c r="A767" s="1" t="s">
        <v>2280</v>
      </c>
      <c r="B767" s="1" t="s">
        <v>153</v>
      </c>
      <c r="C767" s="29">
        <v>45747.668173564802</v>
      </c>
      <c r="D767" s="1" t="s">
        <v>3071</v>
      </c>
      <c r="E767" s="1" t="s">
        <v>3053</v>
      </c>
      <c r="F767" s="1">
        <v>5</v>
      </c>
      <c r="G767" s="12" t="s">
        <v>161</v>
      </c>
      <c r="H767" s="1" t="s">
        <v>161</v>
      </c>
      <c r="I767" s="1" t="s">
        <v>130</v>
      </c>
      <c r="J767" s="30">
        <v>1</v>
      </c>
      <c r="K767" s="30">
        <v>9000000</v>
      </c>
      <c r="L767" s="31">
        <v>9000000</v>
      </c>
      <c r="M767" s="1" t="s">
        <v>16</v>
      </c>
      <c r="N767" s="1" t="s">
        <v>17</v>
      </c>
      <c r="O767" s="1" t="s">
        <v>2057</v>
      </c>
      <c r="P767" s="1" t="s">
        <v>2056</v>
      </c>
      <c r="Q767" s="1" t="s">
        <v>42</v>
      </c>
      <c r="R767" s="1">
        <f t="shared" si="11"/>
        <v>1</v>
      </c>
      <c r="S767" s="4">
        <f>J767*K767*M767</f>
        <v>720000</v>
      </c>
    </row>
    <row r="768" spans="1:19" ht="43" customHeight="1">
      <c r="A768" s="1" t="s">
        <v>2280</v>
      </c>
      <c r="B768" s="1" t="s">
        <v>1412</v>
      </c>
      <c r="C768" s="29">
        <v>45898.896986157401</v>
      </c>
      <c r="D768" s="1" t="s">
        <v>3052</v>
      </c>
      <c r="E768" s="1" t="s">
        <v>3053</v>
      </c>
      <c r="F768" s="1">
        <v>60</v>
      </c>
      <c r="H768" s="1" t="s">
        <v>1700</v>
      </c>
      <c r="I768" s="1" t="s">
        <v>130</v>
      </c>
      <c r="J768" s="30">
        <v>2</v>
      </c>
      <c r="K768" s="30">
        <v>1280000</v>
      </c>
      <c r="L768" s="31">
        <v>2560000</v>
      </c>
      <c r="M768" s="1" t="s">
        <v>16</v>
      </c>
      <c r="N768" s="1" t="s">
        <v>17</v>
      </c>
      <c r="O768" s="1" t="s">
        <v>2057</v>
      </c>
      <c r="P768" s="1" t="s">
        <v>2056</v>
      </c>
      <c r="Q768" s="1" t="s">
        <v>652</v>
      </c>
      <c r="R768" s="1">
        <f t="shared" si="11"/>
        <v>3</v>
      </c>
      <c r="S768" s="4">
        <f>J768*K768*M768</f>
        <v>204800</v>
      </c>
    </row>
    <row r="769" spans="1:19" ht="43" customHeight="1">
      <c r="A769" s="1" t="s">
        <v>2280</v>
      </c>
      <c r="B769" s="1" t="s">
        <v>126</v>
      </c>
      <c r="C769" s="29">
        <v>45898.896719536999</v>
      </c>
      <c r="D769" s="1" t="s">
        <v>3052</v>
      </c>
      <c r="E769" s="1" t="s">
        <v>3053</v>
      </c>
      <c r="F769" s="1">
        <v>6</v>
      </c>
      <c r="H769" s="1" t="s">
        <v>1712</v>
      </c>
      <c r="I769" s="1" t="s">
        <v>130</v>
      </c>
      <c r="J769" s="30">
        <v>1</v>
      </c>
      <c r="K769" s="30">
        <v>2750000</v>
      </c>
      <c r="L769" s="31">
        <v>2750000</v>
      </c>
      <c r="M769" s="1" t="s">
        <v>30</v>
      </c>
      <c r="N769" s="1" t="s">
        <v>17</v>
      </c>
      <c r="O769" s="1" t="s">
        <v>2057</v>
      </c>
      <c r="P769" s="1" t="s">
        <v>2056</v>
      </c>
      <c r="Q769" s="1" t="s">
        <v>652</v>
      </c>
      <c r="R769" s="1">
        <f t="shared" si="11"/>
        <v>3</v>
      </c>
      <c r="S769" s="4">
        <f>J769*K769*M769</f>
        <v>275000</v>
      </c>
    </row>
    <row r="770" spans="1:19" ht="43" customHeight="1">
      <c r="A770" s="1" t="s">
        <v>2280</v>
      </c>
      <c r="B770" s="1" t="s">
        <v>221</v>
      </c>
      <c r="C770" s="29">
        <v>45776.500553657403</v>
      </c>
      <c r="D770" s="1" t="s">
        <v>3052</v>
      </c>
      <c r="E770" s="1" t="s">
        <v>3053</v>
      </c>
      <c r="F770" s="1">
        <v>14</v>
      </c>
      <c r="H770" s="1" t="s">
        <v>1712</v>
      </c>
      <c r="I770" s="1" t="s">
        <v>130</v>
      </c>
      <c r="J770" s="30">
        <v>1</v>
      </c>
      <c r="K770" s="30">
        <v>2650000</v>
      </c>
      <c r="L770" s="31">
        <v>2650000</v>
      </c>
      <c r="M770" s="1" t="s">
        <v>30</v>
      </c>
      <c r="N770" s="1" t="s">
        <v>17</v>
      </c>
      <c r="O770" s="1" t="s">
        <v>2057</v>
      </c>
      <c r="P770" s="1" t="s">
        <v>2056</v>
      </c>
      <c r="Q770" s="1" t="s">
        <v>937</v>
      </c>
      <c r="R770" s="1">
        <f t="shared" si="11"/>
        <v>2</v>
      </c>
      <c r="S770" s="4">
        <f>J770*K770*M770</f>
        <v>265000</v>
      </c>
    </row>
    <row r="771" spans="1:19" ht="43" hidden="1" customHeight="1">
      <c r="A771" s="1" t="s">
        <v>2280</v>
      </c>
      <c r="B771" s="1" t="s">
        <v>188</v>
      </c>
      <c r="C771" s="29">
        <v>45928.944600393501</v>
      </c>
      <c r="D771" s="1" t="s">
        <v>3052</v>
      </c>
      <c r="E771" s="1" t="s">
        <v>3053</v>
      </c>
      <c r="F771" s="1">
        <v>27</v>
      </c>
      <c r="G771" s="12" t="s">
        <v>1465</v>
      </c>
      <c r="H771" s="1" t="s">
        <v>1465</v>
      </c>
      <c r="I771" s="1" t="s">
        <v>130</v>
      </c>
      <c r="J771" s="30">
        <v>2</v>
      </c>
      <c r="K771" s="30">
        <v>350000</v>
      </c>
      <c r="L771" s="31">
        <v>700000</v>
      </c>
      <c r="M771" s="1" t="s">
        <v>30</v>
      </c>
      <c r="N771" s="1" t="s">
        <v>17</v>
      </c>
      <c r="O771" s="1" t="s">
        <v>2057</v>
      </c>
      <c r="P771" s="1" t="s">
        <v>2056</v>
      </c>
      <c r="Q771" s="1" t="s">
        <v>546</v>
      </c>
      <c r="R771" s="1">
        <f t="shared" ref="R771:R834" si="12">ROUNDUP(MONTH(Q771)/3,0)</f>
        <v>3</v>
      </c>
      <c r="S771" s="4">
        <f>J771*K771*M771</f>
        <v>70000</v>
      </c>
    </row>
    <row r="772" spans="1:19" ht="43" hidden="1" customHeight="1">
      <c r="A772" s="1" t="s">
        <v>2280</v>
      </c>
      <c r="B772" s="1" t="s">
        <v>1034</v>
      </c>
      <c r="C772" s="29">
        <v>45928.7317327778</v>
      </c>
      <c r="D772" s="1" t="s">
        <v>3052</v>
      </c>
      <c r="E772" s="1" t="s">
        <v>3053</v>
      </c>
      <c r="F772" s="1">
        <v>11</v>
      </c>
      <c r="G772" s="12" t="s">
        <v>1465</v>
      </c>
      <c r="H772" s="1" t="s">
        <v>1465</v>
      </c>
      <c r="I772" s="1" t="s">
        <v>130</v>
      </c>
      <c r="J772" s="30">
        <v>1</v>
      </c>
      <c r="K772" s="30">
        <v>525000</v>
      </c>
      <c r="L772" s="31">
        <v>525000</v>
      </c>
      <c r="M772" s="1" t="s">
        <v>30</v>
      </c>
      <c r="N772" s="1" t="s">
        <v>17</v>
      </c>
      <c r="O772" s="1" t="s">
        <v>2057</v>
      </c>
      <c r="P772" s="1" t="s">
        <v>2056</v>
      </c>
      <c r="Q772" s="1" t="s">
        <v>546</v>
      </c>
      <c r="R772" s="1">
        <f t="shared" si="12"/>
        <v>3</v>
      </c>
      <c r="S772" s="4">
        <f>J772*K772*M772</f>
        <v>52500</v>
      </c>
    </row>
    <row r="773" spans="1:19" ht="43" hidden="1" customHeight="1">
      <c r="A773" s="1" t="s">
        <v>2280</v>
      </c>
      <c r="B773" s="1" t="s">
        <v>1262</v>
      </c>
      <c r="C773" s="29">
        <v>45838.622051655097</v>
      </c>
      <c r="D773" s="1" t="s">
        <v>3052</v>
      </c>
      <c r="E773" s="1" t="s">
        <v>3053</v>
      </c>
      <c r="F773" s="1">
        <v>1</v>
      </c>
      <c r="G773" s="12" t="s">
        <v>1465</v>
      </c>
      <c r="H773" s="1" t="s">
        <v>1465</v>
      </c>
      <c r="I773" s="1" t="s">
        <v>130</v>
      </c>
      <c r="J773" s="30">
        <v>1</v>
      </c>
      <c r="K773" s="30">
        <v>4560000</v>
      </c>
      <c r="L773" s="31">
        <v>4560000</v>
      </c>
      <c r="M773" s="1" t="s">
        <v>30</v>
      </c>
      <c r="N773" s="1" t="s">
        <v>17</v>
      </c>
      <c r="O773" s="1" t="s">
        <v>2057</v>
      </c>
      <c r="P773" s="1" t="s">
        <v>2056</v>
      </c>
      <c r="Q773" s="1" t="s">
        <v>828</v>
      </c>
      <c r="R773" s="1">
        <f t="shared" si="12"/>
        <v>2</v>
      </c>
      <c r="S773" s="4">
        <f>J773*K773*M773</f>
        <v>456000</v>
      </c>
    </row>
    <row r="774" spans="1:19" ht="43" hidden="1" customHeight="1">
      <c r="A774" s="1" t="s">
        <v>2280</v>
      </c>
      <c r="B774" s="1" t="s">
        <v>1272</v>
      </c>
      <c r="C774" s="29">
        <v>45836.414122164402</v>
      </c>
      <c r="D774" s="1" t="s">
        <v>3052</v>
      </c>
      <c r="E774" s="1" t="s">
        <v>3053</v>
      </c>
      <c r="F774" s="1">
        <v>12</v>
      </c>
      <c r="G774" s="12" t="s">
        <v>1465</v>
      </c>
      <c r="H774" s="1" t="s">
        <v>1465</v>
      </c>
      <c r="I774" s="1" t="s">
        <v>130</v>
      </c>
      <c r="J774" s="30">
        <v>1</v>
      </c>
      <c r="K774" s="30">
        <v>4560000</v>
      </c>
      <c r="L774" s="31">
        <v>4560000</v>
      </c>
      <c r="M774" s="1" t="s">
        <v>30</v>
      </c>
      <c r="N774" s="1" t="s">
        <v>17</v>
      </c>
      <c r="O774" s="1" t="s">
        <v>2057</v>
      </c>
      <c r="P774" s="1" t="s">
        <v>2056</v>
      </c>
      <c r="Q774" s="1" t="s">
        <v>845</v>
      </c>
      <c r="R774" s="1">
        <f t="shared" si="12"/>
        <v>2</v>
      </c>
      <c r="S774" s="4">
        <f>J774*K774*M774</f>
        <v>456000</v>
      </c>
    </row>
    <row r="775" spans="1:19" ht="43" hidden="1" customHeight="1">
      <c r="A775" s="1" t="s">
        <v>2280</v>
      </c>
      <c r="B775" s="1" t="s">
        <v>794</v>
      </c>
      <c r="C775" s="29">
        <v>45959.655037615703</v>
      </c>
      <c r="D775" s="1" t="s">
        <v>3052</v>
      </c>
      <c r="E775" s="1" t="s">
        <v>3053</v>
      </c>
      <c r="F775" s="1">
        <v>1</v>
      </c>
      <c r="G775" s="12" t="s">
        <v>631</v>
      </c>
      <c r="H775" s="1" t="s">
        <v>631</v>
      </c>
      <c r="I775" s="1" t="s">
        <v>130</v>
      </c>
      <c r="J775" s="30">
        <v>2</v>
      </c>
      <c r="K775" s="30">
        <v>13500000</v>
      </c>
      <c r="L775" s="31">
        <v>27000000</v>
      </c>
      <c r="M775" s="1" t="s">
        <v>30</v>
      </c>
      <c r="N775" s="1" t="s">
        <v>17</v>
      </c>
      <c r="O775" s="1" t="s">
        <v>2057</v>
      </c>
      <c r="P775" s="1" t="s">
        <v>2056</v>
      </c>
      <c r="Q775" s="1" t="s">
        <v>1578</v>
      </c>
      <c r="R775" s="1">
        <f t="shared" si="12"/>
        <v>4</v>
      </c>
      <c r="S775" s="4">
        <f>J775*K775*M775</f>
        <v>2700000</v>
      </c>
    </row>
    <row r="776" spans="1:19" ht="43" hidden="1" customHeight="1">
      <c r="A776" s="1" t="s">
        <v>2280</v>
      </c>
      <c r="B776" s="1" t="s">
        <v>1400</v>
      </c>
      <c r="C776" s="29">
        <v>45990.721094398097</v>
      </c>
      <c r="D776" s="1" t="s">
        <v>3052</v>
      </c>
      <c r="E776" s="1" t="s">
        <v>3053</v>
      </c>
      <c r="F776" s="1">
        <v>12</v>
      </c>
      <c r="G776" s="12" t="s">
        <v>1534</v>
      </c>
      <c r="H776" s="1" t="s">
        <v>1534</v>
      </c>
      <c r="I776" s="1" t="s">
        <v>130</v>
      </c>
      <c r="J776" s="30">
        <v>1</v>
      </c>
      <c r="K776" s="30">
        <v>2550000</v>
      </c>
      <c r="L776" s="31">
        <v>2550000</v>
      </c>
      <c r="M776" s="1" t="s">
        <v>16</v>
      </c>
      <c r="N776" s="1" t="s">
        <v>17</v>
      </c>
      <c r="O776" s="1" t="s">
        <v>2057</v>
      </c>
      <c r="P776" s="1" t="s">
        <v>2056</v>
      </c>
      <c r="Q776" s="1" t="s">
        <v>1531</v>
      </c>
      <c r="R776" s="1">
        <f t="shared" si="12"/>
        <v>4</v>
      </c>
      <c r="S776" s="4">
        <f>J776*K776*M776</f>
        <v>204000</v>
      </c>
    </row>
    <row r="777" spans="1:19" ht="43" hidden="1" customHeight="1">
      <c r="A777" s="1" t="s">
        <v>2280</v>
      </c>
      <c r="B777" s="1" t="s">
        <v>1272</v>
      </c>
      <c r="C777" s="29">
        <v>45836.414122164402</v>
      </c>
      <c r="D777" s="1" t="s">
        <v>3052</v>
      </c>
      <c r="E777" s="1" t="s">
        <v>3053</v>
      </c>
      <c r="F777" s="1">
        <v>21</v>
      </c>
      <c r="G777" s="12" t="s">
        <v>2742</v>
      </c>
      <c r="H777" s="1" t="s">
        <v>888</v>
      </c>
      <c r="I777" s="1" t="s">
        <v>130</v>
      </c>
      <c r="J777" s="30">
        <v>1</v>
      </c>
      <c r="K777" s="30">
        <v>2800000</v>
      </c>
      <c r="L777" s="31">
        <v>2800000</v>
      </c>
      <c r="M777" s="1" t="s">
        <v>30</v>
      </c>
      <c r="N777" s="1" t="s">
        <v>17</v>
      </c>
      <c r="O777" s="1" t="s">
        <v>2057</v>
      </c>
      <c r="P777" s="1" t="s">
        <v>2056</v>
      </c>
      <c r="Q777" s="1" t="s">
        <v>845</v>
      </c>
      <c r="R777" s="1">
        <f t="shared" si="12"/>
        <v>2</v>
      </c>
      <c r="S777" s="4">
        <f>J777*K777*M777</f>
        <v>280000</v>
      </c>
    </row>
    <row r="778" spans="1:19" ht="43" hidden="1" customHeight="1">
      <c r="A778" s="1" t="s">
        <v>2280</v>
      </c>
      <c r="B778" s="1" t="s">
        <v>119</v>
      </c>
      <c r="C778" s="29">
        <v>45751.363437766202</v>
      </c>
      <c r="D778" s="1" t="s">
        <v>3070</v>
      </c>
      <c r="E778" s="1" t="s">
        <v>3059</v>
      </c>
      <c r="F778" s="1">
        <v>4</v>
      </c>
      <c r="G778" s="2" t="s">
        <v>2325</v>
      </c>
      <c r="H778" s="1" t="s">
        <v>1987</v>
      </c>
      <c r="I778" s="1" t="s">
        <v>130</v>
      </c>
      <c r="J778" s="30">
        <v>110</v>
      </c>
      <c r="K778" s="30">
        <v>20000</v>
      </c>
      <c r="L778" s="31">
        <v>2200000</v>
      </c>
      <c r="M778" s="1" t="s">
        <v>16</v>
      </c>
      <c r="N778" s="1" t="s">
        <v>17</v>
      </c>
      <c r="O778" s="1" t="s">
        <v>2057</v>
      </c>
      <c r="P778" s="1" t="s">
        <v>2056</v>
      </c>
      <c r="Q778" s="1" t="s">
        <v>1032</v>
      </c>
      <c r="R778" s="1">
        <f t="shared" si="12"/>
        <v>2</v>
      </c>
      <c r="S778" s="4">
        <f>J778*K778*M778</f>
        <v>176000</v>
      </c>
    </row>
    <row r="779" spans="1:19" ht="43" hidden="1" customHeight="1">
      <c r="A779" s="1" t="s">
        <v>2280</v>
      </c>
      <c r="B779" s="1" t="s">
        <v>126</v>
      </c>
      <c r="C779" s="29">
        <v>45898.896719536999</v>
      </c>
      <c r="D779" s="1" t="s">
        <v>3052</v>
      </c>
      <c r="E779" s="1" t="s">
        <v>3053</v>
      </c>
      <c r="F779" s="1">
        <v>21</v>
      </c>
      <c r="G779" s="12" t="s">
        <v>1826</v>
      </c>
      <c r="H779" s="1" t="s">
        <v>1721</v>
      </c>
      <c r="I779" s="1" t="s">
        <v>130</v>
      </c>
      <c r="J779" s="30">
        <v>1</v>
      </c>
      <c r="K779" s="30">
        <v>3550000</v>
      </c>
      <c r="L779" s="31">
        <v>3550000</v>
      </c>
      <c r="M779" s="1" t="s">
        <v>30</v>
      </c>
      <c r="N779" s="1" t="s">
        <v>17</v>
      </c>
      <c r="O779" s="1" t="s">
        <v>2057</v>
      </c>
      <c r="P779" s="1" t="s">
        <v>2056</v>
      </c>
      <c r="Q779" s="1" t="s">
        <v>652</v>
      </c>
      <c r="R779" s="1">
        <f t="shared" si="12"/>
        <v>3</v>
      </c>
      <c r="S779" s="4">
        <f>J779*K779*M779</f>
        <v>355000</v>
      </c>
    </row>
    <row r="780" spans="1:19" ht="43" hidden="1" customHeight="1">
      <c r="A780" s="1" t="s">
        <v>2072</v>
      </c>
      <c r="B780" s="1" t="s">
        <v>146</v>
      </c>
      <c r="C780" s="29">
        <v>46020.386763703696</v>
      </c>
      <c r="D780" s="1" t="s">
        <v>3052</v>
      </c>
      <c r="E780" s="1" t="s">
        <v>3053</v>
      </c>
      <c r="F780" s="1">
        <v>23</v>
      </c>
      <c r="G780" s="12" t="s">
        <v>1444</v>
      </c>
      <c r="H780" s="1" t="s">
        <v>1444</v>
      </c>
      <c r="I780" s="1" t="s">
        <v>130</v>
      </c>
      <c r="J780" s="30">
        <v>1</v>
      </c>
      <c r="K780" s="30">
        <v>1050000</v>
      </c>
      <c r="L780" s="31">
        <v>1050000</v>
      </c>
      <c r="M780" s="1" t="s">
        <v>16</v>
      </c>
      <c r="N780" s="1" t="s">
        <v>17</v>
      </c>
      <c r="O780" s="1" t="s">
        <v>2057</v>
      </c>
      <c r="P780" s="1" t="s">
        <v>2056</v>
      </c>
      <c r="Q780" s="1" t="s">
        <v>275</v>
      </c>
      <c r="R780" s="1">
        <f t="shared" si="12"/>
        <v>4</v>
      </c>
      <c r="S780" s="4">
        <f>J780*K780*M780</f>
        <v>84000</v>
      </c>
    </row>
    <row r="781" spans="1:19" ht="43" hidden="1" customHeight="1">
      <c r="A781" s="1" t="s">
        <v>2280</v>
      </c>
      <c r="B781" s="1" t="s">
        <v>1034</v>
      </c>
      <c r="C781" s="29">
        <v>45928.7317327778</v>
      </c>
      <c r="D781" s="1" t="s">
        <v>3052</v>
      </c>
      <c r="E781" s="1" t="s">
        <v>3053</v>
      </c>
      <c r="F781" s="1">
        <v>18</v>
      </c>
      <c r="G781" s="12" t="s">
        <v>1444</v>
      </c>
      <c r="H781" s="1" t="s">
        <v>1444</v>
      </c>
      <c r="I781" s="1" t="s">
        <v>130</v>
      </c>
      <c r="J781" s="30">
        <v>1</v>
      </c>
      <c r="K781" s="30">
        <v>1200000</v>
      </c>
      <c r="L781" s="31">
        <v>1200000</v>
      </c>
      <c r="M781" s="1" t="s">
        <v>30</v>
      </c>
      <c r="N781" s="1" t="s">
        <v>17</v>
      </c>
      <c r="O781" s="1" t="s">
        <v>2057</v>
      </c>
      <c r="P781" s="1" t="s">
        <v>2056</v>
      </c>
      <c r="Q781" s="1" t="s">
        <v>546</v>
      </c>
      <c r="R781" s="1">
        <f t="shared" si="12"/>
        <v>3</v>
      </c>
      <c r="S781" s="4">
        <f>J781*K781*M781</f>
        <v>120000</v>
      </c>
    </row>
    <row r="782" spans="1:19" ht="43" hidden="1" customHeight="1">
      <c r="A782" s="1" t="s">
        <v>2280</v>
      </c>
      <c r="B782" s="1" t="s">
        <v>153</v>
      </c>
      <c r="C782" s="29">
        <v>45747.668173564802</v>
      </c>
      <c r="D782" s="1" t="s">
        <v>3071</v>
      </c>
      <c r="E782" s="1" t="s">
        <v>3053</v>
      </c>
      <c r="F782" s="1">
        <v>2</v>
      </c>
      <c r="G782" s="12" t="s">
        <v>1444</v>
      </c>
      <c r="H782" s="1" t="s">
        <v>1444</v>
      </c>
      <c r="I782" s="1" t="s">
        <v>130</v>
      </c>
      <c r="J782" s="30">
        <v>1</v>
      </c>
      <c r="K782" s="30">
        <v>2436364</v>
      </c>
      <c r="L782" s="31">
        <v>2436364</v>
      </c>
      <c r="M782" s="1" t="s">
        <v>16</v>
      </c>
      <c r="N782" s="1" t="s">
        <v>17</v>
      </c>
      <c r="O782" s="1" t="s">
        <v>2057</v>
      </c>
      <c r="P782" s="1" t="s">
        <v>2056</v>
      </c>
      <c r="Q782" s="1" t="s">
        <v>42</v>
      </c>
      <c r="R782" s="1">
        <f t="shared" si="12"/>
        <v>1</v>
      </c>
      <c r="S782" s="4">
        <f>J782*K782*M782</f>
        <v>194909.12</v>
      </c>
    </row>
    <row r="783" spans="1:19" ht="43" hidden="1" customHeight="1">
      <c r="A783" s="1" t="s">
        <v>2280</v>
      </c>
      <c r="B783" s="1" t="s">
        <v>1417</v>
      </c>
      <c r="C783" s="29">
        <v>45868.607072511601</v>
      </c>
      <c r="D783" s="1" t="s">
        <v>3052</v>
      </c>
      <c r="E783" s="1" t="s">
        <v>3053</v>
      </c>
      <c r="F783" s="1">
        <v>22</v>
      </c>
      <c r="G783" s="12" t="s">
        <v>1749</v>
      </c>
      <c r="H783" s="1" t="s">
        <v>1749</v>
      </c>
      <c r="I783" s="1" t="s">
        <v>130</v>
      </c>
      <c r="J783" s="30">
        <v>1</v>
      </c>
      <c r="K783" s="30">
        <v>400000</v>
      </c>
      <c r="L783" s="31">
        <v>400000</v>
      </c>
      <c r="M783" s="1" t="s">
        <v>30</v>
      </c>
      <c r="N783" s="1" t="s">
        <v>17</v>
      </c>
      <c r="O783" s="1" t="s">
        <v>2057</v>
      </c>
      <c r="P783" s="1" t="s">
        <v>2056</v>
      </c>
      <c r="Q783" s="1" t="s">
        <v>800</v>
      </c>
      <c r="R783" s="1">
        <f t="shared" si="12"/>
        <v>3</v>
      </c>
      <c r="S783" s="4">
        <f>J783*K783*M783</f>
        <v>40000</v>
      </c>
    </row>
    <row r="784" spans="1:19" ht="43" hidden="1" customHeight="1">
      <c r="A784" s="1" t="s">
        <v>2280</v>
      </c>
      <c r="B784" s="1" t="s">
        <v>152</v>
      </c>
      <c r="C784" s="29">
        <v>45836.413450243097</v>
      </c>
      <c r="D784" s="1" t="s">
        <v>3052</v>
      </c>
      <c r="E784" s="1" t="s">
        <v>3053</v>
      </c>
      <c r="F784" s="1">
        <v>5</v>
      </c>
      <c r="G784" s="12" t="s">
        <v>1749</v>
      </c>
      <c r="H784" s="1" t="s">
        <v>1749</v>
      </c>
      <c r="I784" s="1" t="s">
        <v>130</v>
      </c>
      <c r="J784" s="30">
        <v>1</v>
      </c>
      <c r="K784" s="30">
        <v>1230000</v>
      </c>
      <c r="L784" s="31">
        <v>1230000</v>
      </c>
      <c r="M784" s="1" t="s">
        <v>16</v>
      </c>
      <c r="N784" s="1" t="s">
        <v>17</v>
      </c>
      <c r="O784" s="1" t="s">
        <v>2057</v>
      </c>
      <c r="P784" s="1" t="s">
        <v>2056</v>
      </c>
      <c r="Q784" s="1" t="s">
        <v>845</v>
      </c>
      <c r="R784" s="1">
        <f t="shared" si="12"/>
        <v>2</v>
      </c>
      <c r="S784" s="4">
        <f>J784*K784*M784</f>
        <v>98400</v>
      </c>
    </row>
    <row r="785" spans="1:19" ht="43" hidden="1" customHeight="1">
      <c r="A785" s="1" t="s">
        <v>2280</v>
      </c>
      <c r="B785" s="1" t="s">
        <v>120</v>
      </c>
      <c r="C785" s="29">
        <v>45838.621748888901</v>
      </c>
      <c r="D785" s="1" t="s">
        <v>3052</v>
      </c>
      <c r="E785" s="1" t="s">
        <v>3053</v>
      </c>
      <c r="F785" s="1">
        <v>11</v>
      </c>
      <c r="G785" s="12" t="s">
        <v>1826</v>
      </c>
      <c r="H785" s="1" t="s">
        <v>1826</v>
      </c>
      <c r="I785" s="1" t="s">
        <v>130</v>
      </c>
      <c r="J785" s="30">
        <v>1</v>
      </c>
      <c r="K785" s="30">
        <v>3450000</v>
      </c>
      <c r="L785" s="31">
        <v>3450000</v>
      </c>
      <c r="M785" s="1" t="s">
        <v>16</v>
      </c>
      <c r="N785" s="1" t="s">
        <v>17</v>
      </c>
      <c r="O785" s="1" t="s">
        <v>2057</v>
      </c>
      <c r="P785" s="1" t="s">
        <v>2056</v>
      </c>
      <c r="Q785" s="1" t="s">
        <v>828</v>
      </c>
      <c r="R785" s="1">
        <f t="shared" si="12"/>
        <v>2</v>
      </c>
      <c r="S785" s="4">
        <f>J785*K785*M785</f>
        <v>276000</v>
      </c>
    </row>
    <row r="786" spans="1:19" ht="43" hidden="1" customHeight="1">
      <c r="A786" s="1" t="s">
        <v>2280</v>
      </c>
      <c r="B786" s="1" t="s">
        <v>1253</v>
      </c>
      <c r="C786" s="29">
        <v>45696.7066678009</v>
      </c>
      <c r="D786" s="1" t="s">
        <v>3061</v>
      </c>
      <c r="E786" s="1" t="s">
        <v>3062</v>
      </c>
      <c r="F786" s="1">
        <v>3</v>
      </c>
      <c r="G786" s="12" t="s">
        <v>2981</v>
      </c>
      <c r="H786" s="1" t="s">
        <v>1190</v>
      </c>
      <c r="I786" s="1" t="s">
        <v>15</v>
      </c>
      <c r="J786" s="30">
        <v>5</v>
      </c>
      <c r="K786" s="30">
        <v>900000</v>
      </c>
      <c r="L786" s="31">
        <v>4500000</v>
      </c>
      <c r="M786" s="1" t="s">
        <v>16</v>
      </c>
      <c r="N786" s="1" t="s">
        <v>17</v>
      </c>
      <c r="O786" s="1" t="s">
        <v>2057</v>
      </c>
      <c r="P786" s="1" t="s">
        <v>2056</v>
      </c>
      <c r="Q786" s="1" t="s">
        <v>1189</v>
      </c>
      <c r="R786" s="1">
        <f t="shared" si="12"/>
        <v>1</v>
      </c>
      <c r="S786" s="4">
        <f>J786*K786*M786</f>
        <v>360000</v>
      </c>
    </row>
    <row r="787" spans="1:19" ht="43" hidden="1" customHeight="1">
      <c r="A787" s="1" t="s">
        <v>2280</v>
      </c>
      <c r="B787" s="1" t="s">
        <v>1253</v>
      </c>
      <c r="C787" s="29">
        <v>45696.7066678009</v>
      </c>
      <c r="D787" s="1" t="s">
        <v>3061</v>
      </c>
      <c r="E787" s="1" t="s">
        <v>3062</v>
      </c>
      <c r="F787" s="1">
        <v>2</v>
      </c>
      <c r="G787" s="12" t="s">
        <v>1826</v>
      </c>
      <c r="H787" s="1" t="s">
        <v>1188</v>
      </c>
      <c r="I787" s="1" t="s">
        <v>15</v>
      </c>
      <c r="J787" s="30">
        <v>5</v>
      </c>
      <c r="K787" s="30">
        <v>1100000</v>
      </c>
      <c r="L787" s="31">
        <v>5500000</v>
      </c>
      <c r="M787" s="1" t="s">
        <v>16</v>
      </c>
      <c r="N787" s="1" t="s">
        <v>17</v>
      </c>
      <c r="O787" s="1" t="s">
        <v>2057</v>
      </c>
      <c r="P787" s="1" t="s">
        <v>2056</v>
      </c>
      <c r="Q787" s="1" t="s">
        <v>1189</v>
      </c>
      <c r="R787" s="1">
        <f t="shared" si="12"/>
        <v>1</v>
      </c>
      <c r="S787" s="4">
        <f>J787*K787*M787</f>
        <v>440000</v>
      </c>
    </row>
    <row r="788" spans="1:19" ht="43" hidden="1" customHeight="1">
      <c r="A788" s="1" t="s">
        <v>2280</v>
      </c>
      <c r="B788" s="1" t="s">
        <v>120</v>
      </c>
      <c r="C788" s="29">
        <v>45838.621748888901</v>
      </c>
      <c r="D788" s="1" t="s">
        <v>3052</v>
      </c>
      <c r="E788" s="1" t="s">
        <v>3053</v>
      </c>
      <c r="F788" s="1">
        <v>34</v>
      </c>
      <c r="G788" s="12" t="s">
        <v>1447</v>
      </c>
      <c r="H788" s="1" t="s">
        <v>1447</v>
      </c>
      <c r="I788" s="1" t="s">
        <v>130</v>
      </c>
      <c r="J788" s="30">
        <v>2</v>
      </c>
      <c r="K788" s="30">
        <v>500000</v>
      </c>
      <c r="L788" s="31">
        <v>1000000</v>
      </c>
      <c r="M788" s="1" t="s">
        <v>16</v>
      </c>
      <c r="N788" s="1" t="s">
        <v>17</v>
      </c>
      <c r="O788" s="1" t="s">
        <v>2057</v>
      </c>
      <c r="P788" s="1" t="s">
        <v>2056</v>
      </c>
      <c r="Q788" s="1" t="s">
        <v>828</v>
      </c>
      <c r="R788" s="1">
        <f t="shared" si="12"/>
        <v>2</v>
      </c>
      <c r="S788" s="4">
        <f>J788*K788*M788</f>
        <v>80000</v>
      </c>
    </row>
    <row r="789" spans="1:19" ht="43" hidden="1" customHeight="1">
      <c r="A789" s="1" t="s">
        <v>2280</v>
      </c>
      <c r="B789" s="1" t="s">
        <v>1262</v>
      </c>
      <c r="C789" s="29">
        <v>45838.622051655097</v>
      </c>
      <c r="D789" s="1" t="s">
        <v>3052</v>
      </c>
      <c r="E789" s="1" t="s">
        <v>3053</v>
      </c>
      <c r="F789" s="1">
        <v>28</v>
      </c>
      <c r="G789" s="12" t="s">
        <v>1817</v>
      </c>
      <c r="H789" s="1" t="s">
        <v>1817</v>
      </c>
      <c r="I789" s="1" t="s">
        <v>130</v>
      </c>
      <c r="J789" s="30">
        <v>1</v>
      </c>
      <c r="K789" s="30">
        <v>1200000</v>
      </c>
      <c r="L789" s="31">
        <v>1200000</v>
      </c>
      <c r="M789" s="1" t="s">
        <v>30</v>
      </c>
      <c r="N789" s="1" t="s">
        <v>17</v>
      </c>
      <c r="O789" s="1" t="s">
        <v>2057</v>
      </c>
      <c r="P789" s="1" t="s">
        <v>2056</v>
      </c>
      <c r="Q789" s="1" t="s">
        <v>828</v>
      </c>
      <c r="R789" s="1">
        <f t="shared" si="12"/>
        <v>2</v>
      </c>
      <c r="S789" s="4">
        <f>J789*K789*M789</f>
        <v>120000</v>
      </c>
    </row>
    <row r="790" spans="1:19" ht="43" hidden="1" customHeight="1">
      <c r="A790" s="1" t="s">
        <v>2280</v>
      </c>
      <c r="B790" s="1" t="s">
        <v>794</v>
      </c>
      <c r="C790" s="29">
        <v>45959.655037615703</v>
      </c>
      <c r="D790" s="1" t="s">
        <v>3052</v>
      </c>
      <c r="E790" s="1" t="s">
        <v>3053</v>
      </c>
      <c r="F790" s="1">
        <v>3</v>
      </c>
      <c r="G790" s="12" t="s">
        <v>1579</v>
      </c>
      <c r="H790" s="1" t="s">
        <v>1579</v>
      </c>
      <c r="I790" s="1" t="s">
        <v>130</v>
      </c>
      <c r="J790" s="30">
        <v>1</v>
      </c>
      <c r="K790" s="30">
        <v>1820000</v>
      </c>
      <c r="L790" s="31">
        <v>1820000</v>
      </c>
      <c r="M790" s="1" t="s">
        <v>30</v>
      </c>
      <c r="N790" s="1" t="s">
        <v>17</v>
      </c>
      <c r="O790" s="1" t="s">
        <v>2057</v>
      </c>
      <c r="P790" s="1" t="s">
        <v>2056</v>
      </c>
      <c r="Q790" s="1" t="s">
        <v>1578</v>
      </c>
      <c r="R790" s="1">
        <f t="shared" si="12"/>
        <v>4</v>
      </c>
      <c r="S790" s="4">
        <f>J790*K790*M790</f>
        <v>182000</v>
      </c>
    </row>
    <row r="791" spans="1:19" ht="43" hidden="1" customHeight="1">
      <c r="A791" s="1" t="s">
        <v>2072</v>
      </c>
      <c r="B791" s="1" t="s">
        <v>1294</v>
      </c>
      <c r="C791" s="29">
        <v>46021.613942164397</v>
      </c>
      <c r="D791" s="1" t="s">
        <v>3052</v>
      </c>
      <c r="E791" s="1" t="s">
        <v>3053</v>
      </c>
      <c r="F791" s="1">
        <v>15</v>
      </c>
      <c r="G791" s="12" t="s">
        <v>1481</v>
      </c>
      <c r="H791" s="1" t="s">
        <v>1481</v>
      </c>
      <c r="I791" s="1" t="s">
        <v>130</v>
      </c>
      <c r="J791" s="30">
        <v>1</v>
      </c>
      <c r="K791" s="30">
        <v>3400000</v>
      </c>
      <c r="L791" s="31">
        <v>3400000</v>
      </c>
      <c r="M791" s="1" t="s">
        <v>16</v>
      </c>
      <c r="N791" s="1" t="s">
        <v>17</v>
      </c>
      <c r="O791" s="1" t="s">
        <v>2057</v>
      </c>
      <c r="P791" s="1" t="s">
        <v>2056</v>
      </c>
      <c r="Q791" s="1" t="s">
        <v>1474</v>
      </c>
      <c r="R791" s="1">
        <f t="shared" si="12"/>
        <v>4</v>
      </c>
      <c r="S791" s="4">
        <f>J791*K791*M791</f>
        <v>272000</v>
      </c>
    </row>
    <row r="792" spans="1:19" ht="43" hidden="1" customHeight="1">
      <c r="A792" s="1" t="s">
        <v>2280</v>
      </c>
      <c r="B792" s="1" t="s">
        <v>1267</v>
      </c>
      <c r="C792" s="29">
        <v>45836.662306689803</v>
      </c>
      <c r="D792" s="1" t="s">
        <v>3072</v>
      </c>
      <c r="E792" s="1" t="s">
        <v>3073</v>
      </c>
      <c r="F792" s="1">
        <v>8</v>
      </c>
      <c r="G792" s="12" t="s">
        <v>1839</v>
      </c>
      <c r="H792" s="1" t="s">
        <v>1839</v>
      </c>
      <c r="I792" s="1" t="s">
        <v>130</v>
      </c>
      <c r="J792" s="30">
        <v>1</v>
      </c>
      <c r="K792" s="30">
        <v>1150000</v>
      </c>
      <c r="L792" s="31">
        <v>1150000</v>
      </c>
      <c r="M792" s="1" t="s">
        <v>30</v>
      </c>
      <c r="N792" s="1" t="s">
        <v>17</v>
      </c>
      <c r="O792" s="1" t="s">
        <v>2057</v>
      </c>
      <c r="P792" s="1" t="s">
        <v>2056</v>
      </c>
      <c r="Q792" s="1" t="s">
        <v>845</v>
      </c>
      <c r="R792" s="1">
        <f t="shared" si="12"/>
        <v>2</v>
      </c>
      <c r="S792" s="4">
        <f>J792*K792*M792</f>
        <v>115000</v>
      </c>
    </row>
    <row r="793" spans="1:19" ht="43" hidden="1" customHeight="1">
      <c r="A793" s="1" t="s">
        <v>2280</v>
      </c>
      <c r="B793" s="1" t="s">
        <v>194</v>
      </c>
      <c r="C793" s="29">
        <v>45747.667547175901</v>
      </c>
      <c r="D793" s="1" t="s">
        <v>3071</v>
      </c>
      <c r="E793" s="1" t="s">
        <v>3053</v>
      </c>
      <c r="F793" s="1">
        <v>6</v>
      </c>
      <c r="G793" s="12" t="s">
        <v>1839</v>
      </c>
      <c r="H793" s="1" t="s">
        <v>1839</v>
      </c>
      <c r="I793" s="1" t="s">
        <v>130</v>
      </c>
      <c r="J793" s="30">
        <v>1</v>
      </c>
      <c r="K793" s="30">
        <v>1100000</v>
      </c>
      <c r="L793" s="31">
        <v>1100000</v>
      </c>
      <c r="M793" s="1" t="s">
        <v>30</v>
      </c>
      <c r="N793" s="1" t="s">
        <v>17</v>
      </c>
      <c r="O793" s="1" t="s">
        <v>2057</v>
      </c>
      <c r="P793" s="1" t="s">
        <v>2056</v>
      </c>
      <c r="Q793" s="1" t="s">
        <v>42</v>
      </c>
      <c r="R793" s="1">
        <f t="shared" si="12"/>
        <v>1</v>
      </c>
      <c r="S793" s="4">
        <f>J793*K793*M793</f>
        <v>110000</v>
      </c>
    </row>
    <row r="794" spans="1:19" ht="43" hidden="1" customHeight="1">
      <c r="A794" s="1" t="s">
        <v>2280</v>
      </c>
      <c r="B794" s="1" t="s">
        <v>194</v>
      </c>
      <c r="C794" s="29">
        <v>45747.667547175901</v>
      </c>
      <c r="D794" s="1" t="s">
        <v>3071</v>
      </c>
      <c r="E794" s="1" t="s">
        <v>3053</v>
      </c>
      <c r="F794" s="1">
        <v>7</v>
      </c>
      <c r="G794" s="12" t="s">
        <v>1359</v>
      </c>
      <c r="H794" s="1" t="s">
        <v>1359</v>
      </c>
      <c r="I794" s="1" t="s">
        <v>130</v>
      </c>
      <c r="J794" s="30">
        <v>1</v>
      </c>
      <c r="K794" s="30">
        <v>1590909</v>
      </c>
      <c r="L794" s="31">
        <v>1590909</v>
      </c>
      <c r="M794" s="1" t="s">
        <v>30</v>
      </c>
      <c r="N794" s="1" t="s">
        <v>17</v>
      </c>
      <c r="O794" s="1" t="s">
        <v>2057</v>
      </c>
      <c r="P794" s="1" t="s">
        <v>2056</v>
      </c>
      <c r="Q794" s="1" t="s">
        <v>42</v>
      </c>
      <c r="R794" s="1">
        <f t="shared" si="12"/>
        <v>1</v>
      </c>
      <c r="S794" s="4">
        <f>J794*K794*M794</f>
        <v>159090.90000000002</v>
      </c>
    </row>
    <row r="795" spans="1:19" ht="43" hidden="1" customHeight="1">
      <c r="A795" s="1" t="s">
        <v>2280</v>
      </c>
      <c r="B795" s="1" t="s">
        <v>1403</v>
      </c>
      <c r="C795" s="29">
        <v>45990.382104108801</v>
      </c>
      <c r="D795" s="1" t="s">
        <v>3052</v>
      </c>
      <c r="E795" s="1" t="s">
        <v>3053</v>
      </c>
      <c r="F795" s="1">
        <v>4</v>
      </c>
      <c r="G795" s="12" t="s">
        <v>1554</v>
      </c>
      <c r="H795" s="1" t="s">
        <v>1554</v>
      </c>
      <c r="I795" s="1" t="s">
        <v>130</v>
      </c>
      <c r="J795" s="30">
        <v>2</v>
      </c>
      <c r="K795" s="30">
        <v>3800000</v>
      </c>
      <c r="L795" s="31">
        <v>7600000</v>
      </c>
      <c r="M795" s="1" t="s">
        <v>16</v>
      </c>
      <c r="N795" s="1" t="s">
        <v>17</v>
      </c>
      <c r="O795" s="1" t="s">
        <v>2057</v>
      </c>
      <c r="P795" s="1" t="s">
        <v>2056</v>
      </c>
      <c r="Q795" s="1" t="s">
        <v>1531</v>
      </c>
      <c r="R795" s="1">
        <f t="shared" si="12"/>
        <v>4</v>
      </c>
      <c r="S795" s="4">
        <f>J795*K795*M795</f>
        <v>608000</v>
      </c>
    </row>
    <row r="796" spans="1:19" ht="43" hidden="1" customHeight="1">
      <c r="A796" s="1" t="s">
        <v>2280</v>
      </c>
      <c r="B796" s="1" t="s">
        <v>1419</v>
      </c>
      <c r="C796" s="29">
        <v>45866.749486990702</v>
      </c>
      <c r="D796" s="1" t="s">
        <v>3052</v>
      </c>
      <c r="E796" s="1" t="s">
        <v>3053</v>
      </c>
      <c r="F796" s="1">
        <v>4</v>
      </c>
      <c r="G796" s="12" t="s">
        <v>1554</v>
      </c>
      <c r="H796" s="1" t="s">
        <v>1554</v>
      </c>
      <c r="I796" s="1" t="s">
        <v>130</v>
      </c>
      <c r="J796" s="30">
        <v>1</v>
      </c>
      <c r="K796" s="30">
        <v>4400000</v>
      </c>
      <c r="L796" s="31">
        <v>4400000</v>
      </c>
      <c r="M796" s="1" t="s">
        <v>30</v>
      </c>
      <c r="N796" s="1" t="s">
        <v>17</v>
      </c>
      <c r="O796" s="1" t="s">
        <v>2057</v>
      </c>
      <c r="P796" s="1" t="s">
        <v>2056</v>
      </c>
      <c r="Q796" s="1" t="s">
        <v>1763</v>
      </c>
      <c r="R796" s="1">
        <f t="shared" si="12"/>
        <v>3</v>
      </c>
      <c r="S796" s="4">
        <f>J796*K796*M796</f>
        <v>440000</v>
      </c>
    </row>
    <row r="797" spans="1:19" ht="43" hidden="1" customHeight="1">
      <c r="A797" s="1" t="s">
        <v>2280</v>
      </c>
      <c r="B797" s="1" t="s">
        <v>1262</v>
      </c>
      <c r="C797" s="29">
        <v>45838.622051655097</v>
      </c>
      <c r="D797" s="1" t="s">
        <v>3052</v>
      </c>
      <c r="E797" s="1" t="s">
        <v>3053</v>
      </c>
      <c r="F797" s="1">
        <v>12</v>
      </c>
      <c r="G797" s="12" t="s">
        <v>1554</v>
      </c>
      <c r="H797" s="1" t="s">
        <v>1554</v>
      </c>
      <c r="I797" s="1" t="s">
        <v>130</v>
      </c>
      <c r="J797" s="30">
        <v>1</v>
      </c>
      <c r="K797" s="30">
        <v>4400000</v>
      </c>
      <c r="L797" s="31">
        <v>4400000</v>
      </c>
      <c r="M797" s="1" t="s">
        <v>30</v>
      </c>
      <c r="N797" s="1" t="s">
        <v>17</v>
      </c>
      <c r="O797" s="1" t="s">
        <v>2057</v>
      </c>
      <c r="P797" s="1" t="s">
        <v>2056</v>
      </c>
      <c r="Q797" s="1" t="s">
        <v>828</v>
      </c>
      <c r="R797" s="1">
        <f t="shared" si="12"/>
        <v>2</v>
      </c>
      <c r="S797" s="4">
        <f>J797*K797*M797</f>
        <v>440000</v>
      </c>
    </row>
    <row r="798" spans="1:19" ht="43" hidden="1" customHeight="1">
      <c r="A798" s="1" t="s">
        <v>2280</v>
      </c>
      <c r="B798" s="1" t="s">
        <v>305</v>
      </c>
      <c r="C798" s="29">
        <v>45709.705238449103</v>
      </c>
      <c r="D798" s="1" t="s">
        <v>3052</v>
      </c>
      <c r="E798" s="1" t="s">
        <v>3053</v>
      </c>
      <c r="F798" s="1">
        <v>12</v>
      </c>
      <c r="G798" s="12" t="s">
        <v>1554</v>
      </c>
      <c r="H798" s="1" t="s">
        <v>1554</v>
      </c>
      <c r="I798" s="1" t="s">
        <v>130</v>
      </c>
      <c r="J798" s="30">
        <v>1</v>
      </c>
      <c r="K798" s="30">
        <v>3100000</v>
      </c>
      <c r="L798" s="31">
        <v>3100000</v>
      </c>
      <c r="M798" s="1" t="s">
        <v>16</v>
      </c>
      <c r="N798" s="1" t="s">
        <v>17</v>
      </c>
      <c r="O798" s="1" t="s">
        <v>2057</v>
      </c>
      <c r="P798" s="1" t="s">
        <v>2056</v>
      </c>
      <c r="Q798" s="1" t="s">
        <v>2040</v>
      </c>
      <c r="R798" s="1">
        <f t="shared" si="12"/>
        <v>1</v>
      </c>
      <c r="S798" s="4">
        <f>J798*K798*M798</f>
        <v>248000</v>
      </c>
    </row>
    <row r="799" spans="1:19" ht="43" hidden="1" customHeight="1">
      <c r="A799" s="1" t="s">
        <v>2280</v>
      </c>
      <c r="B799" s="1" t="s">
        <v>1412</v>
      </c>
      <c r="C799" s="29">
        <v>45898.896986157401</v>
      </c>
      <c r="D799" s="1" t="s">
        <v>3052</v>
      </c>
      <c r="E799" s="1" t="s">
        <v>3053</v>
      </c>
      <c r="F799" s="1">
        <v>64</v>
      </c>
      <c r="G799" s="12" t="s">
        <v>1554</v>
      </c>
      <c r="H799" s="1" t="s">
        <v>823</v>
      </c>
      <c r="I799" s="1" t="s">
        <v>130</v>
      </c>
      <c r="J799" s="30">
        <v>1</v>
      </c>
      <c r="K799" s="30">
        <v>3840000</v>
      </c>
      <c r="L799" s="31">
        <v>3840000</v>
      </c>
      <c r="M799" s="1" t="s">
        <v>16</v>
      </c>
      <c r="N799" s="1" t="s">
        <v>17</v>
      </c>
      <c r="O799" s="1" t="s">
        <v>2057</v>
      </c>
      <c r="P799" s="1" t="s">
        <v>2056</v>
      </c>
      <c r="Q799" s="1" t="s">
        <v>652</v>
      </c>
      <c r="R799" s="1">
        <f t="shared" si="12"/>
        <v>3</v>
      </c>
      <c r="S799" s="4">
        <f>J799*K799*M799</f>
        <v>307200</v>
      </c>
    </row>
    <row r="800" spans="1:19" ht="43" hidden="1" customHeight="1">
      <c r="A800" s="1" t="s">
        <v>2280</v>
      </c>
      <c r="B800" s="1" t="s">
        <v>1315</v>
      </c>
      <c r="C800" s="29">
        <v>45747.658940451402</v>
      </c>
      <c r="D800" s="1" t="s">
        <v>3071</v>
      </c>
      <c r="E800" s="1" t="s">
        <v>3053</v>
      </c>
      <c r="F800" s="1">
        <v>12</v>
      </c>
      <c r="G800" s="2" t="s">
        <v>2221</v>
      </c>
      <c r="H800" s="1" t="s">
        <v>2007</v>
      </c>
      <c r="I800" s="1" t="s">
        <v>130</v>
      </c>
      <c r="J800" s="30">
        <v>1</v>
      </c>
      <c r="K800" s="30">
        <v>1430000</v>
      </c>
      <c r="L800" s="31">
        <v>1430000</v>
      </c>
      <c r="M800" s="1" t="s">
        <v>30</v>
      </c>
      <c r="N800" s="1" t="s">
        <v>17</v>
      </c>
      <c r="O800" s="1" t="s">
        <v>2057</v>
      </c>
      <c r="P800" s="1" t="s">
        <v>2056</v>
      </c>
      <c r="Q800" s="1" t="s">
        <v>42</v>
      </c>
      <c r="R800" s="1">
        <f t="shared" si="12"/>
        <v>1</v>
      </c>
      <c r="S800" s="4">
        <f>J800*K800*M800</f>
        <v>143000</v>
      </c>
    </row>
    <row r="801" spans="1:19" ht="43" hidden="1" customHeight="1">
      <c r="A801" s="1" t="s">
        <v>2280</v>
      </c>
      <c r="B801" s="1" t="s">
        <v>1419</v>
      </c>
      <c r="C801" s="29">
        <v>45866.749486990702</v>
      </c>
      <c r="D801" s="1" t="s">
        <v>3052</v>
      </c>
      <c r="E801" s="1" t="s">
        <v>3053</v>
      </c>
      <c r="F801" s="1">
        <v>3</v>
      </c>
      <c r="G801" s="12" t="s">
        <v>1365</v>
      </c>
      <c r="H801" s="1" t="s">
        <v>1365</v>
      </c>
      <c r="I801" s="1" t="s">
        <v>130</v>
      </c>
      <c r="J801" s="30">
        <v>2</v>
      </c>
      <c r="K801" s="30">
        <v>50000</v>
      </c>
      <c r="L801" s="31">
        <v>100000</v>
      </c>
      <c r="M801" s="1" t="s">
        <v>30</v>
      </c>
      <c r="N801" s="1" t="s">
        <v>17</v>
      </c>
      <c r="O801" s="1" t="s">
        <v>2057</v>
      </c>
      <c r="P801" s="1" t="s">
        <v>2056</v>
      </c>
      <c r="Q801" s="1" t="s">
        <v>1763</v>
      </c>
      <c r="R801" s="1">
        <f t="shared" si="12"/>
        <v>3</v>
      </c>
      <c r="S801" s="4">
        <f>J801*K801*M801</f>
        <v>10000</v>
      </c>
    </row>
    <row r="802" spans="1:19" ht="43" customHeight="1">
      <c r="A802" s="1" t="s">
        <v>2280</v>
      </c>
      <c r="B802" s="1" t="s">
        <v>194</v>
      </c>
      <c r="C802" s="29">
        <v>45747.667547175901</v>
      </c>
      <c r="D802" s="1" t="s">
        <v>3071</v>
      </c>
      <c r="E802" s="1" t="s">
        <v>3053</v>
      </c>
      <c r="F802" s="1">
        <v>4</v>
      </c>
      <c r="H802" s="1" t="s">
        <v>1993</v>
      </c>
      <c r="I802" s="1" t="s">
        <v>130</v>
      </c>
      <c r="J802" s="30">
        <v>1</v>
      </c>
      <c r="K802" s="30">
        <v>1409091</v>
      </c>
      <c r="L802" s="31">
        <v>1409091</v>
      </c>
      <c r="M802" s="1" t="s">
        <v>30</v>
      </c>
      <c r="N802" s="1" t="s">
        <v>17</v>
      </c>
      <c r="O802" s="1" t="s">
        <v>2057</v>
      </c>
      <c r="P802" s="1" t="s">
        <v>2056</v>
      </c>
      <c r="Q802" s="1" t="s">
        <v>42</v>
      </c>
      <c r="R802" s="1">
        <f t="shared" si="12"/>
        <v>1</v>
      </c>
      <c r="S802" s="4">
        <f>J802*K802*M802</f>
        <v>140909.1</v>
      </c>
    </row>
    <row r="803" spans="1:19" ht="43" hidden="1" customHeight="1">
      <c r="A803" s="1" t="s">
        <v>2072</v>
      </c>
      <c r="B803" s="1" t="s">
        <v>1294</v>
      </c>
      <c r="C803" s="29">
        <v>46021.613942164397</v>
      </c>
      <c r="D803" s="1" t="s">
        <v>3052</v>
      </c>
      <c r="E803" s="1" t="s">
        <v>3053</v>
      </c>
      <c r="F803" s="1">
        <v>26</v>
      </c>
      <c r="G803" s="12" t="s">
        <v>2954</v>
      </c>
      <c r="H803" s="1" t="s">
        <v>1440</v>
      </c>
      <c r="I803" s="1" t="s">
        <v>130</v>
      </c>
      <c r="J803" s="30">
        <v>2</v>
      </c>
      <c r="K803" s="30">
        <v>380000</v>
      </c>
      <c r="L803" s="31">
        <v>760000</v>
      </c>
      <c r="M803" s="1" t="s">
        <v>16</v>
      </c>
      <c r="N803" s="1" t="s">
        <v>17</v>
      </c>
      <c r="O803" s="1" t="s">
        <v>2057</v>
      </c>
      <c r="P803" s="1" t="s">
        <v>2056</v>
      </c>
      <c r="Q803" s="1" t="s">
        <v>1474</v>
      </c>
      <c r="R803" s="1">
        <f t="shared" si="12"/>
        <v>4</v>
      </c>
      <c r="S803" s="4">
        <f>J803*K803*M803</f>
        <v>60800</v>
      </c>
    </row>
    <row r="804" spans="1:19" ht="43" hidden="1" customHeight="1">
      <c r="A804" s="1" t="s">
        <v>2072</v>
      </c>
      <c r="B804" s="1" t="s">
        <v>146</v>
      </c>
      <c r="C804" s="29">
        <v>46020.386763703696</v>
      </c>
      <c r="D804" s="1" t="s">
        <v>3052</v>
      </c>
      <c r="E804" s="1" t="s">
        <v>3053</v>
      </c>
      <c r="F804" s="1">
        <v>41</v>
      </c>
      <c r="G804" s="12" t="s">
        <v>2954</v>
      </c>
      <c r="H804" s="1" t="s">
        <v>1440</v>
      </c>
      <c r="I804" s="1" t="s">
        <v>130</v>
      </c>
      <c r="J804" s="30">
        <v>1</v>
      </c>
      <c r="K804" s="30">
        <v>700000</v>
      </c>
      <c r="L804" s="31">
        <v>700000</v>
      </c>
      <c r="M804" s="1" t="s">
        <v>16</v>
      </c>
      <c r="N804" s="1" t="s">
        <v>17</v>
      </c>
      <c r="O804" s="1" t="s">
        <v>2057</v>
      </c>
      <c r="P804" s="1" t="s">
        <v>2056</v>
      </c>
      <c r="Q804" s="1" t="s">
        <v>275</v>
      </c>
      <c r="R804" s="1">
        <f t="shared" si="12"/>
        <v>4</v>
      </c>
      <c r="S804" s="4">
        <f>J804*K804*M804</f>
        <v>56000</v>
      </c>
    </row>
    <row r="805" spans="1:19" ht="43" hidden="1" customHeight="1">
      <c r="A805" s="1" t="s">
        <v>2280</v>
      </c>
      <c r="B805" s="1" t="s">
        <v>1400</v>
      </c>
      <c r="C805" s="29">
        <v>45990.721094398097</v>
      </c>
      <c r="D805" s="1" t="s">
        <v>3052</v>
      </c>
      <c r="E805" s="1" t="s">
        <v>3053</v>
      </c>
      <c r="F805" s="1">
        <v>28</v>
      </c>
      <c r="G805" s="12" t="s">
        <v>2954</v>
      </c>
      <c r="H805" s="1" t="s">
        <v>1440</v>
      </c>
      <c r="I805" s="1" t="s">
        <v>130</v>
      </c>
      <c r="J805" s="30">
        <v>2</v>
      </c>
      <c r="K805" s="30">
        <v>610000</v>
      </c>
      <c r="L805" s="31">
        <v>1220000</v>
      </c>
      <c r="M805" s="1" t="s">
        <v>16</v>
      </c>
      <c r="N805" s="1" t="s">
        <v>17</v>
      </c>
      <c r="O805" s="1" t="s">
        <v>2057</v>
      </c>
      <c r="P805" s="1" t="s">
        <v>2056</v>
      </c>
      <c r="Q805" s="1" t="s">
        <v>1531</v>
      </c>
      <c r="R805" s="1">
        <f t="shared" si="12"/>
        <v>4</v>
      </c>
      <c r="S805" s="4">
        <f>J805*K805*M805</f>
        <v>97600</v>
      </c>
    </row>
    <row r="806" spans="1:19" ht="43" hidden="1" customHeight="1">
      <c r="A806" s="1" t="s">
        <v>2280</v>
      </c>
      <c r="B806" s="1" t="s">
        <v>1417</v>
      </c>
      <c r="C806" s="29">
        <v>45868.607072511601</v>
      </c>
      <c r="D806" s="1" t="s">
        <v>3052</v>
      </c>
      <c r="E806" s="1" t="s">
        <v>3053</v>
      </c>
      <c r="F806" s="1">
        <v>14</v>
      </c>
      <c r="G806" s="12" t="s">
        <v>2954</v>
      </c>
      <c r="H806" s="1" t="s">
        <v>1440</v>
      </c>
      <c r="I806" s="1" t="s">
        <v>130</v>
      </c>
      <c r="J806" s="30">
        <v>1</v>
      </c>
      <c r="K806" s="30">
        <v>980000</v>
      </c>
      <c r="L806" s="31">
        <v>980000</v>
      </c>
      <c r="M806" s="1" t="s">
        <v>30</v>
      </c>
      <c r="N806" s="1" t="s">
        <v>17</v>
      </c>
      <c r="O806" s="1" t="s">
        <v>2057</v>
      </c>
      <c r="P806" s="1" t="s">
        <v>2056</v>
      </c>
      <c r="Q806" s="1" t="s">
        <v>800</v>
      </c>
      <c r="R806" s="1">
        <f t="shared" si="12"/>
        <v>3</v>
      </c>
      <c r="S806" s="4">
        <f>J806*K806*M806</f>
        <v>98000</v>
      </c>
    </row>
    <row r="807" spans="1:19" ht="43" hidden="1" customHeight="1">
      <c r="A807" s="1" t="s">
        <v>2280</v>
      </c>
      <c r="B807" s="1" t="s">
        <v>1419</v>
      </c>
      <c r="C807" s="29">
        <v>45866.749486990702</v>
      </c>
      <c r="D807" s="1" t="s">
        <v>3052</v>
      </c>
      <c r="E807" s="1" t="s">
        <v>3053</v>
      </c>
      <c r="F807" s="1">
        <v>5</v>
      </c>
      <c r="G807" s="12" t="s">
        <v>2954</v>
      </c>
      <c r="H807" s="1" t="s">
        <v>1440</v>
      </c>
      <c r="I807" s="1" t="s">
        <v>130</v>
      </c>
      <c r="J807" s="30">
        <v>2</v>
      </c>
      <c r="K807" s="30">
        <v>550000</v>
      </c>
      <c r="L807" s="31">
        <v>1100000</v>
      </c>
      <c r="M807" s="1" t="s">
        <v>30</v>
      </c>
      <c r="N807" s="1" t="s">
        <v>17</v>
      </c>
      <c r="O807" s="1" t="s">
        <v>2057</v>
      </c>
      <c r="P807" s="1" t="s">
        <v>2056</v>
      </c>
      <c r="Q807" s="1" t="s">
        <v>1763</v>
      </c>
      <c r="R807" s="1">
        <f t="shared" si="12"/>
        <v>3</v>
      </c>
      <c r="S807" s="4">
        <f>J807*K807*M807</f>
        <v>110000</v>
      </c>
    </row>
    <row r="808" spans="1:19" ht="43" hidden="1" customHeight="1">
      <c r="A808" s="1" t="s">
        <v>2280</v>
      </c>
      <c r="B808" s="1" t="s">
        <v>1442</v>
      </c>
      <c r="C808" s="29">
        <v>45960.6594943866</v>
      </c>
      <c r="D808" s="1" t="s">
        <v>3052</v>
      </c>
      <c r="E808" s="1" t="s">
        <v>3053</v>
      </c>
      <c r="F808" s="1">
        <v>11</v>
      </c>
      <c r="G808" s="12" t="s">
        <v>2950</v>
      </c>
      <c r="H808" s="1" t="s">
        <v>1567</v>
      </c>
      <c r="I808" s="1" t="s">
        <v>130</v>
      </c>
      <c r="J808" s="30">
        <v>2</v>
      </c>
      <c r="K808" s="30">
        <v>340000</v>
      </c>
      <c r="L808" s="31">
        <v>680000</v>
      </c>
      <c r="M808" s="1" t="s">
        <v>30</v>
      </c>
      <c r="N808" s="1" t="s">
        <v>17</v>
      </c>
      <c r="O808" s="1" t="s">
        <v>2057</v>
      </c>
      <c r="P808" s="1" t="s">
        <v>2056</v>
      </c>
      <c r="Q808" s="1" t="s">
        <v>533</v>
      </c>
      <c r="R808" s="1">
        <f t="shared" si="12"/>
        <v>4</v>
      </c>
      <c r="S808" s="4">
        <f>J808*K808*M808</f>
        <v>68000</v>
      </c>
    </row>
    <row r="809" spans="1:19" ht="43" hidden="1" customHeight="1">
      <c r="A809" s="1" t="s">
        <v>2280</v>
      </c>
      <c r="B809" s="1" t="s">
        <v>91</v>
      </c>
      <c r="C809" s="29">
        <v>45899.644512638901</v>
      </c>
      <c r="D809" s="1" t="s">
        <v>3052</v>
      </c>
      <c r="E809" s="1" t="s">
        <v>3053</v>
      </c>
      <c r="F809" s="1">
        <v>24</v>
      </c>
      <c r="G809" s="12" t="s">
        <v>2950</v>
      </c>
      <c r="H809" s="1" t="s">
        <v>1567</v>
      </c>
      <c r="I809" s="1" t="s">
        <v>130</v>
      </c>
      <c r="J809" s="30">
        <v>1</v>
      </c>
      <c r="K809" s="30">
        <v>220000</v>
      </c>
      <c r="L809" s="31">
        <v>220000</v>
      </c>
      <c r="M809" s="1" t="s">
        <v>16</v>
      </c>
      <c r="N809" s="1" t="s">
        <v>17</v>
      </c>
      <c r="O809" s="1" t="s">
        <v>2057</v>
      </c>
      <c r="P809" s="1" t="s">
        <v>2056</v>
      </c>
      <c r="Q809" s="1" t="s">
        <v>636</v>
      </c>
      <c r="R809" s="1">
        <f t="shared" si="12"/>
        <v>3</v>
      </c>
      <c r="S809" s="4">
        <f>J809*K809*M809</f>
        <v>17600</v>
      </c>
    </row>
    <row r="810" spans="1:19" ht="43" hidden="1" customHeight="1">
      <c r="A810" s="1" t="s">
        <v>2280</v>
      </c>
      <c r="B810" s="1" t="s">
        <v>1295</v>
      </c>
      <c r="C810" s="29">
        <v>45807.7287575347</v>
      </c>
      <c r="D810" s="1" t="s">
        <v>3052</v>
      </c>
      <c r="E810" s="1" t="s">
        <v>3053</v>
      </c>
      <c r="F810" s="1">
        <v>20</v>
      </c>
      <c r="G810" s="12" t="s">
        <v>2950</v>
      </c>
      <c r="H810" s="1" t="s">
        <v>1567</v>
      </c>
      <c r="I810" s="1" t="s">
        <v>130</v>
      </c>
      <c r="J810" s="30">
        <v>5</v>
      </c>
      <c r="K810" s="30">
        <v>350000</v>
      </c>
      <c r="L810" s="31">
        <v>1750000</v>
      </c>
      <c r="M810" s="1" t="s">
        <v>16</v>
      </c>
      <c r="N810" s="1" t="s">
        <v>17</v>
      </c>
      <c r="O810" s="1" t="s">
        <v>2057</v>
      </c>
      <c r="P810" s="1" t="s">
        <v>2056</v>
      </c>
      <c r="Q810" s="1" t="s">
        <v>925</v>
      </c>
      <c r="R810" s="1">
        <f t="shared" si="12"/>
        <v>2</v>
      </c>
      <c r="S810" s="4">
        <f>J810*K810*M810</f>
        <v>140000</v>
      </c>
    </row>
    <row r="811" spans="1:19" ht="43" hidden="1" customHeight="1">
      <c r="A811" s="1" t="s">
        <v>2280</v>
      </c>
      <c r="B811" s="1" t="s">
        <v>1462</v>
      </c>
      <c r="C811" s="29">
        <v>45928.944135983802</v>
      </c>
      <c r="D811" s="1" t="s">
        <v>3052</v>
      </c>
      <c r="E811" s="1" t="s">
        <v>3053</v>
      </c>
      <c r="F811" s="1">
        <v>15</v>
      </c>
      <c r="G811" s="12" t="s">
        <v>2950</v>
      </c>
      <c r="H811" s="1" t="s">
        <v>1604</v>
      </c>
      <c r="I811" s="1" t="s">
        <v>130</v>
      </c>
      <c r="J811" s="30">
        <v>2</v>
      </c>
      <c r="K811" s="30">
        <v>1750000</v>
      </c>
      <c r="L811" s="31">
        <v>3500000</v>
      </c>
      <c r="M811" s="1" t="s">
        <v>16</v>
      </c>
      <c r="N811" s="1" t="s">
        <v>17</v>
      </c>
      <c r="O811" s="1" t="s">
        <v>2057</v>
      </c>
      <c r="P811" s="1" t="s">
        <v>2056</v>
      </c>
      <c r="Q811" s="1" t="s">
        <v>546</v>
      </c>
      <c r="R811" s="1">
        <f t="shared" si="12"/>
        <v>3</v>
      </c>
      <c r="S811" s="4">
        <f>J811*K811*M811</f>
        <v>280000</v>
      </c>
    </row>
    <row r="812" spans="1:19" ht="43" hidden="1" customHeight="1">
      <c r="A812" s="1" t="s">
        <v>2072</v>
      </c>
      <c r="B812" s="1" t="s">
        <v>1294</v>
      </c>
      <c r="C812" s="29">
        <v>46021.613942164397</v>
      </c>
      <c r="D812" s="1" t="s">
        <v>3052</v>
      </c>
      <c r="E812" s="1" t="s">
        <v>3053</v>
      </c>
      <c r="F812" s="1">
        <v>49</v>
      </c>
      <c r="G812" s="12" t="s">
        <v>799</v>
      </c>
      <c r="H812" s="1" t="s">
        <v>799</v>
      </c>
      <c r="I812" s="1" t="s">
        <v>130</v>
      </c>
      <c r="J812" s="30">
        <v>3</v>
      </c>
      <c r="K812" s="30">
        <v>1650000</v>
      </c>
      <c r="L812" s="31">
        <v>4950000</v>
      </c>
      <c r="M812" s="1" t="s">
        <v>16</v>
      </c>
      <c r="N812" s="1" t="s">
        <v>17</v>
      </c>
      <c r="O812" s="1" t="s">
        <v>2057</v>
      </c>
      <c r="P812" s="1" t="s">
        <v>2056</v>
      </c>
      <c r="Q812" s="1" t="s">
        <v>1474</v>
      </c>
      <c r="R812" s="1">
        <f t="shared" si="12"/>
        <v>4</v>
      </c>
      <c r="S812" s="4">
        <f>J812*K812*M812</f>
        <v>396000</v>
      </c>
    </row>
    <row r="813" spans="1:19" ht="43" hidden="1" customHeight="1">
      <c r="A813" s="1" t="s">
        <v>2280</v>
      </c>
      <c r="B813" s="1" t="s">
        <v>1400</v>
      </c>
      <c r="C813" s="29">
        <v>45990.721094398097</v>
      </c>
      <c r="D813" s="1" t="s">
        <v>3052</v>
      </c>
      <c r="E813" s="1" t="s">
        <v>3053</v>
      </c>
      <c r="F813" s="1">
        <v>11</v>
      </c>
      <c r="G813" s="12" t="s">
        <v>799</v>
      </c>
      <c r="H813" s="1" t="s">
        <v>799</v>
      </c>
      <c r="I813" s="1" t="s">
        <v>130</v>
      </c>
      <c r="J813" s="30">
        <v>2</v>
      </c>
      <c r="K813" s="30">
        <v>1650000</v>
      </c>
      <c r="L813" s="31">
        <v>3300000</v>
      </c>
      <c r="M813" s="1" t="s">
        <v>16</v>
      </c>
      <c r="N813" s="1" t="s">
        <v>17</v>
      </c>
      <c r="O813" s="1" t="s">
        <v>2057</v>
      </c>
      <c r="P813" s="1" t="s">
        <v>2056</v>
      </c>
      <c r="Q813" s="1" t="s">
        <v>1531</v>
      </c>
      <c r="R813" s="1">
        <f t="shared" si="12"/>
        <v>4</v>
      </c>
      <c r="S813" s="4">
        <f>J813*K813*M813</f>
        <v>264000</v>
      </c>
    </row>
    <row r="814" spans="1:19" ht="43" hidden="1" customHeight="1">
      <c r="A814" s="1" t="s">
        <v>2280</v>
      </c>
      <c r="B814" s="1" t="s">
        <v>326</v>
      </c>
      <c r="C814" s="29">
        <v>45960.658345080999</v>
      </c>
      <c r="D814" s="1" t="s">
        <v>3052</v>
      </c>
      <c r="E814" s="1" t="s">
        <v>3053</v>
      </c>
      <c r="F814" s="1">
        <v>22</v>
      </c>
      <c r="G814" s="12" t="s">
        <v>799</v>
      </c>
      <c r="H814" s="1" t="s">
        <v>799</v>
      </c>
      <c r="I814" s="1" t="s">
        <v>130</v>
      </c>
      <c r="J814" s="30">
        <v>1</v>
      </c>
      <c r="K814" s="30">
        <v>1280000</v>
      </c>
      <c r="L814" s="31">
        <v>1280000</v>
      </c>
      <c r="M814" s="1" t="s">
        <v>16</v>
      </c>
      <c r="N814" s="1" t="s">
        <v>17</v>
      </c>
      <c r="O814" s="1" t="s">
        <v>2057</v>
      </c>
      <c r="P814" s="1" t="s">
        <v>2056</v>
      </c>
      <c r="Q814" s="1" t="s">
        <v>533</v>
      </c>
      <c r="R814" s="1">
        <f t="shared" si="12"/>
        <v>4</v>
      </c>
      <c r="S814" s="4">
        <f>J814*K814*M814</f>
        <v>102400</v>
      </c>
    </row>
    <row r="815" spans="1:19" ht="43" hidden="1" customHeight="1">
      <c r="A815" s="1" t="s">
        <v>2280</v>
      </c>
      <c r="B815" s="1" t="s">
        <v>379</v>
      </c>
      <c r="C815" s="29">
        <v>45959.6544954282</v>
      </c>
      <c r="D815" s="1" t="s">
        <v>3052</v>
      </c>
      <c r="E815" s="1" t="s">
        <v>3053</v>
      </c>
      <c r="F815" s="1">
        <v>4</v>
      </c>
      <c r="G815" s="12" t="s">
        <v>799</v>
      </c>
      <c r="H815" s="1" t="s">
        <v>799</v>
      </c>
      <c r="I815" s="1" t="s">
        <v>130</v>
      </c>
      <c r="J815" s="30">
        <v>1</v>
      </c>
      <c r="K815" s="30">
        <v>1430000</v>
      </c>
      <c r="L815" s="31">
        <v>1430000</v>
      </c>
      <c r="M815" s="1" t="s">
        <v>16</v>
      </c>
      <c r="N815" s="1" t="s">
        <v>17</v>
      </c>
      <c r="O815" s="1" t="s">
        <v>2057</v>
      </c>
      <c r="P815" s="1" t="s">
        <v>2056</v>
      </c>
      <c r="Q815" s="1" t="s">
        <v>1578</v>
      </c>
      <c r="R815" s="1">
        <f t="shared" si="12"/>
        <v>4</v>
      </c>
      <c r="S815" s="4">
        <f>J815*K815*M815</f>
        <v>114400</v>
      </c>
    </row>
    <row r="816" spans="1:19" ht="43" hidden="1" customHeight="1">
      <c r="A816" s="1" t="s">
        <v>2280</v>
      </c>
      <c r="B816" s="1" t="s">
        <v>1414</v>
      </c>
      <c r="C816" s="29">
        <v>45889.505948553197</v>
      </c>
      <c r="D816" s="1" t="s">
        <v>3054</v>
      </c>
      <c r="E816" s="1" t="s">
        <v>3055</v>
      </c>
      <c r="F816" s="1">
        <v>1</v>
      </c>
      <c r="G816" s="12" t="s">
        <v>799</v>
      </c>
      <c r="H816" s="1" t="s">
        <v>799</v>
      </c>
      <c r="I816" s="1" t="s">
        <v>130</v>
      </c>
      <c r="J816" s="30">
        <v>2</v>
      </c>
      <c r="K816" s="30">
        <v>1650000</v>
      </c>
      <c r="L816" s="31">
        <v>3300000</v>
      </c>
      <c r="M816" s="1" t="s">
        <v>16</v>
      </c>
      <c r="N816" s="1" t="s">
        <v>17</v>
      </c>
      <c r="O816" s="1" t="s">
        <v>2057</v>
      </c>
      <c r="P816" s="1" t="s">
        <v>2056</v>
      </c>
      <c r="Q816" s="1" t="s">
        <v>674</v>
      </c>
      <c r="R816" s="1">
        <f t="shared" si="12"/>
        <v>3</v>
      </c>
      <c r="S816" s="4">
        <f>J816*K816*M816</f>
        <v>264000</v>
      </c>
    </row>
    <row r="817" spans="1:19" ht="43" hidden="1" customHeight="1">
      <c r="A817" s="1" t="s">
        <v>2280</v>
      </c>
      <c r="B817" s="1" t="s">
        <v>1262</v>
      </c>
      <c r="C817" s="29">
        <v>45838.622051655097</v>
      </c>
      <c r="D817" s="1" t="s">
        <v>3052</v>
      </c>
      <c r="E817" s="1" t="s">
        <v>3053</v>
      </c>
      <c r="F817" s="1">
        <v>9</v>
      </c>
      <c r="G817" s="12" t="s">
        <v>799</v>
      </c>
      <c r="H817" s="1" t="s">
        <v>799</v>
      </c>
      <c r="I817" s="1" t="s">
        <v>130</v>
      </c>
      <c r="J817" s="30">
        <v>2</v>
      </c>
      <c r="K817" s="30">
        <v>1650000</v>
      </c>
      <c r="L817" s="31">
        <v>3300000</v>
      </c>
      <c r="M817" s="1" t="s">
        <v>30</v>
      </c>
      <c r="N817" s="1" t="s">
        <v>17</v>
      </c>
      <c r="O817" s="1" t="s">
        <v>2057</v>
      </c>
      <c r="P817" s="1" t="s">
        <v>2056</v>
      </c>
      <c r="Q817" s="1" t="s">
        <v>828</v>
      </c>
      <c r="R817" s="1">
        <f t="shared" si="12"/>
        <v>2</v>
      </c>
      <c r="S817" s="4">
        <f>J817*K817*M817</f>
        <v>330000</v>
      </c>
    </row>
    <row r="818" spans="1:19" ht="43" hidden="1" customHeight="1">
      <c r="A818" s="1" t="s">
        <v>2280</v>
      </c>
      <c r="B818" s="1" t="s">
        <v>1462</v>
      </c>
      <c r="C818" s="29">
        <v>45928.944135983802</v>
      </c>
      <c r="D818" s="1" t="s">
        <v>3052</v>
      </c>
      <c r="E818" s="1" t="s">
        <v>3053</v>
      </c>
      <c r="F818" s="1">
        <v>32</v>
      </c>
      <c r="G818" s="12" t="s">
        <v>1607</v>
      </c>
      <c r="H818" s="1" t="s">
        <v>1607</v>
      </c>
      <c r="I818" s="1" t="s">
        <v>130</v>
      </c>
      <c r="J818" s="30">
        <v>1</v>
      </c>
      <c r="K818" s="30">
        <v>1050000</v>
      </c>
      <c r="L818" s="31">
        <v>1050000</v>
      </c>
      <c r="M818" s="1" t="s">
        <v>16</v>
      </c>
      <c r="N818" s="1" t="s">
        <v>17</v>
      </c>
      <c r="O818" s="1" t="s">
        <v>2057</v>
      </c>
      <c r="P818" s="1" t="s">
        <v>2056</v>
      </c>
      <c r="Q818" s="1" t="s">
        <v>546</v>
      </c>
      <c r="R818" s="1">
        <f t="shared" si="12"/>
        <v>3</v>
      </c>
      <c r="S818" s="4">
        <f>J818*K818*M818</f>
        <v>84000</v>
      </c>
    </row>
    <row r="819" spans="1:19" ht="43" hidden="1" customHeight="1">
      <c r="A819" s="1" t="s">
        <v>2280</v>
      </c>
      <c r="B819" s="1" t="s">
        <v>1402</v>
      </c>
      <c r="C819" s="29">
        <v>45990.382403298601</v>
      </c>
      <c r="D819" s="1" t="s">
        <v>3052</v>
      </c>
      <c r="E819" s="1" t="s">
        <v>3053</v>
      </c>
      <c r="F819" s="1">
        <v>12</v>
      </c>
      <c r="G819" s="12" t="s">
        <v>1546</v>
      </c>
      <c r="H819" s="1" t="s">
        <v>1546</v>
      </c>
      <c r="I819" s="1" t="s">
        <v>130</v>
      </c>
      <c r="J819" s="30">
        <v>2</v>
      </c>
      <c r="K819" s="30">
        <v>340000</v>
      </c>
      <c r="L819" s="31">
        <v>680000</v>
      </c>
      <c r="M819" s="1" t="s">
        <v>16</v>
      </c>
      <c r="N819" s="1" t="s">
        <v>17</v>
      </c>
      <c r="O819" s="1" t="s">
        <v>2057</v>
      </c>
      <c r="P819" s="1" t="s">
        <v>2056</v>
      </c>
      <c r="Q819" s="1" t="s">
        <v>1531</v>
      </c>
      <c r="R819" s="1">
        <f t="shared" si="12"/>
        <v>4</v>
      </c>
      <c r="S819" s="4">
        <f>J819*K819*M819</f>
        <v>54400</v>
      </c>
    </row>
    <row r="820" spans="1:19" ht="43" hidden="1" customHeight="1">
      <c r="A820" s="1" t="s">
        <v>2280</v>
      </c>
      <c r="B820" s="1" t="s">
        <v>1467</v>
      </c>
      <c r="C820" s="29">
        <v>45928.732318564798</v>
      </c>
      <c r="D820" s="1" t="s">
        <v>3052</v>
      </c>
      <c r="E820" s="1" t="s">
        <v>3053</v>
      </c>
      <c r="F820" s="1">
        <v>25</v>
      </c>
      <c r="G820" s="12" t="s">
        <v>1622</v>
      </c>
      <c r="H820" s="1" t="s">
        <v>1622</v>
      </c>
      <c r="I820" s="1" t="s">
        <v>130</v>
      </c>
      <c r="J820" s="30">
        <v>1</v>
      </c>
      <c r="K820" s="30">
        <v>1200000</v>
      </c>
      <c r="L820" s="31">
        <v>1200000</v>
      </c>
      <c r="M820" s="1" t="s">
        <v>16</v>
      </c>
      <c r="N820" s="1" t="s">
        <v>17</v>
      </c>
      <c r="O820" s="1" t="s">
        <v>2057</v>
      </c>
      <c r="P820" s="1" t="s">
        <v>2056</v>
      </c>
      <c r="Q820" s="1" t="s">
        <v>546</v>
      </c>
      <c r="R820" s="1">
        <f t="shared" si="12"/>
        <v>3</v>
      </c>
      <c r="S820" s="4">
        <f>J820*K820*M820</f>
        <v>96000</v>
      </c>
    </row>
    <row r="821" spans="1:19" ht="43" hidden="1" customHeight="1">
      <c r="A821" s="1" t="s">
        <v>2280</v>
      </c>
      <c r="B821" s="1" t="s">
        <v>1262</v>
      </c>
      <c r="C821" s="29">
        <v>45838.622051655097</v>
      </c>
      <c r="D821" s="1" t="s">
        <v>3052</v>
      </c>
      <c r="E821" s="1" t="s">
        <v>3053</v>
      </c>
      <c r="F821" s="1">
        <v>29</v>
      </c>
      <c r="G821" s="12" t="s">
        <v>1622</v>
      </c>
      <c r="H821" s="1" t="s">
        <v>1622</v>
      </c>
      <c r="I821" s="1" t="s">
        <v>130</v>
      </c>
      <c r="J821" s="30">
        <v>1</v>
      </c>
      <c r="K821" s="30">
        <v>2675000</v>
      </c>
      <c r="L821" s="31">
        <v>2675000</v>
      </c>
      <c r="M821" s="1" t="s">
        <v>30</v>
      </c>
      <c r="N821" s="1" t="s">
        <v>17</v>
      </c>
      <c r="O821" s="1" t="s">
        <v>2057</v>
      </c>
      <c r="P821" s="1" t="s">
        <v>2056</v>
      </c>
      <c r="Q821" s="1" t="s">
        <v>828</v>
      </c>
      <c r="R821" s="1">
        <f t="shared" si="12"/>
        <v>2</v>
      </c>
      <c r="S821" s="4">
        <f>J821*K821*M821</f>
        <v>267500</v>
      </c>
    </row>
    <row r="822" spans="1:19" ht="43" hidden="1" customHeight="1">
      <c r="A822" s="1" t="s">
        <v>2280</v>
      </c>
      <c r="B822" s="1" t="s">
        <v>1412</v>
      </c>
      <c r="C822" s="29">
        <v>45898.896986157401</v>
      </c>
      <c r="D822" s="1" t="s">
        <v>3052</v>
      </c>
      <c r="E822" s="1" t="s">
        <v>3053</v>
      </c>
      <c r="F822" s="1">
        <v>62</v>
      </c>
      <c r="G822" s="12" t="s">
        <v>799</v>
      </c>
      <c r="H822" s="1" t="s">
        <v>142</v>
      </c>
      <c r="I822" s="1" t="s">
        <v>130</v>
      </c>
      <c r="J822" s="30">
        <v>1</v>
      </c>
      <c r="K822" s="30">
        <v>1650000</v>
      </c>
      <c r="L822" s="31">
        <v>1650000</v>
      </c>
      <c r="M822" s="1" t="s">
        <v>16</v>
      </c>
      <c r="N822" s="1" t="s">
        <v>17</v>
      </c>
      <c r="O822" s="1" t="s">
        <v>2057</v>
      </c>
      <c r="P822" s="1" t="s">
        <v>2056</v>
      </c>
      <c r="Q822" s="1" t="s">
        <v>652</v>
      </c>
      <c r="R822" s="1">
        <f t="shared" si="12"/>
        <v>3</v>
      </c>
      <c r="S822" s="4">
        <f>J822*K822*M822</f>
        <v>132000</v>
      </c>
    </row>
    <row r="823" spans="1:19" ht="43" customHeight="1">
      <c r="A823" s="1" t="s">
        <v>2280</v>
      </c>
      <c r="B823" s="1" t="s">
        <v>61</v>
      </c>
      <c r="C823" s="29">
        <v>45859.3852244792</v>
      </c>
      <c r="D823" s="1" t="s">
        <v>3054</v>
      </c>
      <c r="E823" s="1" t="s">
        <v>3055</v>
      </c>
      <c r="F823" s="1">
        <v>2</v>
      </c>
      <c r="H823" s="1" t="s">
        <v>1796</v>
      </c>
      <c r="I823" s="1" t="s">
        <v>15</v>
      </c>
      <c r="J823" s="30">
        <v>1</v>
      </c>
      <c r="K823" s="30">
        <v>750000</v>
      </c>
      <c r="L823" s="31">
        <v>750000</v>
      </c>
      <c r="M823" s="1" t="s">
        <v>30</v>
      </c>
      <c r="N823" s="1" t="s">
        <v>17</v>
      </c>
      <c r="O823" s="1" t="s">
        <v>2057</v>
      </c>
      <c r="P823" s="1" t="s">
        <v>2056</v>
      </c>
      <c r="Q823" s="1" t="s">
        <v>894</v>
      </c>
      <c r="R823" s="1">
        <f t="shared" si="12"/>
        <v>3</v>
      </c>
      <c r="S823" s="4">
        <f>J823*K823*M823</f>
        <v>75000</v>
      </c>
    </row>
    <row r="824" spans="1:19" ht="43" hidden="1" customHeight="1">
      <c r="A824" s="1" t="s">
        <v>2280</v>
      </c>
      <c r="B824" s="1" t="s">
        <v>61</v>
      </c>
      <c r="C824" s="29">
        <v>45859.3852244792</v>
      </c>
      <c r="D824" s="1" t="s">
        <v>3054</v>
      </c>
      <c r="E824" s="1" t="s">
        <v>3055</v>
      </c>
      <c r="F824" s="1">
        <v>1</v>
      </c>
      <c r="G824" s="12" t="s">
        <v>799</v>
      </c>
      <c r="H824" s="1" t="s">
        <v>1795</v>
      </c>
      <c r="I824" s="1" t="s">
        <v>15</v>
      </c>
      <c r="J824" s="30">
        <v>1</v>
      </c>
      <c r="K824" s="30">
        <v>1650000</v>
      </c>
      <c r="L824" s="31">
        <v>1650000</v>
      </c>
      <c r="M824" s="1" t="s">
        <v>30</v>
      </c>
      <c r="N824" s="1" t="s">
        <v>17</v>
      </c>
      <c r="O824" s="1" t="s">
        <v>2057</v>
      </c>
      <c r="P824" s="1" t="s">
        <v>2056</v>
      </c>
      <c r="Q824" s="1" t="s">
        <v>894</v>
      </c>
      <c r="R824" s="1">
        <f t="shared" si="12"/>
        <v>3</v>
      </c>
      <c r="S824" s="4">
        <f>J824*K824*M824</f>
        <v>165000</v>
      </c>
    </row>
    <row r="825" spans="1:19" ht="43" hidden="1" customHeight="1">
      <c r="A825" s="1" t="s">
        <v>2280</v>
      </c>
      <c r="B825" s="1" t="s">
        <v>1403</v>
      </c>
      <c r="C825" s="29">
        <v>45990.382104108801</v>
      </c>
      <c r="D825" s="1" t="s">
        <v>3052</v>
      </c>
      <c r="E825" s="1" t="s">
        <v>3053</v>
      </c>
      <c r="F825" s="1">
        <v>2</v>
      </c>
      <c r="G825" s="12" t="s">
        <v>435</v>
      </c>
      <c r="H825" s="1" t="s">
        <v>1552</v>
      </c>
      <c r="I825" s="1" t="s">
        <v>130</v>
      </c>
      <c r="J825" s="30">
        <v>1</v>
      </c>
      <c r="K825" s="30">
        <v>8500000</v>
      </c>
      <c r="L825" s="31">
        <v>8500000</v>
      </c>
      <c r="M825" s="1" t="s">
        <v>16</v>
      </c>
      <c r="N825" s="1" t="s">
        <v>17</v>
      </c>
      <c r="O825" s="1" t="s">
        <v>2057</v>
      </c>
      <c r="P825" s="1" t="s">
        <v>2056</v>
      </c>
      <c r="Q825" s="1" t="s">
        <v>1531</v>
      </c>
      <c r="R825" s="1">
        <f t="shared" si="12"/>
        <v>4</v>
      </c>
      <c r="S825" s="4">
        <f>J825*K825*M825</f>
        <v>680000</v>
      </c>
    </row>
    <row r="826" spans="1:19" ht="43" customHeight="1">
      <c r="A826" s="1" t="s">
        <v>2280</v>
      </c>
      <c r="B826" s="1" t="s">
        <v>120</v>
      </c>
      <c r="C826" s="29">
        <v>45838.621748888901</v>
      </c>
      <c r="D826" s="1" t="s">
        <v>3052</v>
      </c>
      <c r="E826" s="1" t="s">
        <v>3053</v>
      </c>
      <c r="F826" s="1">
        <v>39</v>
      </c>
      <c r="H826" s="1" t="s">
        <v>1838</v>
      </c>
      <c r="I826" s="1" t="s">
        <v>130</v>
      </c>
      <c r="J826" s="30">
        <v>1</v>
      </c>
      <c r="K826" s="30">
        <v>19500000</v>
      </c>
      <c r="L826" s="31">
        <v>19500000</v>
      </c>
      <c r="M826" s="1" t="s">
        <v>16</v>
      </c>
      <c r="N826" s="1" t="s">
        <v>17</v>
      </c>
      <c r="O826" s="1" t="s">
        <v>2057</v>
      </c>
      <c r="P826" s="1" t="s">
        <v>2056</v>
      </c>
      <c r="Q826" s="1" t="s">
        <v>828</v>
      </c>
      <c r="R826" s="1">
        <f t="shared" si="12"/>
        <v>2</v>
      </c>
      <c r="S826" s="4">
        <f>J826*K826*M826</f>
        <v>1560000</v>
      </c>
    </row>
    <row r="827" spans="1:19" ht="43" hidden="1" customHeight="1">
      <c r="A827" s="1" t="s">
        <v>2072</v>
      </c>
      <c r="B827" s="1" t="s">
        <v>146</v>
      </c>
      <c r="C827" s="29">
        <v>46020.386763703696</v>
      </c>
      <c r="D827" s="1" t="s">
        <v>3052</v>
      </c>
      <c r="E827" s="1" t="s">
        <v>3053</v>
      </c>
      <c r="F827" s="1">
        <v>24</v>
      </c>
      <c r="G827" s="12" t="s">
        <v>1500</v>
      </c>
      <c r="H827" s="1" t="s">
        <v>1500</v>
      </c>
      <c r="I827" s="1" t="s">
        <v>130</v>
      </c>
      <c r="J827" s="30">
        <v>1</v>
      </c>
      <c r="K827" s="30">
        <v>700000</v>
      </c>
      <c r="L827" s="31">
        <v>700000</v>
      </c>
      <c r="M827" s="1" t="s">
        <v>16</v>
      </c>
      <c r="N827" s="1" t="s">
        <v>17</v>
      </c>
      <c r="O827" s="1" t="s">
        <v>2057</v>
      </c>
      <c r="P827" s="1" t="s">
        <v>2056</v>
      </c>
      <c r="Q827" s="1" t="s">
        <v>275</v>
      </c>
      <c r="R827" s="1">
        <f t="shared" si="12"/>
        <v>4</v>
      </c>
      <c r="S827" s="4">
        <f>J827*K827*M827</f>
        <v>56000</v>
      </c>
    </row>
    <row r="828" spans="1:19" ht="43" hidden="1" customHeight="1">
      <c r="A828" s="1" t="s">
        <v>2280</v>
      </c>
      <c r="B828" s="1" t="s">
        <v>1034</v>
      </c>
      <c r="C828" s="29">
        <v>45928.7317327778</v>
      </c>
      <c r="D828" s="1" t="s">
        <v>3052</v>
      </c>
      <c r="E828" s="1" t="s">
        <v>3053</v>
      </c>
      <c r="F828" s="1">
        <v>2</v>
      </c>
      <c r="G828" s="12" t="s">
        <v>1500</v>
      </c>
      <c r="H828" s="1" t="s">
        <v>1500</v>
      </c>
      <c r="I828" s="1" t="s">
        <v>130</v>
      </c>
      <c r="J828" s="30">
        <v>3</v>
      </c>
      <c r="K828" s="30">
        <v>340000</v>
      </c>
      <c r="L828" s="31">
        <v>1020000</v>
      </c>
      <c r="M828" s="1" t="s">
        <v>30</v>
      </c>
      <c r="N828" s="1" t="s">
        <v>17</v>
      </c>
      <c r="O828" s="1" t="s">
        <v>2057</v>
      </c>
      <c r="P828" s="1" t="s">
        <v>2056</v>
      </c>
      <c r="Q828" s="1" t="s">
        <v>546</v>
      </c>
      <c r="R828" s="1">
        <f t="shared" si="12"/>
        <v>3</v>
      </c>
      <c r="S828" s="4">
        <f>J828*K828*M828</f>
        <v>102000</v>
      </c>
    </row>
    <row r="829" spans="1:19" ht="43" hidden="1" customHeight="1">
      <c r="A829" s="1" t="s">
        <v>2280</v>
      </c>
      <c r="B829" s="1" t="s">
        <v>1417</v>
      </c>
      <c r="C829" s="29">
        <v>45868.607072511601</v>
      </c>
      <c r="D829" s="1" t="s">
        <v>3052</v>
      </c>
      <c r="E829" s="1" t="s">
        <v>3053</v>
      </c>
      <c r="F829" s="1">
        <v>1</v>
      </c>
      <c r="G829" s="12" t="s">
        <v>1500</v>
      </c>
      <c r="H829" s="1" t="s">
        <v>1500</v>
      </c>
      <c r="I829" s="1" t="s">
        <v>130</v>
      </c>
      <c r="J829" s="30">
        <v>1</v>
      </c>
      <c r="K829" s="30">
        <v>280000</v>
      </c>
      <c r="L829" s="31">
        <v>280000</v>
      </c>
      <c r="M829" s="1" t="s">
        <v>30</v>
      </c>
      <c r="N829" s="1" t="s">
        <v>17</v>
      </c>
      <c r="O829" s="1" t="s">
        <v>2057</v>
      </c>
      <c r="P829" s="1" t="s">
        <v>2056</v>
      </c>
      <c r="Q829" s="1" t="s">
        <v>800</v>
      </c>
      <c r="R829" s="1">
        <f t="shared" si="12"/>
        <v>3</v>
      </c>
      <c r="S829" s="4">
        <f>J829*K829*M829</f>
        <v>28000</v>
      </c>
    </row>
    <row r="830" spans="1:19" ht="43" hidden="1" customHeight="1">
      <c r="A830" s="1" t="s">
        <v>2280</v>
      </c>
      <c r="B830" s="1" t="s">
        <v>1400</v>
      </c>
      <c r="C830" s="29">
        <v>45990.721094398097</v>
      </c>
      <c r="D830" s="1" t="s">
        <v>3052</v>
      </c>
      <c r="E830" s="1" t="s">
        <v>3053</v>
      </c>
      <c r="F830" s="1">
        <v>34</v>
      </c>
      <c r="G830" s="12" t="s">
        <v>1539</v>
      </c>
      <c r="H830" s="1" t="s">
        <v>1539</v>
      </c>
      <c r="I830" s="1" t="s">
        <v>130</v>
      </c>
      <c r="J830" s="30">
        <v>1</v>
      </c>
      <c r="K830" s="30">
        <v>2800000</v>
      </c>
      <c r="L830" s="31">
        <v>2800000</v>
      </c>
      <c r="M830" s="1" t="s">
        <v>16</v>
      </c>
      <c r="N830" s="1" t="s">
        <v>17</v>
      </c>
      <c r="O830" s="1" t="s">
        <v>2057</v>
      </c>
      <c r="P830" s="1" t="s">
        <v>2056</v>
      </c>
      <c r="Q830" s="1" t="s">
        <v>1531</v>
      </c>
      <c r="R830" s="1">
        <f t="shared" si="12"/>
        <v>4</v>
      </c>
      <c r="S830" s="4">
        <f>J830*K830*M830</f>
        <v>224000</v>
      </c>
    </row>
    <row r="831" spans="1:19" ht="43" hidden="1" customHeight="1">
      <c r="A831" s="1" t="s">
        <v>2280</v>
      </c>
      <c r="B831" s="1" t="s">
        <v>326</v>
      </c>
      <c r="C831" s="29">
        <v>45960.658345080999</v>
      </c>
      <c r="D831" s="1" t="s">
        <v>3052</v>
      </c>
      <c r="E831" s="1" t="s">
        <v>3053</v>
      </c>
      <c r="F831" s="1">
        <v>23</v>
      </c>
      <c r="G831" s="12" t="s">
        <v>1539</v>
      </c>
      <c r="H831" s="1" t="s">
        <v>1539</v>
      </c>
      <c r="I831" s="1" t="s">
        <v>130</v>
      </c>
      <c r="J831" s="30">
        <v>1</v>
      </c>
      <c r="K831" s="30">
        <v>1050000</v>
      </c>
      <c r="L831" s="31">
        <v>1050000</v>
      </c>
      <c r="M831" s="1" t="s">
        <v>16</v>
      </c>
      <c r="N831" s="1" t="s">
        <v>17</v>
      </c>
      <c r="O831" s="1" t="s">
        <v>2057</v>
      </c>
      <c r="P831" s="1" t="s">
        <v>2056</v>
      </c>
      <c r="Q831" s="1" t="s">
        <v>533</v>
      </c>
      <c r="R831" s="1">
        <f t="shared" si="12"/>
        <v>4</v>
      </c>
      <c r="S831" s="4">
        <f>J831*K831*M831</f>
        <v>84000</v>
      </c>
    </row>
    <row r="832" spans="1:19" ht="43" hidden="1" customHeight="1">
      <c r="A832" s="1" t="s">
        <v>2280</v>
      </c>
      <c r="B832" s="1" t="s">
        <v>379</v>
      </c>
      <c r="C832" s="29">
        <v>45959.6544954282</v>
      </c>
      <c r="D832" s="1" t="s">
        <v>3052</v>
      </c>
      <c r="E832" s="1" t="s">
        <v>3053</v>
      </c>
      <c r="F832" s="1">
        <v>5</v>
      </c>
      <c r="G832" s="12" t="s">
        <v>1539</v>
      </c>
      <c r="H832" s="1" t="s">
        <v>1539</v>
      </c>
      <c r="I832" s="1" t="s">
        <v>130</v>
      </c>
      <c r="J832" s="30">
        <v>1</v>
      </c>
      <c r="K832" s="30">
        <v>1050000</v>
      </c>
      <c r="L832" s="31">
        <v>1050000</v>
      </c>
      <c r="M832" s="1" t="s">
        <v>16</v>
      </c>
      <c r="N832" s="1" t="s">
        <v>17</v>
      </c>
      <c r="O832" s="1" t="s">
        <v>2057</v>
      </c>
      <c r="P832" s="1" t="s">
        <v>2056</v>
      </c>
      <c r="Q832" s="1" t="s">
        <v>1578</v>
      </c>
      <c r="R832" s="1">
        <f t="shared" si="12"/>
        <v>4</v>
      </c>
      <c r="S832" s="4">
        <f>J832*K832*M832</f>
        <v>84000</v>
      </c>
    </row>
    <row r="833" spans="1:19" ht="43" hidden="1" customHeight="1">
      <c r="A833" s="1" t="s">
        <v>2280</v>
      </c>
      <c r="B833" s="1" t="s">
        <v>1417</v>
      </c>
      <c r="C833" s="29">
        <v>45868.607072511601</v>
      </c>
      <c r="D833" s="1" t="s">
        <v>3052</v>
      </c>
      <c r="E833" s="1" t="s">
        <v>3053</v>
      </c>
      <c r="F833" s="1">
        <v>10</v>
      </c>
      <c r="G833" s="12" t="s">
        <v>1539</v>
      </c>
      <c r="H833" s="1" t="s">
        <v>1539</v>
      </c>
      <c r="I833" s="1" t="s">
        <v>130</v>
      </c>
      <c r="J833" s="30">
        <v>1</v>
      </c>
      <c r="K833" s="30">
        <v>700000</v>
      </c>
      <c r="L833" s="31">
        <v>700000</v>
      </c>
      <c r="M833" s="1" t="s">
        <v>30</v>
      </c>
      <c r="N833" s="1" t="s">
        <v>17</v>
      </c>
      <c r="O833" s="1" t="s">
        <v>2057</v>
      </c>
      <c r="P833" s="1" t="s">
        <v>2056</v>
      </c>
      <c r="Q833" s="1" t="s">
        <v>800</v>
      </c>
      <c r="R833" s="1">
        <f t="shared" si="12"/>
        <v>3</v>
      </c>
      <c r="S833" s="4">
        <f>J833*K833*M833</f>
        <v>70000</v>
      </c>
    </row>
    <row r="834" spans="1:19" ht="43" hidden="1" customHeight="1">
      <c r="A834" s="1" t="s">
        <v>2280</v>
      </c>
      <c r="B834" s="1" t="s">
        <v>1267</v>
      </c>
      <c r="C834" s="29">
        <v>45836.662306689803</v>
      </c>
      <c r="D834" s="1" t="s">
        <v>3072</v>
      </c>
      <c r="E834" s="1" t="s">
        <v>3073</v>
      </c>
      <c r="F834" s="1">
        <v>7</v>
      </c>
      <c r="G834" s="12" t="s">
        <v>1320</v>
      </c>
      <c r="H834" s="1" t="s">
        <v>1320</v>
      </c>
      <c r="I834" s="1" t="s">
        <v>130</v>
      </c>
      <c r="J834" s="30">
        <v>1</v>
      </c>
      <c r="K834" s="30">
        <v>700000</v>
      </c>
      <c r="L834" s="31">
        <v>700000</v>
      </c>
      <c r="M834" s="1" t="s">
        <v>30</v>
      </c>
      <c r="N834" s="1" t="s">
        <v>17</v>
      </c>
      <c r="O834" s="1" t="s">
        <v>2057</v>
      </c>
      <c r="P834" s="1" t="s">
        <v>2056</v>
      </c>
      <c r="Q834" s="1" t="s">
        <v>845</v>
      </c>
      <c r="R834" s="1">
        <f t="shared" si="12"/>
        <v>2</v>
      </c>
      <c r="S834" s="4">
        <f>J834*K834*M834</f>
        <v>70000</v>
      </c>
    </row>
    <row r="835" spans="1:19" ht="43" hidden="1" customHeight="1">
      <c r="A835" s="1" t="s">
        <v>2280</v>
      </c>
      <c r="B835" s="1" t="s">
        <v>1467</v>
      </c>
      <c r="C835" s="29">
        <v>45928.732318564798</v>
      </c>
      <c r="D835" s="1" t="s">
        <v>3052</v>
      </c>
      <c r="E835" s="1" t="s">
        <v>3053</v>
      </c>
      <c r="F835" s="1">
        <v>24</v>
      </c>
      <c r="G835" s="12" t="s">
        <v>720</v>
      </c>
      <c r="H835" s="1" t="s">
        <v>1621</v>
      </c>
      <c r="I835" s="1" t="s">
        <v>130</v>
      </c>
      <c r="J835" s="30">
        <v>1</v>
      </c>
      <c r="K835" s="30">
        <v>1200000</v>
      </c>
      <c r="L835" s="31">
        <v>1200000</v>
      </c>
      <c r="M835" s="1" t="s">
        <v>16</v>
      </c>
      <c r="N835" s="1" t="s">
        <v>17</v>
      </c>
      <c r="O835" s="1" t="s">
        <v>2057</v>
      </c>
      <c r="P835" s="1" t="s">
        <v>2056</v>
      </c>
      <c r="Q835" s="1" t="s">
        <v>546</v>
      </c>
      <c r="R835" s="1">
        <f t="shared" ref="R835:R898" si="13">ROUNDUP(MONTH(Q835)/3,0)</f>
        <v>3</v>
      </c>
      <c r="S835" s="4">
        <f>J835*K835*M835</f>
        <v>96000</v>
      </c>
    </row>
    <row r="836" spans="1:19" ht="43" hidden="1" customHeight="1">
      <c r="A836" s="1" t="s">
        <v>2280</v>
      </c>
      <c r="B836" s="1" t="s">
        <v>91</v>
      </c>
      <c r="C836" s="29">
        <v>45899.644512638901</v>
      </c>
      <c r="D836" s="1" t="s">
        <v>3052</v>
      </c>
      <c r="E836" s="1" t="s">
        <v>3053</v>
      </c>
      <c r="F836" s="1">
        <v>6</v>
      </c>
      <c r="G836" s="12" t="s">
        <v>720</v>
      </c>
      <c r="H836" s="1" t="s">
        <v>1621</v>
      </c>
      <c r="I836" s="1" t="s">
        <v>130</v>
      </c>
      <c r="J836" s="30">
        <v>2</v>
      </c>
      <c r="K836" s="30">
        <v>1200000</v>
      </c>
      <c r="L836" s="31">
        <v>2400000</v>
      </c>
      <c r="M836" s="1" t="s">
        <v>16</v>
      </c>
      <c r="N836" s="1" t="s">
        <v>17</v>
      </c>
      <c r="O836" s="1" t="s">
        <v>2057</v>
      </c>
      <c r="P836" s="1" t="s">
        <v>2056</v>
      </c>
      <c r="Q836" s="1" t="s">
        <v>636</v>
      </c>
      <c r="R836" s="1">
        <f t="shared" si="13"/>
        <v>3</v>
      </c>
      <c r="S836" s="4">
        <f>J836*K836*M836</f>
        <v>192000</v>
      </c>
    </row>
    <row r="837" spans="1:19" ht="43" hidden="1" customHeight="1">
      <c r="A837" s="1" t="s">
        <v>2280</v>
      </c>
      <c r="B837" s="1" t="s">
        <v>1412</v>
      </c>
      <c r="C837" s="29">
        <v>45898.896986157401</v>
      </c>
      <c r="D837" s="1" t="s">
        <v>3052</v>
      </c>
      <c r="E837" s="1" t="s">
        <v>3053</v>
      </c>
      <c r="F837" s="1">
        <v>47</v>
      </c>
      <c r="G837" s="12" t="s">
        <v>720</v>
      </c>
      <c r="H837" s="1" t="s">
        <v>1621</v>
      </c>
      <c r="I837" s="1" t="s">
        <v>130</v>
      </c>
      <c r="J837" s="30">
        <v>1</v>
      </c>
      <c r="K837" s="30">
        <v>1200000</v>
      </c>
      <c r="L837" s="31">
        <v>1200000</v>
      </c>
      <c r="M837" s="1" t="s">
        <v>16</v>
      </c>
      <c r="N837" s="1" t="s">
        <v>17</v>
      </c>
      <c r="O837" s="1" t="s">
        <v>2057</v>
      </c>
      <c r="P837" s="1" t="s">
        <v>2056</v>
      </c>
      <c r="Q837" s="1" t="s">
        <v>652</v>
      </c>
      <c r="R837" s="1">
        <f t="shared" si="13"/>
        <v>3</v>
      </c>
      <c r="S837" s="4">
        <f>J837*K837*M837</f>
        <v>96000</v>
      </c>
    </row>
    <row r="838" spans="1:19" ht="43" hidden="1" customHeight="1">
      <c r="A838" s="1" t="s">
        <v>2280</v>
      </c>
      <c r="B838" s="1" t="s">
        <v>1403</v>
      </c>
      <c r="C838" s="29">
        <v>45990.382104108801</v>
      </c>
      <c r="D838" s="1" t="s">
        <v>3052</v>
      </c>
      <c r="E838" s="1" t="s">
        <v>3053</v>
      </c>
      <c r="F838" s="1">
        <v>1</v>
      </c>
      <c r="G838" s="12" t="s">
        <v>2214</v>
      </c>
      <c r="H838" s="1" t="s">
        <v>1551</v>
      </c>
      <c r="I838" s="1" t="s">
        <v>130</v>
      </c>
      <c r="J838" s="30">
        <v>1</v>
      </c>
      <c r="K838" s="30">
        <v>8900000</v>
      </c>
      <c r="L838" s="31">
        <v>8900000</v>
      </c>
      <c r="M838" s="1" t="s">
        <v>16</v>
      </c>
      <c r="N838" s="1" t="s">
        <v>17</v>
      </c>
      <c r="O838" s="1" t="s">
        <v>2057</v>
      </c>
      <c r="P838" s="1" t="s">
        <v>2056</v>
      </c>
      <c r="Q838" s="1" t="s">
        <v>1531</v>
      </c>
      <c r="R838" s="1">
        <f t="shared" si="13"/>
        <v>4</v>
      </c>
      <c r="S838" s="4">
        <f>J838*K838*M838</f>
        <v>712000</v>
      </c>
    </row>
    <row r="839" spans="1:19" ht="43" hidden="1" customHeight="1">
      <c r="A839" s="1" t="s">
        <v>2280</v>
      </c>
      <c r="B839" s="1" t="s">
        <v>1412</v>
      </c>
      <c r="C839" s="29">
        <v>45898.896986157401</v>
      </c>
      <c r="D839" s="1" t="s">
        <v>3052</v>
      </c>
      <c r="E839" s="1" t="s">
        <v>3053</v>
      </c>
      <c r="F839" s="1">
        <v>61</v>
      </c>
      <c r="G839" s="12" t="s">
        <v>1701</v>
      </c>
      <c r="H839" s="1" t="s">
        <v>1701</v>
      </c>
      <c r="I839" s="1" t="s">
        <v>130</v>
      </c>
      <c r="J839" s="30">
        <v>2</v>
      </c>
      <c r="K839" s="30">
        <v>1050000</v>
      </c>
      <c r="L839" s="31">
        <v>2100000</v>
      </c>
      <c r="M839" s="1" t="s">
        <v>16</v>
      </c>
      <c r="N839" s="1" t="s">
        <v>17</v>
      </c>
      <c r="O839" s="1" t="s">
        <v>2057</v>
      </c>
      <c r="P839" s="1" t="s">
        <v>2056</v>
      </c>
      <c r="Q839" s="1" t="s">
        <v>652</v>
      </c>
      <c r="R839" s="1">
        <f t="shared" si="13"/>
        <v>3</v>
      </c>
      <c r="S839" s="4">
        <f>J839*K839*M839</f>
        <v>168000</v>
      </c>
    </row>
    <row r="840" spans="1:19" ht="43" hidden="1" customHeight="1">
      <c r="A840" s="1" t="s">
        <v>2280</v>
      </c>
      <c r="B840" s="1" t="s">
        <v>1412</v>
      </c>
      <c r="C840" s="29">
        <v>45898.896986157401</v>
      </c>
      <c r="D840" s="1" t="s">
        <v>3052</v>
      </c>
      <c r="E840" s="1" t="s">
        <v>3053</v>
      </c>
      <c r="F840" s="1">
        <v>70</v>
      </c>
      <c r="G840" s="12" t="s">
        <v>1364</v>
      </c>
      <c r="H840" s="1" t="s">
        <v>1707</v>
      </c>
      <c r="I840" s="1" t="s">
        <v>130</v>
      </c>
      <c r="J840" s="30">
        <v>5</v>
      </c>
      <c r="K840" s="30">
        <v>15000</v>
      </c>
      <c r="L840" s="31">
        <v>75000</v>
      </c>
      <c r="M840" s="1" t="s">
        <v>16</v>
      </c>
      <c r="N840" s="1" t="s">
        <v>17</v>
      </c>
      <c r="O840" s="1" t="s">
        <v>2057</v>
      </c>
      <c r="P840" s="1" t="s">
        <v>2056</v>
      </c>
      <c r="Q840" s="1" t="s">
        <v>652</v>
      </c>
      <c r="R840" s="1">
        <f t="shared" si="13"/>
        <v>3</v>
      </c>
      <c r="S840" s="4">
        <f>J840*K840*M840</f>
        <v>6000</v>
      </c>
    </row>
    <row r="841" spans="1:19" ht="43" hidden="1" customHeight="1">
      <c r="A841" s="1" t="s">
        <v>2280</v>
      </c>
      <c r="B841" s="1" t="s">
        <v>1467</v>
      </c>
      <c r="C841" s="29">
        <v>45928.732318564798</v>
      </c>
      <c r="D841" s="1" t="s">
        <v>3052</v>
      </c>
      <c r="E841" s="1" t="s">
        <v>3053</v>
      </c>
      <c r="F841" s="1">
        <v>39</v>
      </c>
      <c r="G841" s="12" t="s">
        <v>2225</v>
      </c>
      <c r="H841" s="1" t="s">
        <v>469</v>
      </c>
      <c r="I841" s="1" t="s">
        <v>130</v>
      </c>
      <c r="J841" s="30">
        <v>4</v>
      </c>
      <c r="K841" s="30">
        <v>13997</v>
      </c>
      <c r="L841" s="31">
        <v>55988</v>
      </c>
      <c r="M841" s="1" t="s">
        <v>16</v>
      </c>
      <c r="N841" s="1" t="s">
        <v>17</v>
      </c>
      <c r="O841" s="1" t="s">
        <v>2057</v>
      </c>
      <c r="P841" s="1" t="s">
        <v>2056</v>
      </c>
      <c r="Q841" s="1" t="s">
        <v>546</v>
      </c>
      <c r="R841" s="1">
        <f t="shared" si="13"/>
        <v>3</v>
      </c>
      <c r="S841" s="4">
        <f>J841*K841*M841</f>
        <v>4479.04</v>
      </c>
    </row>
    <row r="842" spans="1:19" ht="43" hidden="1" customHeight="1">
      <c r="A842" s="1" t="s">
        <v>2280</v>
      </c>
      <c r="B842" s="1" t="s">
        <v>1133</v>
      </c>
      <c r="C842" s="29">
        <v>45926.710831087999</v>
      </c>
      <c r="D842" s="1" t="s">
        <v>3058</v>
      </c>
      <c r="E842" s="1" t="s">
        <v>3059</v>
      </c>
      <c r="F842" s="1">
        <v>2</v>
      </c>
      <c r="G842" s="12" t="s">
        <v>2225</v>
      </c>
      <c r="H842" s="1" t="s">
        <v>469</v>
      </c>
      <c r="I842" s="1" t="s">
        <v>130</v>
      </c>
      <c r="J842" s="30">
        <v>5</v>
      </c>
      <c r="K842" s="30">
        <v>50000</v>
      </c>
      <c r="L842" s="31">
        <v>250000</v>
      </c>
      <c r="M842" s="1" t="s">
        <v>16</v>
      </c>
      <c r="N842" s="1" t="s">
        <v>17</v>
      </c>
      <c r="O842" s="1" t="s">
        <v>2057</v>
      </c>
      <c r="P842" s="1" t="s">
        <v>2056</v>
      </c>
      <c r="Q842" s="1" t="s">
        <v>558</v>
      </c>
      <c r="R842" s="1">
        <f t="shared" si="13"/>
        <v>3</v>
      </c>
      <c r="S842" s="4">
        <f>J842*K842*M842</f>
        <v>20000</v>
      </c>
    </row>
    <row r="843" spans="1:19" ht="43" hidden="1" customHeight="1">
      <c r="A843" s="1" t="s">
        <v>2280</v>
      </c>
      <c r="B843" s="1" t="s">
        <v>1467</v>
      </c>
      <c r="C843" s="29">
        <v>45928.732318564798</v>
      </c>
      <c r="D843" s="1" t="s">
        <v>3052</v>
      </c>
      <c r="E843" s="1" t="s">
        <v>3053</v>
      </c>
      <c r="F843" s="1">
        <v>33</v>
      </c>
      <c r="G843" s="12" t="s">
        <v>1623</v>
      </c>
      <c r="H843" s="1" t="s">
        <v>1623</v>
      </c>
      <c r="I843" s="1" t="s">
        <v>130</v>
      </c>
      <c r="J843" s="30">
        <v>40</v>
      </c>
      <c r="K843" s="30">
        <v>5962</v>
      </c>
      <c r="L843" s="31">
        <v>238480</v>
      </c>
      <c r="M843" s="1" t="s">
        <v>16</v>
      </c>
      <c r="N843" s="1" t="s">
        <v>17</v>
      </c>
      <c r="O843" s="1" t="s">
        <v>2057</v>
      </c>
      <c r="P843" s="1" t="s">
        <v>2056</v>
      </c>
      <c r="Q843" s="1" t="s">
        <v>546</v>
      </c>
      <c r="R843" s="1">
        <f t="shared" si="13"/>
        <v>3</v>
      </c>
      <c r="S843" s="4">
        <f>J843*K843*M843</f>
        <v>19078.400000000001</v>
      </c>
    </row>
    <row r="844" spans="1:19" ht="43" hidden="1" customHeight="1">
      <c r="A844" s="1" t="s">
        <v>2280</v>
      </c>
      <c r="B844" s="1" t="s">
        <v>91</v>
      </c>
      <c r="C844" s="29">
        <v>45899.644512638901</v>
      </c>
      <c r="D844" s="1" t="s">
        <v>3052</v>
      </c>
      <c r="E844" s="1" t="s">
        <v>3053</v>
      </c>
      <c r="F844" s="1">
        <v>15</v>
      </c>
      <c r="G844" s="12" t="s">
        <v>1364</v>
      </c>
      <c r="H844" s="1" t="s">
        <v>1364</v>
      </c>
      <c r="I844" s="1" t="s">
        <v>130</v>
      </c>
      <c r="J844" s="30">
        <v>5</v>
      </c>
      <c r="K844" s="30">
        <v>5000</v>
      </c>
      <c r="L844" s="31">
        <v>25000</v>
      </c>
      <c r="M844" s="1" t="s">
        <v>16</v>
      </c>
      <c r="N844" s="1" t="s">
        <v>17</v>
      </c>
      <c r="O844" s="1" t="s">
        <v>2057</v>
      </c>
      <c r="P844" s="1" t="s">
        <v>2056</v>
      </c>
      <c r="Q844" s="1" t="s">
        <v>636</v>
      </c>
      <c r="R844" s="1">
        <f t="shared" si="13"/>
        <v>3</v>
      </c>
      <c r="S844" s="4">
        <f>J844*K844*M844</f>
        <v>2000</v>
      </c>
    </row>
    <row r="845" spans="1:19" ht="43" hidden="1" customHeight="1">
      <c r="A845" s="1" t="s">
        <v>2280</v>
      </c>
      <c r="B845" s="1" t="s">
        <v>1158</v>
      </c>
      <c r="C845" s="29">
        <v>45868.606624756903</v>
      </c>
      <c r="D845" s="1" t="s">
        <v>3052</v>
      </c>
      <c r="E845" s="1" t="s">
        <v>3053</v>
      </c>
      <c r="F845" s="1">
        <v>2</v>
      </c>
      <c r="G845" s="12" t="s">
        <v>1364</v>
      </c>
      <c r="H845" s="1" t="s">
        <v>1364</v>
      </c>
      <c r="I845" s="1" t="s">
        <v>130</v>
      </c>
      <c r="J845" s="30">
        <v>10</v>
      </c>
      <c r="K845" s="30">
        <v>4000</v>
      </c>
      <c r="L845" s="31">
        <v>40000</v>
      </c>
      <c r="M845" s="1" t="s">
        <v>16</v>
      </c>
      <c r="N845" s="1" t="s">
        <v>17</v>
      </c>
      <c r="O845" s="1" t="s">
        <v>2057</v>
      </c>
      <c r="P845" s="1" t="s">
        <v>2056</v>
      </c>
      <c r="Q845" s="1" t="s">
        <v>800</v>
      </c>
      <c r="R845" s="1">
        <f t="shared" si="13"/>
        <v>3</v>
      </c>
      <c r="S845" s="4">
        <f>J845*K845*M845</f>
        <v>3200</v>
      </c>
    </row>
    <row r="846" spans="1:19" ht="43" hidden="1" customHeight="1">
      <c r="A846" s="1" t="s">
        <v>2280</v>
      </c>
      <c r="B846" s="1" t="s">
        <v>1420</v>
      </c>
      <c r="C846" s="29">
        <v>45866.7486208681</v>
      </c>
      <c r="D846" s="1" t="s">
        <v>3052</v>
      </c>
      <c r="E846" s="1" t="s">
        <v>3053</v>
      </c>
      <c r="F846" s="1">
        <v>33</v>
      </c>
      <c r="G846" s="12" t="s">
        <v>1364</v>
      </c>
      <c r="H846" s="1" t="s">
        <v>1364</v>
      </c>
      <c r="I846" s="1" t="s">
        <v>130</v>
      </c>
      <c r="J846" s="30">
        <v>10</v>
      </c>
      <c r="K846" s="30">
        <v>6000</v>
      </c>
      <c r="L846" s="31">
        <v>60000</v>
      </c>
      <c r="M846" s="1" t="s">
        <v>16</v>
      </c>
      <c r="N846" s="1" t="s">
        <v>17</v>
      </c>
      <c r="O846" s="1" t="s">
        <v>2057</v>
      </c>
      <c r="P846" s="1" t="s">
        <v>2056</v>
      </c>
      <c r="Q846" s="1" t="s">
        <v>1763</v>
      </c>
      <c r="R846" s="1">
        <f t="shared" si="13"/>
        <v>3</v>
      </c>
      <c r="S846" s="4">
        <f>J846*K846*M846</f>
        <v>4800</v>
      </c>
    </row>
    <row r="847" spans="1:19" ht="43" hidden="1" customHeight="1">
      <c r="A847" s="1" t="s">
        <v>2072</v>
      </c>
      <c r="B847" s="1" t="s">
        <v>1294</v>
      </c>
      <c r="C847" s="29">
        <v>46021.613942164397</v>
      </c>
      <c r="D847" s="1" t="s">
        <v>3052</v>
      </c>
      <c r="E847" s="1" t="s">
        <v>3053</v>
      </c>
      <c r="F847" s="1">
        <v>66</v>
      </c>
      <c r="G847" s="12" t="s">
        <v>1490</v>
      </c>
      <c r="H847" s="1" t="s">
        <v>1490</v>
      </c>
      <c r="I847" s="1" t="s">
        <v>130</v>
      </c>
      <c r="J847" s="30">
        <v>60</v>
      </c>
      <c r="K847" s="30">
        <v>50000</v>
      </c>
      <c r="L847" s="31">
        <v>3000000</v>
      </c>
      <c r="M847" s="1" t="s">
        <v>16</v>
      </c>
      <c r="N847" s="1" t="s">
        <v>17</v>
      </c>
      <c r="O847" s="1" t="s">
        <v>2057</v>
      </c>
      <c r="P847" s="1" t="s">
        <v>2056</v>
      </c>
      <c r="Q847" s="1" t="s">
        <v>1474</v>
      </c>
      <c r="R847" s="1">
        <f t="shared" si="13"/>
        <v>4</v>
      </c>
      <c r="S847" s="4">
        <f>J847*K847*M847</f>
        <v>240000</v>
      </c>
    </row>
    <row r="848" spans="1:19" ht="43" hidden="1" customHeight="1">
      <c r="A848" s="1" t="s">
        <v>2280</v>
      </c>
      <c r="B848" s="1" t="s">
        <v>1158</v>
      </c>
      <c r="C848" s="29">
        <v>45868.606624756903</v>
      </c>
      <c r="D848" s="1" t="s">
        <v>3052</v>
      </c>
      <c r="E848" s="1" t="s">
        <v>3053</v>
      </c>
      <c r="F848" s="1">
        <v>27</v>
      </c>
      <c r="G848" s="12" t="s">
        <v>1490</v>
      </c>
      <c r="H848" s="1" t="s">
        <v>1490</v>
      </c>
      <c r="I848" s="1" t="s">
        <v>130</v>
      </c>
      <c r="J848" s="30">
        <v>20</v>
      </c>
      <c r="K848" s="30">
        <v>3000</v>
      </c>
      <c r="L848" s="31">
        <v>60000</v>
      </c>
      <c r="M848" s="1" t="s">
        <v>16</v>
      </c>
      <c r="N848" s="1" t="s">
        <v>17</v>
      </c>
      <c r="O848" s="1" t="s">
        <v>2057</v>
      </c>
      <c r="P848" s="1" t="s">
        <v>2056</v>
      </c>
      <c r="Q848" s="1" t="s">
        <v>800</v>
      </c>
      <c r="R848" s="1">
        <f t="shared" si="13"/>
        <v>3</v>
      </c>
      <c r="S848" s="4">
        <f>J848*K848*M848</f>
        <v>4800</v>
      </c>
    </row>
    <row r="849" spans="1:19" ht="43" customHeight="1">
      <c r="A849" s="1" t="s">
        <v>2280</v>
      </c>
      <c r="B849" s="1" t="s">
        <v>1315</v>
      </c>
      <c r="C849" s="29">
        <v>45747.658940451402</v>
      </c>
      <c r="D849" s="1" t="s">
        <v>3071</v>
      </c>
      <c r="E849" s="1" t="s">
        <v>3053</v>
      </c>
      <c r="F849" s="1">
        <v>33</v>
      </c>
      <c r="H849" s="1" t="s">
        <v>2026</v>
      </c>
      <c r="I849" s="1" t="s">
        <v>130</v>
      </c>
      <c r="J849" s="30">
        <v>2</v>
      </c>
      <c r="K849" s="30">
        <v>20000</v>
      </c>
      <c r="L849" s="31">
        <v>40000</v>
      </c>
      <c r="M849" s="1" t="s">
        <v>30</v>
      </c>
      <c r="N849" s="1" t="s">
        <v>17</v>
      </c>
      <c r="O849" s="1" t="s">
        <v>2057</v>
      </c>
      <c r="P849" s="1" t="s">
        <v>2056</v>
      </c>
      <c r="Q849" s="1" t="s">
        <v>42</v>
      </c>
      <c r="R849" s="1">
        <f t="shared" si="13"/>
        <v>1</v>
      </c>
      <c r="S849" s="4">
        <f>J849*K849*M849</f>
        <v>4000</v>
      </c>
    </row>
    <row r="850" spans="1:19" ht="43" customHeight="1">
      <c r="A850" s="1" t="s">
        <v>2280</v>
      </c>
      <c r="B850" s="1" t="s">
        <v>1315</v>
      </c>
      <c r="C850" s="29">
        <v>45747.658940451402</v>
      </c>
      <c r="D850" s="1" t="s">
        <v>3071</v>
      </c>
      <c r="E850" s="1" t="s">
        <v>3053</v>
      </c>
      <c r="F850" s="1">
        <v>34</v>
      </c>
      <c r="H850" s="1" t="s">
        <v>2027</v>
      </c>
      <c r="I850" s="1" t="s">
        <v>130</v>
      </c>
      <c r="J850" s="30">
        <v>4</v>
      </c>
      <c r="K850" s="30">
        <v>45000</v>
      </c>
      <c r="L850" s="31">
        <v>180000</v>
      </c>
      <c r="M850" s="1" t="s">
        <v>30</v>
      </c>
      <c r="N850" s="1" t="s">
        <v>17</v>
      </c>
      <c r="O850" s="1" t="s">
        <v>2057</v>
      </c>
      <c r="P850" s="1" t="s">
        <v>2056</v>
      </c>
      <c r="Q850" s="1" t="s">
        <v>42</v>
      </c>
      <c r="R850" s="1">
        <f t="shared" si="13"/>
        <v>1</v>
      </c>
      <c r="S850" s="4">
        <f>J850*K850*M850</f>
        <v>18000</v>
      </c>
    </row>
    <row r="851" spans="1:19" ht="43" hidden="1" customHeight="1">
      <c r="A851" s="1" t="s">
        <v>2280</v>
      </c>
      <c r="B851" s="1" t="s">
        <v>1400</v>
      </c>
      <c r="C851" s="29">
        <v>45990.721094398097</v>
      </c>
      <c r="D851" s="1" t="s">
        <v>3052</v>
      </c>
      <c r="E851" s="1" t="s">
        <v>3053</v>
      </c>
      <c r="F851" s="1">
        <v>3</v>
      </c>
      <c r="G851" s="12" t="s">
        <v>250</v>
      </c>
      <c r="H851" s="1" t="s">
        <v>250</v>
      </c>
      <c r="I851" s="1" t="s">
        <v>130</v>
      </c>
      <c r="J851" s="30">
        <v>4</v>
      </c>
      <c r="K851" s="30">
        <v>135000</v>
      </c>
      <c r="L851" s="31">
        <v>540000</v>
      </c>
      <c r="M851" s="1" t="s">
        <v>16</v>
      </c>
      <c r="N851" s="1" t="s">
        <v>17</v>
      </c>
      <c r="O851" s="1" t="s">
        <v>2057</v>
      </c>
      <c r="P851" s="1" t="s">
        <v>2056</v>
      </c>
      <c r="Q851" s="1" t="s">
        <v>1531</v>
      </c>
      <c r="R851" s="1">
        <f t="shared" si="13"/>
        <v>4</v>
      </c>
      <c r="S851" s="4">
        <f>J851*K851*M851</f>
        <v>43200</v>
      </c>
    </row>
    <row r="852" spans="1:19" ht="43" hidden="1" customHeight="1">
      <c r="A852" s="1" t="s">
        <v>2280</v>
      </c>
      <c r="B852" s="1" t="s">
        <v>326</v>
      </c>
      <c r="C852" s="29">
        <v>45960.658345080999</v>
      </c>
      <c r="D852" s="1" t="s">
        <v>3052</v>
      </c>
      <c r="E852" s="1" t="s">
        <v>3053</v>
      </c>
      <c r="F852" s="1">
        <v>36</v>
      </c>
      <c r="G852" s="12" t="s">
        <v>250</v>
      </c>
      <c r="H852" s="1" t="s">
        <v>250</v>
      </c>
      <c r="I852" s="1" t="s">
        <v>130</v>
      </c>
      <c r="J852" s="30">
        <v>1</v>
      </c>
      <c r="K852" s="30">
        <v>100000</v>
      </c>
      <c r="L852" s="31">
        <v>100000</v>
      </c>
      <c r="M852" s="1" t="s">
        <v>16</v>
      </c>
      <c r="N852" s="1" t="s">
        <v>17</v>
      </c>
      <c r="O852" s="1" t="s">
        <v>2057</v>
      </c>
      <c r="P852" s="1" t="s">
        <v>2056</v>
      </c>
      <c r="Q852" s="1" t="s">
        <v>533</v>
      </c>
      <c r="R852" s="1">
        <f t="shared" si="13"/>
        <v>4</v>
      </c>
      <c r="S852" s="4">
        <f>J852*K852*M852</f>
        <v>8000</v>
      </c>
    </row>
    <row r="853" spans="1:19" ht="43" hidden="1" customHeight="1">
      <c r="A853" s="1" t="s">
        <v>2280</v>
      </c>
      <c r="B853" s="1" t="s">
        <v>1462</v>
      </c>
      <c r="C853" s="29">
        <v>45928.944135983802</v>
      </c>
      <c r="D853" s="1" t="s">
        <v>3052</v>
      </c>
      <c r="E853" s="1" t="s">
        <v>3053</v>
      </c>
      <c r="F853" s="1">
        <v>10</v>
      </c>
      <c r="G853" s="12" t="s">
        <v>250</v>
      </c>
      <c r="H853" s="1" t="s">
        <v>250</v>
      </c>
      <c r="I853" s="1" t="s">
        <v>130</v>
      </c>
      <c r="J853" s="30">
        <v>1</v>
      </c>
      <c r="K853" s="30">
        <v>400000</v>
      </c>
      <c r="L853" s="31">
        <v>400000</v>
      </c>
      <c r="M853" s="1" t="s">
        <v>16</v>
      </c>
      <c r="N853" s="1" t="s">
        <v>17</v>
      </c>
      <c r="O853" s="1" t="s">
        <v>2057</v>
      </c>
      <c r="P853" s="1" t="s">
        <v>2056</v>
      </c>
      <c r="Q853" s="1" t="s">
        <v>546</v>
      </c>
      <c r="R853" s="1">
        <f t="shared" si="13"/>
        <v>3</v>
      </c>
      <c r="S853" s="4">
        <f>J853*K853*M853</f>
        <v>32000</v>
      </c>
    </row>
    <row r="854" spans="1:19" ht="43" hidden="1" customHeight="1">
      <c r="A854" s="1" t="s">
        <v>2280</v>
      </c>
      <c r="B854" s="1" t="s">
        <v>13</v>
      </c>
      <c r="C854" s="29">
        <v>45776.499996342602</v>
      </c>
      <c r="D854" s="1" t="s">
        <v>3052</v>
      </c>
      <c r="E854" s="1" t="s">
        <v>3053</v>
      </c>
      <c r="F854" s="1">
        <v>4</v>
      </c>
      <c r="G854" s="12" t="s">
        <v>2864</v>
      </c>
      <c r="H854" s="1" t="s">
        <v>1027</v>
      </c>
      <c r="I854" s="1" t="s">
        <v>15</v>
      </c>
      <c r="J854" s="30">
        <v>5</v>
      </c>
      <c r="K854" s="30">
        <v>650000</v>
      </c>
      <c r="L854" s="31">
        <v>3250000</v>
      </c>
      <c r="M854" s="1" t="s">
        <v>16</v>
      </c>
      <c r="N854" s="1" t="s">
        <v>17</v>
      </c>
      <c r="O854" s="1" t="s">
        <v>2057</v>
      </c>
      <c r="P854" s="1" t="s">
        <v>2056</v>
      </c>
      <c r="Q854" s="1" t="s">
        <v>937</v>
      </c>
      <c r="R854" s="1">
        <f t="shared" si="13"/>
        <v>2</v>
      </c>
      <c r="S854" s="4">
        <f>J854*K854*M854</f>
        <v>260000</v>
      </c>
    </row>
    <row r="855" spans="1:19" ht="43" hidden="1" customHeight="1">
      <c r="A855" s="1" t="s">
        <v>2280</v>
      </c>
      <c r="B855" s="1" t="s">
        <v>1315</v>
      </c>
      <c r="C855" s="29">
        <v>45747.658940451402</v>
      </c>
      <c r="D855" s="1" t="s">
        <v>3071</v>
      </c>
      <c r="E855" s="1" t="s">
        <v>3053</v>
      </c>
      <c r="F855" s="1">
        <v>1</v>
      </c>
      <c r="G855" s="12" t="s">
        <v>1149</v>
      </c>
      <c r="H855" s="1" t="s">
        <v>1997</v>
      </c>
      <c r="I855" s="1" t="s">
        <v>130</v>
      </c>
      <c r="J855" s="30">
        <v>6</v>
      </c>
      <c r="K855" s="30">
        <v>320000</v>
      </c>
      <c r="L855" s="31">
        <v>1920000</v>
      </c>
      <c r="M855" s="1" t="s">
        <v>30</v>
      </c>
      <c r="N855" s="1" t="s">
        <v>17</v>
      </c>
      <c r="O855" s="1" t="s">
        <v>2057</v>
      </c>
      <c r="P855" s="1" t="s">
        <v>2056</v>
      </c>
      <c r="Q855" s="1" t="s">
        <v>42</v>
      </c>
      <c r="R855" s="1">
        <f t="shared" si="13"/>
        <v>1</v>
      </c>
      <c r="S855" s="4">
        <f>J855*K855*M855</f>
        <v>192000</v>
      </c>
    </row>
    <row r="856" spans="1:19" ht="43" customHeight="1">
      <c r="A856" s="1" t="s">
        <v>2280</v>
      </c>
      <c r="B856" s="1" t="s">
        <v>13</v>
      </c>
      <c r="C856" s="29">
        <v>45776.499996342602</v>
      </c>
      <c r="D856" s="1" t="s">
        <v>3052</v>
      </c>
      <c r="E856" s="1" t="s">
        <v>3053</v>
      </c>
      <c r="F856" s="1">
        <v>52</v>
      </c>
      <c r="H856" s="1" t="s">
        <v>1959</v>
      </c>
      <c r="I856" s="1" t="s">
        <v>130</v>
      </c>
      <c r="J856" s="30">
        <v>2</v>
      </c>
      <c r="K856" s="30">
        <v>2000000</v>
      </c>
      <c r="L856" s="31">
        <v>4000000</v>
      </c>
      <c r="M856" s="1" t="s">
        <v>16</v>
      </c>
      <c r="N856" s="1" t="s">
        <v>17</v>
      </c>
      <c r="O856" s="1" t="s">
        <v>2057</v>
      </c>
      <c r="P856" s="1" t="s">
        <v>2056</v>
      </c>
      <c r="Q856" s="1" t="s">
        <v>937</v>
      </c>
      <c r="R856" s="1">
        <f t="shared" si="13"/>
        <v>2</v>
      </c>
      <c r="S856" s="4">
        <f>J856*K856*M856</f>
        <v>320000</v>
      </c>
    </row>
    <row r="857" spans="1:19" ht="43" hidden="1" customHeight="1">
      <c r="A857" s="1" t="s">
        <v>2280</v>
      </c>
      <c r="B857" s="1" t="s">
        <v>13</v>
      </c>
      <c r="C857" s="29">
        <v>45776.499996342602</v>
      </c>
      <c r="D857" s="1" t="s">
        <v>3052</v>
      </c>
      <c r="E857" s="1" t="s">
        <v>3053</v>
      </c>
      <c r="F857" s="1">
        <v>70</v>
      </c>
      <c r="G857" s="12" t="s">
        <v>1149</v>
      </c>
      <c r="H857" s="1" t="s">
        <v>1149</v>
      </c>
      <c r="I857" s="1" t="s">
        <v>130</v>
      </c>
      <c r="J857" s="30">
        <v>15</v>
      </c>
      <c r="K857" s="30">
        <v>950000</v>
      </c>
      <c r="L857" s="31">
        <v>14250000</v>
      </c>
      <c r="M857" s="1" t="s">
        <v>16</v>
      </c>
      <c r="N857" s="1" t="s">
        <v>17</v>
      </c>
      <c r="O857" s="1" t="s">
        <v>2057</v>
      </c>
      <c r="P857" s="1" t="s">
        <v>2056</v>
      </c>
      <c r="Q857" s="1" t="s">
        <v>937</v>
      </c>
      <c r="R857" s="1">
        <f t="shared" si="13"/>
        <v>2</v>
      </c>
      <c r="S857" s="4">
        <f>J857*K857*M857</f>
        <v>1140000</v>
      </c>
    </row>
    <row r="858" spans="1:19" ht="43" hidden="1" customHeight="1">
      <c r="A858" s="1" t="s">
        <v>2280</v>
      </c>
      <c r="B858" s="1" t="s">
        <v>13</v>
      </c>
      <c r="C858" s="29">
        <v>45776.499996342602</v>
      </c>
      <c r="D858" s="1" t="s">
        <v>3052</v>
      </c>
      <c r="E858" s="1" t="s">
        <v>3053</v>
      </c>
      <c r="F858" s="1">
        <v>2</v>
      </c>
      <c r="G858" s="12" t="s">
        <v>2863</v>
      </c>
      <c r="H858" s="1" t="s">
        <v>1025</v>
      </c>
      <c r="I858" s="1" t="s">
        <v>15</v>
      </c>
      <c r="J858" s="30">
        <v>5</v>
      </c>
      <c r="K858" s="30">
        <v>950000</v>
      </c>
      <c r="L858" s="31">
        <v>4750000</v>
      </c>
      <c r="M858" s="1" t="s">
        <v>16</v>
      </c>
      <c r="N858" s="1" t="s">
        <v>17</v>
      </c>
      <c r="O858" s="1" t="s">
        <v>2057</v>
      </c>
      <c r="P858" s="1" t="s">
        <v>2056</v>
      </c>
      <c r="Q858" s="1" t="s">
        <v>937</v>
      </c>
      <c r="R858" s="1">
        <f t="shared" si="13"/>
        <v>2</v>
      </c>
      <c r="S858" s="4">
        <f>J858*K858*M858</f>
        <v>380000</v>
      </c>
    </row>
    <row r="859" spans="1:19" ht="43" customHeight="1">
      <c r="A859" s="1" t="s">
        <v>2280</v>
      </c>
      <c r="B859" s="1" t="s">
        <v>326</v>
      </c>
      <c r="C859" s="29">
        <v>45960.658345080999</v>
      </c>
      <c r="D859" s="1" t="s">
        <v>3052</v>
      </c>
      <c r="E859" s="1" t="s">
        <v>3053</v>
      </c>
      <c r="F859" s="1">
        <v>29</v>
      </c>
      <c r="H859" s="1" t="s">
        <v>1573</v>
      </c>
      <c r="I859" s="1" t="s">
        <v>130</v>
      </c>
      <c r="J859" s="30">
        <v>20</v>
      </c>
      <c r="K859" s="30">
        <v>25000</v>
      </c>
      <c r="L859" s="31">
        <v>500000</v>
      </c>
      <c r="M859" s="1" t="s">
        <v>16</v>
      </c>
      <c r="N859" s="1" t="s">
        <v>17</v>
      </c>
      <c r="O859" s="1" t="s">
        <v>2057</v>
      </c>
      <c r="P859" s="1" t="s">
        <v>2056</v>
      </c>
      <c r="Q859" s="1" t="s">
        <v>533</v>
      </c>
      <c r="R859" s="1">
        <f t="shared" si="13"/>
        <v>4</v>
      </c>
      <c r="S859" s="4">
        <f>J859*K859*M859</f>
        <v>40000</v>
      </c>
    </row>
    <row r="860" spans="1:19" ht="43" customHeight="1">
      <c r="A860" s="1" t="s">
        <v>2280</v>
      </c>
      <c r="B860" s="1" t="s">
        <v>1469</v>
      </c>
      <c r="C860" s="29">
        <v>45926.638648275497</v>
      </c>
      <c r="D860" s="1" t="s">
        <v>3056</v>
      </c>
      <c r="E860" s="1" t="s">
        <v>3057</v>
      </c>
      <c r="F860" s="1">
        <v>5</v>
      </c>
      <c r="H860" s="1" t="s">
        <v>1649</v>
      </c>
      <c r="I860" s="1" t="s">
        <v>15</v>
      </c>
      <c r="J860" s="30">
        <v>10</v>
      </c>
      <c r="K860" s="30">
        <v>30000</v>
      </c>
      <c r="L860" s="31">
        <v>300000</v>
      </c>
      <c r="M860" s="1" t="s">
        <v>16</v>
      </c>
      <c r="N860" s="1" t="s">
        <v>17</v>
      </c>
      <c r="O860" s="1" t="s">
        <v>2057</v>
      </c>
      <c r="P860" s="1" t="s">
        <v>2056</v>
      </c>
      <c r="Q860" s="1" t="s">
        <v>558</v>
      </c>
      <c r="R860" s="1">
        <f t="shared" si="13"/>
        <v>3</v>
      </c>
      <c r="S860" s="4">
        <f>J860*K860*M860</f>
        <v>24000</v>
      </c>
    </row>
    <row r="861" spans="1:19" ht="43" hidden="1" customHeight="1">
      <c r="A861" s="1" t="s">
        <v>2072</v>
      </c>
      <c r="B861" s="1" t="s">
        <v>1294</v>
      </c>
      <c r="C861" s="29">
        <v>46021.613942164397</v>
      </c>
      <c r="D861" s="1" t="s">
        <v>3052</v>
      </c>
      <c r="E861" s="1" t="s">
        <v>3053</v>
      </c>
      <c r="F861" s="1">
        <v>47</v>
      </c>
      <c r="G861" s="12" t="s">
        <v>1266</v>
      </c>
      <c r="H861" s="1" t="s">
        <v>1266</v>
      </c>
      <c r="I861" s="1" t="s">
        <v>130</v>
      </c>
      <c r="J861" s="30">
        <v>1</v>
      </c>
      <c r="K861" s="30">
        <v>130000</v>
      </c>
      <c r="L861" s="31">
        <v>130000</v>
      </c>
      <c r="M861" s="1" t="s">
        <v>16</v>
      </c>
      <c r="N861" s="1" t="s">
        <v>17</v>
      </c>
      <c r="O861" s="1" t="s">
        <v>2057</v>
      </c>
      <c r="P861" s="1" t="s">
        <v>2056</v>
      </c>
      <c r="Q861" s="1" t="s">
        <v>1474</v>
      </c>
      <c r="R861" s="1">
        <f t="shared" si="13"/>
        <v>4</v>
      </c>
      <c r="S861" s="4">
        <f>J861*K861*M861</f>
        <v>10400</v>
      </c>
    </row>
    <row r="862" spans="1:19" ht="43" hidden="1" customHeight="1">
      <c r="A862" s="1" t="s">
        <v>2072</v>
      </c>
      <c r="B862" s="1" t="s">
        <v>146</v>
      </c>
      <c r="C862" s="29">
        <v>46020.386763703696</v>
      </c>
      <c r="D862" s="1" t="s">
        <v>3052</v>
      </c>
      <c r="E862" s="1" t="s">
        <v>3053</v>
      </c>
      <c r="F862" s="1">
        <v>30</v>
      </c>
      <c r="G862" s="12" t="s">
        <v>1266</v>
      </c>
      <c r="H862" s="1" t="s">
        <v>1266</v>
      </c>
      <c r="I862" s="1" t="s">
        <v>130</v>
      </c>
      <c r="J862" s="30">
        <v>5</v>
      </c>
      <c r="K862" s="30">
        <v>130000</v>
      </c>
      <c r="L862" s="31">
        <v>650000</v>
      </c>
      <c r="M862" s="1" t="s">
        <v>16</v>
      </c>
      <c r="N862" s="1" t="s">
        <v>17</v>
      </c>
      <c r="O862" s="1" t="s">
        <v>2057</v>
      </c>
      <c r="P862" s="1" t="s">
        <v>2056</v>
      </c>
      <c r="Q862" s="1" t="s">
        <v>275</v>
      </c>
      <c r="R862" s="1">
        <f t="shared" si="13"/>
        <v>4</v>
      </c>
      <c r="S862" s="4">
        <f>J862*K862*M862</f>
        <v>52000</v>
      </c>
    </row>
    <row r="863" spans="1:19" ht="43" hidden="1" customHeight="1">
      <c r="A863" s="1" t="s">
        <v>2280</v>
      </c>
      <c r="B863" s="1" t="s">
        <v>1400</v>
      </c>
      <c r="C863" s="29">
        <v>45990.721094398097</v>
      </c>
      <c r="D863" s="1" t="s">
        <v>3052</v>
      </c>
      <c r="E863" s="1" t="s">
        <v>3053</v>
      </c>
      <c r="F863" s="1">
        <v>42</v>
      </c>
      <c r="G863" s="12" t="s">
        <v>1266</v>
      </c>
      <c r="H863" s="1" t="s">
        <v>1266</v>
      </c>
      <c r="I863" s="1" t="s">
        <v>130</v>
      </c>
      <c r="J863" s="30">
        <v>2</v>
      </c>
      <c r="K863" s="30">
        <v>130000</v>
      </c>
      <c r="L863" s="31">
        <v>260000</v>
      </c>
      <c r="M863" s="1" t="s">
        <v>16</v>
      </c>
      <c r="N863" s="1" t="s">
        <v>17</v>
      </c>
      <c r="O863" s="1" t="s">
        <v>2057</v>
      </c>
      <c r="P863" s="1" t="s">
        <v>2056</v>
      </c>
      <c r="Q863" s="1" t="s">
        <v>1531</v>
      </c>
      <c r="R863" s="1">
        <f t="shared" si="13"/>
        <v>4</v>
      </c>
      <c r="S863" s="4">
        <f>J863*K863*M863</f>
        <v>20800</v>
      </c>
    </row>
    <row r="864" spans="1:19" ht="43" hidden="1" customHeight="1">
      <c r="A864" s="1" t="s">
        <v>2280</v>
      </c>
      <c r="B864" s="1" t="s">
        <v>1467</v>
      </c>
      <c r="C864" s="29">
        <v>45928.732318564798</v>
      </c>
      <c r="D864" s="1" t="s">
        <v>3052</v>
      </c>
      <c r="E864" s="1" t="s">
        <v>3053</v>
      </c>
      <c r="F864" s="1">
        <v>84</v>
      </c>
      <c r="G864" s="12" t="s">
        <v>1266</v>
      </c>
      <c r="H864" s="1" t="s">
        <v>1266</v>
      </c>
      <c r="I864" s="1" t="s">
        <v>130</v>
      </c>
      <c r="J864" s="30">
        <v>1</v>
      </c>
      <c r="K864" s="30">
        <v>200000</v>
      </c>
      <c r="L864" s="31">
        <v>200000</v>
      </c>
      <c r="M864" s="1" t="s">
        <v>16</v>
      </c>
      <c r="N864" s="1" t="s">
        <v>17</v>
      </c>
      <c r="O864" s="1" t="s">
        <v>2057</v>
      </c>
      <c r="P864" s="1" t="s">
        <v>2056</v>
      </c>
      <c r="Q864" s="1" t="s">
        <v>546</v>
      </c>
      <c r="R864" s="1">
        <f t="shared" si="13"/>
        <v>3</v>
      </c>
      <c r="S864" s="4">
        <f>J864*K864*M864</f>
        <v>16000</v>
      </c>
    </row>
    <row r="865" spans="1:19" ht="43" customHeight="1">
      <c r="A865" s="1" t="s">
        <v>2280</v>
      </c>
      <c r="B865" s="1" t="s">
        <v>1417</v>
      </c>
      <c r="C865" s="29">
        <v>45868.607072511601</v>
      </c>
      <c r="D865" s="1" t="s">
        <v>3052</v>
      </c>
      <c r="E865" s="1" t="s">
        <v>3053</v>
      </c>
      <c r="F865" s="1">
        <v>18</v>
      </c>
      <c r="H865" s="1" t="s">
        <v>1748</v>
      </c>
      <c r="I865" s="1" t="s">
        <v>130</v>
      </c>
      <c r="J865" s="30">
        <v>4</v>
      </c>
      <c r="K865" s="30">
        <v>30000</v>
      </c>
      <c r="L865" s="31">
        <v>120000</v>
      </c>
      <c r="M865" s="1" t="s">
        <v>30</v>
      </c>
      <c r="N865" s="1" t="s">
        <v>17</v>
      </c>
      <c r="O865" s="1" t="s">
        <v>2057</v>
      </c>
      <c r="P865" s="1" t="s">
        <v>2056</v>
      </c>
      <c r="Q865" s="1" t="s">
        <v>800</v>
      </c>
      <c r="R865" s="1">
        <f t="shared" si="13"/>
        <v>3</v>
      </c>
      <c r="S865" s="4">
        <f>J865*K865*M865</f>
        <v>12000</v>
      </c>
    </row>
    <row r="866" spans="1:19" ht="43" customHeight="1">
      <c r="A866" s="1" t="s">
        <v>2280</v>
      </c>
      <c r="B866" s="1" t="s">
        <v>126</v>
      </c>
      <c r="C866" s="29">
        <v>45898.896719536999</v>
      </c>
      <c r="D866" s="1" t="s">
        <v>3052</v>
      </c>
      <c r="E866" s="1" t="s">
        <v>3053</v>
      </c>
      <c r="F866" s="1">
        <v>23</v>
      </c>
      <c r="H866" s="1" t="s">
        <v>1722</v>
      </c>
      <c r="I866" s="1" t="s">
        <v>130</v>
      </c>
      <c r="J866" s="30">
        <v>2</v>
      </c>
      <c r="K866" s="30">
        <v>140000</v>
      </c>
      <c r="L866" s="31">
        <v>280000</v>
      </c>
      <c r="M866" s="1" t="s">
        <v>30</v>
      </c>
      <c r="N866" s="1" t="s">
        <v>17</v>
      </c>
      <c r="O866" s="1" t="s">
        <v>2057</v>
      </c>
      <c r="P866" s="1" t="s">
        <v>2056</v>
      </c>
      <c r="Q866" s="1" t="s">
        <v>652</v>
      </c>
      <c r="R866" s="1">
        <f t="shared" si="13"/>
        <v>3</v>
      </c>
      <c r="S866" s="4">
        <f>J866*K866*M866</f>
        <v>28000</v>
      </c>
    </row>
    <row r="867" spans="1:19" ht="43" customHeight="1">
      <c r="A867" s="1" t="s">
        <v>2280</v>
      </c>
      <c r="B867" s="1" t="s">
        <v>1262</v>
      </c>
      <c r="C867" s="29">
        <v>45838.622051655097</v>
      </c>
      <c r="D867" s="1" t="s">
        <v>3052</v>
      </c>
      <c r="E867" s="1" t="s">
        <v>3053</v>
      </c>
      <c r="F867" s="1">
        <v>4</v>
      </c>
      <c r="H867" s="1" t="s">
        <v>1804</v>
      </c>
      <c r="I867" s="1" t="s">
        <v>130</v>
      </c>
      <c r="J867" s="30">
        <v>5</v>
      </c>
      <c r="K867" s="30">
        <v>65000</v>
      </c>
      <c r="L867" s="31">
        <v>325000</v>
      </c>
      <c r="M867" s="1" t="s">
        <v>30</v>
      </c>
      <c r="N867" s="1" t="s">
        <v>17</v>
      </c>
      <c r="O867" s="1" t="s">
        <v>2057</v>
      </c>
      <c r="P867" s="1" t="s">
        <v>2056</v>
      </c>
      <c r="Q867" s="1" t="s">
        <v>828</v>
      </c>
      <c r="R867" s="1">
        <f t="shared" si="13"/>
        <v>2</v>
      </c>
      <c r="S867" s="4">
        <f>J867*K867*M867</f>
        <v>32500</v>
      </c>
    </row>
    <row r="868" spans="1:19" ht="43" customHeight="1">
      <c r="A868" s="1" t="s">
        <v>2280</v>
      </c>
      <c r="B868" s="1" t="s">
        <v>1262</v>
      </c>
      <c r="C868" s="29">
        <v>45838.622051655097</v>
      </c>
      <c r="D868" s="1" t="s">
        <v>3052</v>
      </c>
      <c r="E868" s="1" t="s">
        <v>3053</v>
      </c>
      <c r="F868" s="1">
        <v>5</v>
      </c>
      <c r="H868" s="1" t="s">
        <v>1805</v>
      </c>
      <c r="I868" s="1" t="s">
        <v>130</v>
      </c>
      <c r="J868" s="30">
        <v>3</v>
      </c>
      <c r="K868" s="30">
        <v>250000</v>
      </c>
      <c r="L868" s="31">
        <v>750000</v>
      </c>
      <c r="M868" s="1" t="s">
        <v>30</v>
      </c>
      <c r="N868" s="1" t="s">
        <v>17</v>
      </c>
      <c r="O868" s="1" t="s">
        <v>2057</v>
      </c>
      <c r="P868" s="1" t="s">
        <v>2056</v>
      </c>
      <c r="Q868" s="1" t="s">
        <v>828</v>
      </c>
      <c r="R868" s="1">
        <f t="shared" si="13"/>
        <v>2</v>
      </c>
      <c r="S868" s="4">
        <f>J868*K868*M868</f>
        <v>75000</v>
      </c>
    </row>
    <row r="869" spans="1:19" ht="43" hidden="1" customHeight="1">
      <c r="A869" s="1" t="s">
        <v>2280</v>
      </c>
      <c r="B869" s="1" t="s">
        <v>1461</v>
      </c>
      <c r="C869" s="29">
        <v>45933.358910983799</v>
      </c>
      <c r="D869" s="1" t="s">
        <v>3048</v>
      </c>
      <c r="E869" s="1" t="s">
        <v>3049</v>
      </c>
      <c r="F869" s="1">
        <v>5</v>
      </c>
      <c r="G869" s="12" t="s">
        <v>1373</v>
      </c>
      <c r="H869" s="1" t="s">
        <v>1593</v>
      </c>
      <c r="I869" s="1" t="s">
        <v>130</v>
      </c>
      <c r="J869" s="30">
        <v>4</v>
      </c>
      <c r="K869" s="30">
        <v>10000</v>
      </c>
      <c r="L869" s="31">
        <v>40000</v>
      </c>
      <c r="M869" s="1" t="s">
        <v>30</v>
      </c>
      <c r="N869" s="1" t="s">
        <v>17</v>
      </c>
      <c r="O869" s="1" t="s">
        <v>2057</v>
      </c>
      <c r="P869" s="1" t="s">
        <v>2056</v>
      </c>
      <c r="Q869" s="1" t="s">
        <v>1591</v>
      </c>
      <c r="R869" s="1">
        <f t="shared" si="13"/>
        <v>4</v>
      </c>
      <c r="S869" s="4">
        <f>J869*K869*M869</f>
        <v>4000</v>
      </c>
    </row>
    <row r="870" spans="1:19" ht="43" hidden="1" customHeight="1">
      <c r="A870" s="1" t="s">
        <v>2072</v>
      </c>
      <c r="B870" s="1" t="s">
        <v>1295</v>
      </c>
      <c r="C870" s="29">
        <v>46019.8874690046</v>
      </c>
      <c r="F870" s="1">
        <v>4</v>
      </c>
      <c r="G870" s="12" t="s">
        <v>1373</v>
      </c>
      <c r="H870" s="1" t="s">
        <v>1373</v>
      </c>
      <c r="I870" s="1" t="s">
        <v>130</v>
      </c>
      <c r="J870" s="30">
        <v>12</v>
      </c>
      <c r="K870" s="30">
        <v>3300</v>
      </c>
      <c r="L870" s="31">
        <v>39600</v>
      </c>
      <c r="M870" s="1" t="s">
        <v>16</v>
      </c>
      <c r="N870" s="1" t="s">
        <v>17</v>
      </c>
      <c r="O870" s="1" t="s">
        <v>2057</v>
      </c>
      <c r="P870" s="1" t="s">
        <v>2056</v>
      </c>
      <c r="Q870" s="1" t="s">
        <v>260</v>
      </c>
      <c r="R870" s="1">
        <f t="shared" si="13"/>
        <v>4</v>
      </c>
      <c r="S870" s="4">
        <f>J870*K870*M870</f>
        <v>3168</v>
      </c>
    </row>
    <row r="871" spans="1:19" ht="43" hidden="1" customHeight="1">
      <c r="A871" s="1" t="s">
        <v>2280</v>
      </c>
      <c r="B871" s="1" t="s">
        <v>1400</v>
      </c>
      <c r="C871" s="29">
        <v>45990.721094398097</v>
      </c>
      <c r="D871" s="1" t="s">
        <v>3052</v>
      </c>
      <c r="E871" s="1" t="s">
        <v>3053</v>
      </c>
      <c r="F871" s="1">
        <v>69</v>
      </c>
      <c r="G871" s="12" t="s">
        <v>1373</v>
      </c>
      <c r="H871" s="1" t="s">
        <v>1373</v>
      </c>
      <c r="I871" s="1" t="s">
        <v>130</v>
      </c>
      <c r="J871" s="30">
        <v>5</v>
      </c>
      <c r="K871" s="30">
        <v>100000</v>
      </c>
      <c r="L871" s="31">
        <v>500000</v>
      </c>
      <c r="M871" s="1" t="s">
        <v>16</v>
      </c>
      <c r="N871" s="1" t="s">
        <v>17</v>
      </c>
      <c r="O871" s="1" t="s">
        <v>2057</v>
      </c>
      <c r="P871" s="1" t="s">
        <v>2056</v>
      </c>
      <c r="Q871" s="1" t="s">
        <v>1531</v>
      </c>
      <c r="R871" s="1">
        <f t="shared" si="13"/>
        <v>4</v>
      </c>
      <c r="S871" s="4">
        <f>J871*K871*M871</f>
        <v>40000</v>
      </c>
    </row>
    <row r="872" spans="1:19" ht="43" hidden="1" customHeight="1">
      <c r="A872" s="1" t="s">
        <v>2280</v>
      </c>
      <c r="B872" s="1" t="s">
        <v>1402</v>
      </c>
      <c r="C872" s="29">
        <v>45990.382403298601</v>
      </c>
      <c r="D872" s="1" t="s">
        <v>3052</v>
      </c>
      <c r="E872" s="1" t="s">
        <v>3053</v>
      </c>
      <c r="F872" s="1">
        <v>20</v>
      </c>
      <c r="G872" s="12" t="s">
        <v>1373</v>
      </c>
      <c r="H872" s="1" t="s">
        <v>1373</v>
      </c>
      <c r="I872" s="1" t="s">
        <v>130</v>
      </c>
      <c r="J872" s="30">
        <v>2</v>
      </c>
      <c r="K872" s="30">
        <v>30000</v>
      </c>
      <c r="L872" s="31">
        <v>60000</v>
      </c>
      <c r="M872" s="1" t="s">
        <v>16</v>
      </c>
      <c r="N872" s="1" t="s">
        <v>17</v>
      </c>
      <c r="O872" s="1" t="s">
        <v>2057</v>
      </c>
      <c r="P872" s="1" t="s">
        <v>2056</v>
      </c>
      <c r="Q872" s="1" t="s">
        <v>1531</v>
      </c>
      <c r="R872" s="1">
        <f t="shared" si="13"/>
        <v>4</v>
      </c>
      <c r="S872" s="4">
        <f>J872*K872*M872</f>
        <v>4800</v>
      </c>
    </row>
    <row r="873" spans="1:19" ht="43" hidden="1" customHeight="1">
      <c r="A873" s="1" t="s">
        <v>2280</v>
      </c>
      <c r="B873" s="1" t="s">
        <v>326</v>
      </c>
      <c r="C873" s="29">
        <v>45960.658345080999</v>
      </c>
      <c r="D873" s="1" t="s">
        <v>3052</v>
      </c>
      <c r="E873" s="1" t="s">
        <v>3053</v>
      </c>
      <c r="F873" s="1">
        <v>26</v>
      </c>
      <c r="G873" s="12" t="s">
        <v>1373</v>
      </c>
      <c r="H873" s="1" t="s">
        <v>1373</v>
      </c>
      <c r="I873" s="1" t="s">
        <v>130</v>
      </c>
      <c r="J873" s="30">
        <v>3</v>
      </c>
      <c r="K873" s="30">
        <v>55000</v>
      </c>
      <c r="L873" s="31">
        <v>165000</v>
      </c>
      <c r="M873" s="1" t="s">
        <v>16</v>
      </c>
      <c r="N873" s="1" t="s">
        <v>17</v>
      </c>
      <c r="O873" s="1" t="s">
        <v>2057</v>
      </c>
      <c r="P873" s="1" t="s">
        <v>2056</v>
      </c>
      <c r="Q873" s="1" t="s">
        <v>533</v>
      </c>
      <c r="R873" s="1">
        <f t="shared" si="13"/>
        <v>4</v>
      </c>
      <c r="S873" s="4">
        <f>J873*K873*M873</f>
        <v>13200</v>
      </c>
    </row>
    <row r="874" spans="1:19" ht="43" hidden="1" customHeight="1">
      <c r="A874" s="1" t="s">
        <v>2280</v>
      </c>
      <c r="B874" s="1" t="s">
        <v>1400</v>
      </c>
      <c r="C874" s="29">
        <v>45990.721094398097</v>
      </c>
      <c r="D874" s="1" t="s">
        <v>3052</v>
      </c>
      <c r="E874" s="1" t="s">
        <v>3053</v>
      </c>
      <c r="F874" s="1">
        <v>38</v>
      </c>
      <c r="G874" s="12" t="s">
        <v>1373</v>
      </c>
      <c r="H874" s="1" t="s">
        <v>1540</v>
      </c>
      <c r="I874" s="1" t="s">
        <v>130</v>
      </c>
      <c r="J874" s="30">
        <v>5</v>
      </c>
      <c r="K874" s="30">
        <v>130000</v>
      </c>
      <c r="L874" s="31">
        <v>650000</v>
      </c>
      <c r="M874" s="1" t="s">
        <v>16</v>
      </c>
      <c r="N874" s="1" t="s">
        <v>17</v>
      </c>
      <c r="O874" s="1" t="s">
        <v>2057</v>
      </c>
      <c r="P874" s="1" t="s">
        <v>2056</v>
      </c>
      <c r="Q874" s="1" t="s">
        <v>1531</v>
      </c>
      <c r="R874" s="1">
        <f t="shared" si="13"/>
        <v>4</v>
      </c>
      <c r="S874" s="4">
        <f>J874*K874*M874</f>
        <v>52000</v>
      </c>
    </row>
    <row r="875" spans="1:19" ht="43" customHeight="1">
      <c r="A875" s="1" t="s">
        <v>2280</v>
      </c>
      <c r="B875" s="1" t="s">
        <v>221</v>
      </c>
      <c r="C875" s="29">
        <v>45776.500553657403</v>
      </c>
      <c r="D875" s="1" t="s">
        <v>3052</v>
      </c>
      <c r="E875" s="1" t="s">
        <v>3053</v>
      </c>
      <c r="F875" s="1">
        <v>15</v>
      </c>
      <c r="H875" s="1" t="s">
        <v>1910</v>
      </c>
      <c r="I875" s="1" t="s">
        <v>130</v>
      </c>
      <c r="J875" s="30">
        <v>2</v>
      </c>
      <c r="K875" s="30">
        <v>50000</v>
      </c>
      <c r="L875" s="31">
        <v>100000</v>
      </c>
      <c r="M875" s="1" t="s">
        <v>30</v>
      </c>
      <c r="N875" s="1" t="s">
        <v>17</v>
      </c>
      <c r="O875" s="1" t="s">
        <v>2057</v>
      </c>
      <c r="P875" s="1" t="s">
        <v>2056</v>
      </c>
      <c r="Q875" s="1" t="s">
        <v>937</v>
      </c>
      <c r="R875" s="1">
        <f t="shared" si="13"/>
        <v>2</v>
      </c>
      <c r="S875" s="4">
        <f>J875*K875*M875</f>
        <v>10000</v>
      </c>
    </row>
    <row r="876" spans="1:19" ht="43" hidden="1" customHeight="1">
      <c r="A876" s="1" t="s">
        <v>2280</v>
      </c>
      <c r="B876" s="1" t="s">
        <v>326</v>
      </c>
      <c r="C876" s="29">
        <v>45960.658345080999</v>
      </c>
      <c r="D876" s="1" t="s">
        <v>3052</v>
      </c>
      <c r="E876" s="1" t="s">
        <v>3053</v>
      </c>
      <c r="F876" s="1">
        <v>11</v>
      </c>
      <c r="G876" s="12" t="s">
        <v>1358</v>
      </c>
      <c r="H876" s="1" t="s">
        <v>1569</v>
      </c>
      <c r="I876" s="1" t="s">
        <v>130</v>
      </c>
      <c r="J876" s="30">
        <v>10</v>
      </c>
      <c r="K876" s="30">
        <v>60000</v>
      </c>
      <c r="L876" s="31">
        <v>600000</v>
      </c>
      <c r="M876" s="1" t="s">
        <v>16</v>
      </c>
      <c r="N876" s="1" t="s">
        <v>17</v>
      </c>
      <c r="O876" s="1" t="s">
        <v>2057</v>
      </c>
      <c r="P876" s="1" t="s">
        <v>2056</v>
      </c>
      <c r="Q876" s="1" t="s">
        <v>533</v>
      </c>
      <c r="R876" s="1">
        <f t="shared" si="13"/>
        <v>4</v>
      </c>
      <c r="S876" s="4">
        <f>J876*K876*M876</f>
        <v>48000</v>
      </c>
    </row>
    <row r="877" spans="1:19" ht="43" hidden="1" customHeight="1">
      <c r="A877" s="1" t="s">
        <v>2072</v>
      </c>
      <c r="B877" s="1" t="s">
        <v>1294</v>
      </c>
      <c r="C877" s="29">
        <v>46021.613942164397</v>
      </c>
      <c r="D877" s="1" t="s">
        <v>3052</v>
      </c>
      <c r="E877" s="1" t="s">
        <v>3053</v>
      </c>
      <c r="F877" s="1">
        <v>17</v>
      </c>
      <c r="G877" s="12" t="s">
        <v>1358</v>
      </c>
      <c r="H877" s="1" t="s">
        <v>1358</v>
      </c>
      <c r="I877" s="1" t="s">
        <v>130</v>
      </c>
      <c r="J877" s="30">
        <v>10</v>
      </c>
      <c r="K877" s="30">
        <v>60000</v>
      </c>
      <c r="L877" s="31">
        <v>600000</v>
      </c>
      <c r="M877" s="1" t="s">
        <v>16</v>
      </c>
      <c r="N877" s="1" t="s">
        <v>17</v>
      </c>
      <c r="O877" s="1" t="s">
        <v>2057</v>
      </c>
      <c r="P877" s="1" t="s">
        <v>2056</v>
      </c>
      <c r="Q877" s="1" t="s">
        <v>1474</v>
      </c>
      <c r="R877" s="1">
        <f t="shared" si="13"/>
        <v>4</v>
      </c>
      <c r="S877" s="4">
        <f>J877*K877*M877</f>
        <v>48000</v>
      </c>
    </row>
    <row r="878" spans="1:19" ht="43" hidden="1" customHeight="1">
      <c r="A878" s="1" t="s">
        <v>2280</v>
      </c>
      <c r="B878" s="1" t="s">
        <v>1400</v>
      </c>
      <c r="C878" s="29">
        <v>45990.721094398097</v>
      </c>
      <c r="D878" s="1" t="s">
        <v>3052</v>
      </c>
      <c r="E878" s="1" t="s">
        <v>3053</v>
      </c>
      <c r="F878" s="1">
        <v>46</v>
      </c>
      <c r="G878" s="12" t="s">
        <v>1358</v>
      </c>
      <c r="H878" s="1" t="s">
        <v>1358</v>
      </c>
      <c r="I878" s="1" t="s">
        <v>130</v>
      </c>
      <c r="J878" s="30">
        <v>5</v>
      </c>
      <c r="K878" s="30">
        <v>125000</v>
      </c>
      <c r="L878" s="31">
        <v>625000</v>
      </c>
      <c r="M878" s="1" t="s">
        <v>16</v>
      </c>
      <c r="N878" s="1" t="s">
        <v>17</v>
      </c>
      <c r="O878" s="1" t="s">
        <v>2057</v>
      </c>
      <c r="P878" s="1" t="s">
        <v>2056</v>
      </c>
      <c r="Q878" s="1" t="s">
        <v>1531</v>
      </c>
      <c r="R878" s="1">
        <f t="shared" si="13"/>
        <v>4</v>
      </c>
      <c r="S878" s="4">
        <f>J878*K878*M878</f>
        <v>50000</v>
      </c>
    </row>
    <row r="879" spans="1:19" ht="43" hidden="1" customHeight="1">
      <c r="A879" s="1" t="s">
        <v>2280</v>
      </c>
      <c r="B879" s="1" t="s">
        <v>1400</v>
      </c>
      <c r="C879" s="29">
        <v>45990.721094398097</v>
      </c>
      <c r="D879" s="1" t="s">
        <v>3052</v>
      </c>
      <c r="E879" s="1" t="s">
        <v>3053</v>
      </c>
      <c r="F879" s="1">
        <v>62</v>
      </c>
      <c r="G879" s="12" t="s">
        <v>1358</v>
      </c>
      <c r="H879" s="1" t="s">
        <v>1358</v>
      </c>
      <c r="I879" s="1" t="s">
        <v>130</v>
      </c>
      <c r="J879" s="30">
        <v>2</v>
      </c>
      <c r="K879" s="30">
        <v>50000</v>
      </c>
      <c r="L879" s="31">
        <v>100000</v>
      </c>
      <c r="M879" s="1" t="s">
        <v>16</v>
      </c>
      <c r="N879" s="1" t="s">
        <v>17</v>
      </c>
      <c r="O879" s="1" t="s">
        <v>2057</v>
      </c>
      <c r="P879" s="1" t="s">
        <v>2056</v>
      </c>
      <c r="Q879" s="1" t="s">
        <v>1531</v>
      </c>
      <c r="R879" s="1">
        <f t="shared" si="13"/>
        <v>4</v>
      </c>
      <c r="S879" s="4">
        <f>J879*K879*M879</f>
        <v>8000</v>
      </c>
    </row>
    <row r="880" spans="1:19" ht="43" hidden="1" customHeight="1">
      <c r="A880" s="1" t="s">
        <v>2280</v>
      </c>
      <c r="B880" s="1" t="s">
        <v>1402</v>
      </c>
      <c r="C880" s="29">
        <v>45990.382403298601</v>
      </c>
      <c r="D880" s="1" t="s">
        <v>3052</v>
      </c>
      <c r="E880" s="1" t="s">
        <v>3053</v>
      </c>
      <c r="F880" s="1">
        <v>21</v>
      </c>
      <c r="G880" s="12" t="s">
        <v>1358</v>
      </c>
      <c r="H880" s="1" t="s">
        <v>1358</v>
      </c>
      <c r="I880" s="1" t="s">
        <v>130</v>
      </c>
      <c r="J880" s="30">
        <v>3</v>
      </c>
      <c r="K880" s="30">
        <v>35000</v>
      </c>
      <c r="L880" s="31">
        <v>105000</v>
      </c>
      <c r="M880" s="1" t="s">
        <v>16</v>
      </c>
      <c r="N880" s="1" t="s">
        <v>17</v>
      </c>
      <c r="O880" s="1" t="s">
        <v>2057</v>
      </c>
      <c r="P880" s="1" t="s">
        <v>2056</v>
      </c>
      <c r="Q880" s="1" t="s">
        <v>1531</v>
      </c>
      <c r="R880" s="1">
        <f t="shared" si="13"/>
        <v>4</v>
      </c>
      <c r="S880" s="4">
        <f>J880*K880*M880</f>
        <v>8400</v>
      </c>
    </row>
    <row r="881" spans="1:19" ht="43" customHeight="1">
      <c r="A881" s="1" t="s">
        <v>2280</v>
      </c>
      <c r="B881" s="1" t="s">
        <v>221</v>
      </c>
      <c r="C881" s="29">
        <v>45776.500553657403</v>
      </c>
      <c r="D881" s="1" t="s">
        <v>3052</v>
      </c>
      <c r="E881" s="1" t="s">
        <v>3053</v>
      </c>
      <c r="F881" s="1">
        <v>16</v>
      </c>
      <c r="H881" s="1" t="s">
        <v>1911</v>
      </c>
      <c r="I881" s="1" t="s">
        <v>130</v>
      </c>
      <c r="J881" s="30">
        <v>1</v>
      </c>
      <c r="K881" s="30">
        <v>200000</v>
      </c>
      <c r="L881" s="31">
        <v>200000</v>
      </c>
      <c r="M881" s="1" t="s">
        <v>30</v>
      </c>
      <c r="N881" s="1" t="s">
        <v>17</v>
      </c>
      <c r="O881" s="1" t="s">
        <v>2057</v>
      </c>
      <c r="P881" s="1" t="s">
        <v>2056</v>
      </c>
      <c r="Q881" s="1" t="s">
        <v>937</v>
      </c>
      <c r="R881" s="1">
        <f t="shared" si="13"/>
        <v>2</v>
      </c>
      <c r="S881" s="4">
        <f>J881*K881*M881</f>
        <v>20000</v>
      </c>
    </row>
    <row r="882" spans="1:19" ht="43" hidden="1" customHeight="1">
      <c r="A882" s="1" t="s">
        <v>2280</v>
      </c>
      <c r="B882" s="1" t="s">
        <v>1400</v>
      </c>
      <c r="C882" s="29">
        <v>45990.721094398097</v>
      </c>
      <c r="D882" s="1" t="s">
        <v>3052</v>
      </c>
      <c r="E882" s="1" t="s">
        <v>3053</v>
      </c>
      <c r="F882" s="1">
        <v>20</v>
      </c>
      <c r="G882" s="12" t="s">
        <v>456</v>
      </c>
      <c r="H882" s="1" t="s">
        <v>456</v>
      </c>
      <c r="I882" s="1" t="s">
        <v>130</v>
      </c>
      <c r="J882" s="30">
        <v>4</v>
      </c>
      <c r="K882" s="30">
        <v>35000</v>
      </c>
      <c r="L882" s="31">
        <v>140000</v>
      </c>
      <c r="M882" s="1" t="s">
        <v>16</v>
      </c>
      <c r="N882" s="1" t="s">
        <v>17</v>
      </c>
      <c r="O882" s="1" t="s">
        <v>2057</v>
      </c>
      <c r="P882" s="1" t="s">
        <v>2056</v>
      </c>
      <c r="Q882" s="1" t="s">
        <v>1531</v>
      </c>
      <c r="R882" s="1">
        <f t="shared" si="13"/>
        <v>4</v>
      </c>
      <c r="S882" s="4">
        <f>J882*K882*M882</f>
        <v>11200</v>
      </c>
    </row>
    <row r="883" spans="1:19" ht="43" hidden="1" customHeight="1">
      <c r="A883" s="1" t="s">
        <v>2072</v>
      </c>
      <c r="B883" s="1" t="s">
        <v>1294</v>
      </c>
      <c r="C883" s="29">
        <v>46021.613942164397</v>
      </c>
      <c r="D883" s="1" t="s">
        <v>3052</v>
      </c>
      <c r="E883" s="1" t="s">
        <v>3053</v>
      </c>
      <c r="F883" s="1">
        <v>63</v>
      </c>
      <c r="G883" s="12" t="s">
        <v>1372</v>
      </c>
      <c r="H883" s="1" t="s">
        <v>1372</v>
      </c>
      <c r="I883" s="1" t="s">
        <v>130</v>
      </c>
      <c r="J883" s="30">
        <v>50</v>
      </c>
      <c r="K883" s="30">
        <v>50000</v>
      </c>
      <c r="L883" s="31">
        <v>2500000</v>
      </c>
      <c r="M883" s="1" t="s">
        <v>16</v>
      </c>
      <c r="N883" s="1" t="s">
        <v>17</v>
      </c>
      <c r="O883" s="1" t="s">
        <v>2057</v>
      </c>
      <c r="P883" s="1" t="s">
        <v>2056</v>
      </c>
      <c r="Q883" s="1" t="s">
        <v>1474</v>
      </c>
      <c r="R883" s="1">
        <f t="shared" si="13"/>
        <v>4</v>
      </c>
      <c r="S883" s="4">
        <f>J883*K883*M883</f>
        <v>200000</v>
      </c>
    </row>
    <row r="884" spans="1:19" ht="43" hidden="1" customHeight="1">
      <c r="A884" s="1" t="s">
        <v>2280</v>
      </c>
      <c r="B884" s="1" t="s">
        <v>1400</v>
      </c>
      <c r="C884" s="29">
        <v>45990.721094398097</v>
      </c>
      <c r="D884" s="1" t="s">
        <v>3052</v>
      </c>
      <c r="E884" s="1" t="s">
        <v>3053</v>
      </c>
      <c r="F884" s="1">
        <v>68</v>
      </c>
      <c r="G884" s="12" t="s">
        <v>1372</v>
      </c>
      <c r="H884" s="1" t="s">
        <v>1372</v>
      </c>
      <c r="I884" s="1" t="s">
        <v>130</v>
      </c>
      <c r="J884" s="30">
        <v>5</v>
      </c>
      <c r="K884" s="30">
        <v>100000</v>
      </c>
      <c r="L884" s="31">
        <v>500000</v>
      </c>
      <c r="M884" s="1" t="s">
        <v>16</v>
      </c>
      <c r="N884" s="1" t="s">
        <v>17</v>
      </c>
      <c r="O884" s="1" t="s">
        <v>2057</v>
      </c>
      <c r="P884" s="1" t="s">
        <v>2056</v>
      </c>
      <c r="Q884" s="1" t="s">
        <v>1531</v>
      </c>
      <c r="R884" s="1">
        <f t="shared" si="13"/>
        <v>4</v>
      </c>
      <c r="S884" s="4">
        <f>J884*K884*M884</f>
        <v>40000</v>
      </c>
    </row>
    <row r="885" spans="1:19" ht="43" hidden="1" customHeight="1">
      <c r="A885" s="1" t="s">
        <v>2280</v>
      </c>
      <c r="B885" s="1" t="s">
        <v>188</v>
      </c>
      <c r="C885" s="29">
        <v>45928.944600393501</v>
      </c>
      <c r="D885" s="1" t="s">
        <v>3052</v>
      </c>
      <c r="E885" s="1" t="s">
        <v>3053</v>
      </c>
      <c r="F885" s="1">
        <v>11</v>
      </c>
      <c r="G885" s="12" t="s">
        <v>1372</v>
      </c>
      <c r="H885" s="1" t="s">
        <v>1372</v>
      </c>
      <c r="I885" s="1" t="s">
        <v>130</v>
      </c>
      <c r="J885" s="30">
        <v>150</v>
      </c>
      <c r="K885" s="30">
        <v>50000</v>
      </c>
      <c r="L885" s="31">
        <v>7500000</v>
      </c>
      <c r="M885" s="1" t="s">
        <v>30</v>
      </c>
      <c r="N885" s="1" t="s">
        <v>17</v>
      </c>
      <c r="O885" s="1" t="s">
        <v>2057</v>
      </c>
      <c r="P885" s="1" t="s">
        <v>2056</v>
      </c>
      <c r="Q885" s="1" t="s">
        <v>546</v>
      </c>
      <c r="R885" s="1">
        <f t="shared" si="13"/>
        <v>3</v>
      </c>
      <c r="S885" s="4">
        <f>J885*K885*M885</f>
        <v>750000</v>
      </c>
    </row>
    <row r="886" spans="1:19" ht="43" hidden="1" customHeight="1">
      <c r="A886" s="1" t="s">
        <v>2280</v>
      </c>
      <c r="B886" s="1" t="s">
        <v>1034</v>
      </c>
      <c r="C886" s="29">
        <v>45928.7317327778</v>
      </c>
      <c r="D886" s="1" t="s">
        <v>3052</v>
      </c>
      <c r="E886" s="1" t="s">
        <v>3053</v>
      </c>
      <c r="F886" s="1">
        <v>15</v>
      </c>
      <c r="G886" s="12" t="s">
        <v>1372</v>
      </c>
      <c r="H886" s="1" t="s">
        <v>1372</v>
      </c>
      <c r="I886" s="1" t="s">
        <v>130</v>
      </c>
      <c r="J886" s="30">
        <v>1</v>
      </c>
      <c r="K886" s="30">
        <v>160000</v>
      </c>
      <c r="L886" s="31">
        <v>160000</v>
      </c>
      <c r="M886" s="1" t="s">
        <v>30</v>
      </c>
      <c r="N886" s="1" t="s">
        <v>17</v>
      </c>
      <c r="O886" s="1" t="s">
        <v>2057</v>
      </c>
      <c r="P886" s="1" t="s">
        <v>2056</v>
      </c>
      <c r="Q886" s="1" t="s">
        <v>546</v>
      </c>
      <c r="R886" s="1">
        <f t="shared" si="13"/>
        <v>3</v>
      </c>
      <c r="S886" s="4">
        <f>J886*K886*M886</f>
        <v>16000</v>
      </c>
    </row>
    <row r="887" spans="1:19" ht="43" hidden="1" customHeight="1">
      <c r="A887" s="1" t="s">
        <v>2280</v>
      </c>
      <c r="B887" s="1" t="s">
        <v>1143</v>
      </c>
      <c r="C887" s="29">
        <v>45926.638938830998</v>
      </c>
      <c r="D887" s="1" t="s">
        <v>3056</v>
      </c>
      <c r="E887" s="1" t="s">
        <v>3057</v>
      </c>
      <c r="F887" s="1">
        <v>5</v>
      </c>
      <c r="G887" s="12" t="s">
        <v>1372</v>
      </c>
      <c r="H887" s="1" t="s">
        <v>1372</v>
      </c>
      <c r="I887" s="1" t="s">
        <v>130</v>
      </c>
      <c r="J887" s="30">
        <v>1</v>
      </c>
      <c r="K887" s="30">
        <v>25000</v>
      </c>
      <c r="L887" s="31">
        <v>25000</v>
      </c>
      <c r="M887" s="1" t="s">
        <v>30</v>
      </c>
      <c r="N887" s="1" t="s">
        <v>17</v>
      </c>
      <c r="O887" s="1" t="s">
        <v>2057</v>
      </c>
      <c r="P887" s="1" t="s">
        <v>2056</v>
      </c>
      <c r="Q887" s="1" t="s">
        <v>558</v>
      </c>
      <c r="R887" s="1">
        <f t="shared" si="13"/>
        <v>3</v>
      </c>
      <c r="S887" s="4">
        <f>J887*K887*M887</f>
        <v>2500</v>
      </c>
    </row>
    <row r="888" spans="1:19" ht="43" hidden="1" customHeight="1">
      <c r="A888" s="1" t="s">
        <v>2280</v>
      </c>
      <c r="B888" s="1" t="s">
        <v>1472</v>
      </c>
      <c r="C888" s="29">
        <v>45899.6448496991</v>
      </c>
      <c r="D888" s="1" t="s">
        <v>3052</v>
      </c>
      <c r="E888" s="1" t="s">
        <v>3053</v>
      </c>
      <c r="F888" s="1">
        <v>5</v>
      </c>
      <c r="G888" s="12" t="s">
        <v>1372</v>
      </c>
      <c r="H888" s="1" t="s">
        <v>1372</v>
      </c>
      <c r="I888" s="1" t="s">
        <v>130</v>
      </c>
      <c r="J888" s="30">
        <v>1</v>
      </c>
      <c r="K888" s="30">
        <v>35000</v>
      </c>
      <c r="L888" s="31">
        <v>35000</v>
      </c>
      <c r="M888" s="1" t="s">
        <v>30</v>
      </c>
      <c r="N888" s="1" t="s">
        <v>17</v>
      </c>
      <c r="O888" s="1" t="s">
        <v>2057</v>
      </c>
      <c r="P888" s="1" t="s">
        <v>2056</v>
      </c>
      <c r="Q888" s="1" t="s">
        <v>636</v>
      </c>
      <c r="R888" s="1">
        <f t="shared" si="13"/>
        <v>3</v>
      </c>
      <c r="S888" s="4">
        <f>J888*K888*M888</f>
        <v>3500</v>
      </c>
    </row>
    <row r="889" spans="1:19" ht="43" hidden="1" customHeight="1">
      <c r="A889" s="1" t="s">
        <v>2280</v>
      </c>
      <c r="B889" s="1" t="s">
        <v>1267</v>
      </c>
      <c r="C889" s="29">
        <v>45836.662306689803</v>
      </c>
      <c r="D889" s="1" t="s">
        <v>3072</v>
      </c>
      <c r="E889" s="1" t="s">
        <v>3073</v>
      </c>
      <c r="F889" s="1">
        <v>4</v>
      </c>
      <c r="G889" s="12" t="s">
        <v>1372</v>
      </c>
      <c r="H889" s="1" t="s">
        <v>1372</v>
      </c>
      <c r="I889" s="1" t="s">
        <v>130</v>
      </c>
      <c r="J889" s="30">
        <v>1</v>
      </c>
      <c r="K889" s="30">
        <v>50000</v>
      </c>
      <c r="L889" s="31">
        <v>50000</v>
      </c>
      <c r="M889" s="1" t="s">
        <v>30</v>
      </c>
      <c r="N889" s="1" t="s">
        <v>17</v>
      </c>
      <c r="O889" s="1" t="s">
        <v>2057</v>
      </c>
      <c r="P889" s="1" t="s">
        <v>2056</v>
      </c>
      <c r="Q889" s="1" t="s">
        <v>845</v>
      </c>
      <c r="R889" s="1">
        <f t="shared" si="13"/>
        <v>2</v>
      </c>
      <c r="S889" s="4">
        <f>J889*K889*M889</f>
        <v>5000</v>
      </c>
    </row>
    <row r="890" spans="1:19" ht="43" hidden="1" customHeight="1">
      <c r="A890" s="1" t="s">
        <v>2280</v>
      </c>
      <c r="B890" s="1" t="s">
        <v>717</v>
      </c>
      <c r="C890" s="29">
        <v>45807.729117129602</v>
      </c>
      <c r="D890" s="1" t="s">
        <v>3052</v>
      </c>
      <c r="E890" s="1" t="s">
        <v>3053</v>
      </c>
      <c r="F890" s="1">
        <v>21</v>
      </c>
      <c r="G890" s="12" t="s">
        <v>1372</v>
      </c>
      <c r="H890" s="1" t="s">
        <v>1372</v>
      </c>
      <c r="I890" s="1" t="s">
        <v>15</v>
      </c>
      <c r="J890" s="30">
        <v>3</v>
      </c>
      <c r="K890" s="30">
        <v>650000</v>
      </c>
      <c r="L890" s="31">
        <v>1950000</v>
      </c>
      <c r="M890" s="1" t="s">
        <v>30</v>
      </c>
      <c r="N890" s="1" t="s">
        <v>17</v>
      </c>
      <c r="O890" s="1" t="s">
        <v>2057</v>
      </c>
      <c r="P890" s="1" t="s">
        <v>2056</v>
      </c>
      <c r="Q890" s="1" t="s">
        <v>925</v>
      </c>
      <c r="R890" s="1">
        <f t="shared" si="13"/>
        <v>2</v>
      </c>
      <c r="S890" s="4">
        <f>J890*K890*M890</f>
        <v>195000</v>
      </c>
    </row>
    <row r="891" spans="1:19" ht="43" hidden="1" customHeight="1">
      <c r="A891" s="1" t="s">
        <v>2280</v>
      </c>
      <c r="B891" s="1" t="s">
        <v>136</v>
      </c>
      <c r="C891" s="29">
        <v>45709.704236689802</v>
      </c>
      <c r="D891" s="1" t="s">
        <v>3052</v>
      </c>
      <c r="E891" s="1" t="s">
        <v>3053</v>
      </c>
      <c r="F891" s="1">
        <v>5</v>
      </c>
      <c r="G891" s="12" t="s">
        <v>1372</v>
      </c>
      <c r="H891" s="1" t="s">
        <v>1372</v>
      </c>
      <c r="I891" s="1" t="s">
        <v>130</v>
      </c>
      <c r="J891" s="30">
        <v>20</v>
      </c>
      <c r="K891" s="30">
        <v>10100</v>
      </c>
      <c r="L891" s="31">
        <v>202000</v>
      </c>
      <c r="M891" s="1" t="s">
        <v>30</v>
      </c>
      <c r="N891" s="1" t="s">
        <v>17</v>
      </c>
      <c r="O891" s="1" t="s">
        <v>2057</v>
      </c>
      <c r="P891" s="1" t="s">
        <v>2056</v>
      </c>
      <c r="Q891" s="1" t="s">
        <v>2040</v>
      </c>
      <c r="R891" s="1">
        <f t="shared" si="13"/>
        <v>1</v>
      </c>
      <c r="S891" s="4">
        <f>J891*K891*M891</f>
        <v>20200</v>
      </c>
    </row>
    <row r="892" spans="1:19" ht="43" customHeight="1">
      <c r="A892" s="1" t="s">
        <v>2280</v>
      </c>
      <c r="B892" s="1" t="s">
        <v>221</v>
      </c>
      <c r="C892" s="29">
        <v>45776.500553657403</v>
      </c>
      <c r="D892" s="1" t="s">
        <v>3052</v>
      </c>
      <c r="E892" s="1" t="s">
        <v>3053</v>
      </c>
      <c r="F892" s="1">
        <v>23</v>
      </c>
      <c r="H892" s="1" t="s">
        <v>1915</v>
      </c>
      <c r="I892" s="1" t="s">
        <v>130</v>
      </c>
      <c r="J892" s="30">
        <v>5</v>
      </c>
      <c r="K892" s="30">
        <v>150000</v>
      </c>
      <c r="L892" s="31">
        <v>750000</v>
      </c>
      <c r="M892" s="1" t="s">
        <v>30</v>
      </c>
      <c r="N892" s="1" t="s">
        <v>17</v>
      </c>
      <c r="O892" s="1" t="s">
        <v>2057</v>
      </c>
      <c r="P892" s="1" t="s">
        <v>2056</v>
      </c>
      <c r="Q892" s="1" t="s">
        <v>937</v>
      </c>
      <c r="R892" s="1">
        <f t="shared" si="13"/>
        <v>2</v>
      </c>
      <c r="S892" s="4">
        <f>J892*K892*M892</f>
        <v>75000</v>
      </c>
    </row>
    <row r="893" spans="1:19" ht="43" customHeight="1">
      <c r="A893" s="1" t="s">
        <v>2280</v>
      </c>
      <c r="B893" s="1" t="s">
        <v>1272</v>
      </c>
      <c r="C893" s="29">
        <v>45836.414122164402</v>
      </c>
      <c r="D893" s="1" t="s">
        <v>3052</v>
      </c>
      <c r="E893" s="1" t="s">
        <v>3053</v>
      </c>
      <c r="F893" s="1">
        <v>17</v>
      </c>
      <c r="H893" s="1" t="s">
        <v>1846</v>
      </c>
      <c r="I893" s="1" t="s">
        <v>130</v>
      </c>
      <c r="J893" s="30">
        <v>2</v>
      </c>
      <c r="K893" s="30">
        <v>50000</v>
      </c>
      <c r="L893" s="31">
        <v>100000</v>
      </c>
      <c r="M893" s="1" t="s">
        <v>30</v>
      </c>
      <c r="N893" s="1" t="s">
        <v>17</v>
      </c>
      <c r="O893" s="1" t="s">
        <v>2057</v>
      </c>
      <c r="P893" s="1" t="s">
        <v>2056</v>
      </c>
      <c r="Q893" s="1" t="s">
        <v>845</v>
      </c>
      <c r="R893" s="1">
        <f t="shared" si="13"/>
        <v>2</v>
      </c>
      <c r="S893" s="4">
        <f>J893*K893*M893</f>
        <v>10000</v>
      </c>
    </row>
    <row r="894" spans="1:19" ht="43" customHeight="1">
      <c r="A894" s="1" t="s">
        <v>2280</v>
      </c>
      <c r="B894" s="1" t="s">
        <v>190</v>
      </c>
      <c r="C894" s="29">
        <v>45898.578290150501</v>
      </c>
      <c r="D894" s="1" t="s">
        <v>3058</v>
      </c>
      <c r="E894" s="1" t="s">
        <v>3059</v>
      </c>
      <c r="F894" s="1">
        <v>3</v>
      </c>
      <c r="H894" s="1" t="s">
        <v>1726</v>
      </c>
      <c r="I894" s="1" t="s">
        <v>130</v>
      </c>
      <c r="J894" s="30">
        <v>1</v>
      </c>
      <c r="K894" s="30">
        <v>50000</v>
      </c>
      <c r="L894" s="31">
        <v>50000</v>
      </c>
      <c r="M894" s="1" t="s">
        <v>30</v>
      </c>
      <c r="N894" s="1" t="s">
        <v>17</v>
      </c>
      <c r="O894" s="1" t="s">
        <v>2057</v>
      </c>
      <c r="P894" s="1" t="s">
        <v>2056</v>
      </c>
      <c r="Q894" s="1" t="s">
        <v>652</v>
      </c>
      <c r="R894" s="1">
        <f t="shared" si="13"/>
        <v>3</v>
      </c>
      <c r="S894" s="4">
        <f>J894*K894*M894</f>
        <v>5000</v>
      </c>
    </row>
    <row r="895" spans="1:19" ht="43" customHeight="1">
      <c r="A895" s="1" t="s">
        <v>2280</v>
      </c>
      <c r="B895" s="1" t="s">
        <v>1272</v>
      </c>
      <c r="C895" s="29">
        <v>45836.414122164402</v>
      </c>
      <c r="D895" s="1" t="s">
        <v>3052</v>
      </c>
      <c r="E895" s="1" t="s">
        <v>3053</v>
      </c>
      <c r="F895" s="1">
        <v>4</v>
      </c>
      <c r="H895" s="1" t="s">
        <v>1841</v>
      </c>
      <c r="I895" s="1" t="s">
        <v>130</v>
      </c>
      <c r="J895" s="30">
        <v>2</v>
      </c>
      <c r="K895" s="30">
        <v>45000</v>
      </c>
      <c r="L895" s="31">
        <v>90000</v>
      </c>
      <c r="M895" s="1" t="s">
        <v>30</v>
      </c>
      <c r="N895" s="1" t="s">
        <v>17</v>
      </c>
      <c r="O895" s="1" t="s">
        <v>2057</v>
      </c>
      <c r="P895" s="1" t="s">
        <v>2056</v>
      </c>
      <c r="Q895" s="1" t="s">
        <v>845</v>
      </c>
      <c r="R895" s="1">
        <f t="shared" si="13"/>
        <v>2</v>
      </c>
      <c r="S895" s="4">
        <f>J895*K895*M895</f>
        <v>9000</v>
      </c>
    </row>
    <row r="896" spans="1:19" ht="43" customHeight="1">
      <c r="A896" s="1" t="s">
        <v>2280</v>
      </c>
      <c r="B896" s="1" t="s">
        <v>126</v>
      </c>
      <c r="C896" s="29">
        <v>45898.896719536999</v>
      </c>
      <c r="D896" s="1" t="s">
        <v>3052</v>
      </c>
      <c r="E896" s="1" t="s">
        <v>3053</v>
      </c>
      <c r="F896" s="1">
        <v>10</v>
      </c>
      <c r="H896" s="1" t="s">
        <v>1715</v>
      </c>
      <c r="I896" s="1" t="s">
        <v>130</v>
      </c>
      <c r="J896" s="30">
        <v>1</v>
      </c>
      <c r="K896" s="30">
        <v>40000</v>
      </c>
      <c r="L896" s="31">
        <v>40000</v>
      </c>
      <c r="M896" s="1" t="s">
        <v>30</v>
      </c>
      <c r="N896" s="1" t="s">
        <v>17</v>
      </c>
      <c r="O896" s="1" t="s">
        <v>2057</v>
      </c>
      <c r="P896" s="1" t="s">
        <v>2056</v>
      </c>
      <c r="Q896" s="1" t="s">
        <v>652</v>
      </c>
      <c r="R896" s="1">
        <f t="shared" si="13"/>
        <v>3</v>
      </c>
      <c r="S896" s="4">
        <f>J896*K896*M896</f>
        <v>4000</v>
      </c>
    </row>
    <row r="897" spans="1:19" ht="43" customHeight="1">
      <c r="A897" s="1" t="s">
        <v>2280</v>
      </c>
      <c r="B897" s="1" t="s">
        <v>1262</v>
      </c>
      <c r="C897" s="29">
        <v>45838.622051655097</v>
      </c>
      <c r="D897" s="1" t="s">
        <v>3052</v>
      </c>
      <c r="E897" s="1" t="s">
        <v>3053</v>
      </c>
      <c r="F897" s="1">
        <v>10</v>
      </c>
      <c r="H897" s="1" t="s">
        <v>1806</v>
      </c>
      <c r="I897" s="1" t="s">
        <v>130</v>
      </c>
      <c r="J897" s="30">
        <v>2</v>
      </c>
      <c r="K897" s="30">
        <v>50000</v>
      </c>
      <c r="L897" s="31">
        <v>100000</v>
      </c>
      <c r="M897" s="1" t="s">
        <v>30</v>
      </c>
      <c r="N897" s="1" t="s">
        <v>17</v>
      </c>
      <c r="O897" s="1" t="s">
        <v>2057</v>
      </c>
      <c r="P897" s="1" t="s">
        <v>2056</v>
      </c>
      <c r="Q897" s="1" t="s">
        <v>828</v>
      </c>
      <c r="R897" s="1">
        <f t="shared" si="13"/>
        <v>2</v>
      </c>
      <c r="S897" s="4">
        <f>J897*K897*M897</f>
        <v>10000</v>
      </c>
    </row>
    <row r="898" spans="1:19" ht="43" customHeight="1">
      <c r="A898" s="1" t="s">
        <v>2280</v>
      </c>
      <c r="B898" s="1" t="s">
        <v>1419</v>
      </c>
      <c r="C898" s="29">
        <v>45866.749486990702</v>
      </c>
      <c r="D898" s="1" t="s">
        <v>3052</v>
      </c>
      <c r="E898" s="1" t="s">
        <v>3053</v>
      </c>
      <c r="F898" s="1">
        <v>8</v>
      </c>
      <c r="H898" s="1" t="s">
        <v>1765</v>
      </c>
      <c r="I898" s="1" t="s">
        <v>130</v>
      </c>
      <c r="J898" s="30">
        <v>2</v>
      </c>
      <c r="K898" s="30">
        <v>30000</v>
      </c>
      <c r="L898" s="31">
        <v>60000</v>
      </c>
      <c r="M898" s="1" t="s">
        <v>30</v>
      </c>
      <c r="N898" s="1" t="s">
        <v>17</v>
      </c>
      <c r="O898" s="1" t="s">
        <v>2057</v>
      </c>
      <c r="P898" s="1" t="s">
        <v>2056</v>
      </c>
      <c r="Q898" s="1" t="s">
        <v>1763</v>
      </c>
      <c r="R898" s="1">
        <f t="shared" si="13"/>
        <v>3</v>
      </c>
      <c r="S898" s="4">
        <f>J898*K898*M898</f>
        <v>6000</v>
      </c>
    </row>
    <row r="899" spans="1:19" ht="43" customHeight="1">
      <c r="A899" s="1" t="s">
        <v>2280</v>
      </c>
      <c r="B899" s="1" t="s">
        <v>1272</v>
      </c>
      <c r="C899" s="29">
        <v>45836.414122164402</v>
      </c>
      <c r="D899" s="1" t="s">
        <v>3052</v>
      </c>
      <c r="E899" s="1" t="s">
        <v>3053</v>
      </c>
      <c r="F899" s="1">
        <v>3</v>
      </c>
      <c r="H899" s="1" t="s">
        <v>1840</v>
      </c>
      <c r="I899" s="1" t="s">
        <v>130</v>
      </c>
      <c r="J899" s="30">
        <v>2</v>
      </c>
      <c r="K899" s="30">
        <v>25000</v>
      </c>
      <c r="L899" s="31">
        <v>50000</v>
      </c>
      <c r="M899" s="1" t="s">
        <v>30</v>
      </c>
      <c r="N899" s="1" t="s">
        <v>17</v>
      </c>
      <c r="O899" s="1" t="s">
        <v>2057</v>
      </c>
      <c r="P899" s="1" t="s">
        <v>2056</v>
      </c>
      <c r="Q899" s="1" t="s">
        <v>845</v>
      </c>
      <c r="R899" s="1">
        <f t="shared" ref="R899:R962" si="14">ROUNDUP(MONTH(Q899)/3,0)</f>
        <v>2</v>
      </c>
      <c r="S899" s="4">
        <f>J899*K899*M899</f>
        <v>5000</v>
      </c>
    </row>
    <row r="900" spans="1:19" ht="43" customHeight="1">
      <c r="A900" s="1" t="s">
        <v>2280</v>
      </c>
      <c r="B900" s="1" t="s">
        <v>1419</v>
      </c>
      <c r="C900" s="29">
        <v>45866.749486990702</v>
      </c>
      <c r="D900" s="1" t="s">
        <v>3052</v>
      </c>
      <c r="E900" s="1" t="s">
        <v>3053</v>
      </c>
      <c r="F900" s="1">
        <v>7</v>
      </c>
      <c r="H900" s="1" t="s">
        <v>1764</v>
      </c>
      <c r="I900" s="1" t="s">
        <v>130</v>
      </c>
      <c r="J900" s="30">
        <v>2</v>
      </c>
      <c r="K900" s="30">
        <v>25000</v>
      </c>
      <c r="L900" s="31">
        <v>50000</v>
      </c>
      <c r="M900" s="1" t="s">
        <v>30</v>
      </c>
      <c r="N900" s="1" t="s">
        <v>17</v>
      </c>
      <c r="O900" s="1" t="s">
        <v>2057</v>
      </c>
      <c r="P900" s="1" t="s">
        <v>2056</v>
      </c>
      <c r="Q900" s="1" t="s">
        <v>1763</v>
      </c>
      <c r="R900" s="1">
        <f t="shared" si="14"/>
        <v>3</v>
      </c>
      <c r="S900" s="4">
        <f>J900*K900*M900</f>
        <v>5000</v>
      </c>
    </row>
    <row r="901" spans="1:19" ht="43" customHeight="1">
      <c r="A901" s="1" t="s">
        <v>2280</v>
      </c>
      <c r="B901" s="1" t="s">
        <v>1421</v>
      </c>
      <c r="C901" s="29">
        <v>45864.4410266782</v>
      </c>
      <c r="D901" s="1" t="s">
        <v>3058</v>
      </c>
      <c r="E901" s="1" t="s">
        <v>3059</v>
      </c>
      <c r="F901" s="1">
        <v>3</v>
      </c>
      <c r="H901" s="1" t="s">
        <v>1786</v>
      </c>
      <c r="I901" s="1" t="s">
        <v>15</v>
      </c>
      <c r="J901" s="30">
        <v>1</v>
      </c>
      <c r="K901" s="30">
        <v>40000</v>
      </c>
      <c r="L901" s="31">
        <v>40000</v>
      </c>
      <c r="M901" s="1" t="s">
        <v>30</v>
      </c>
      <c r="N901" s="1" t="s">
        <v>17</v>
      </c>
      <c r="O901" s="1" t="s">
        <v>2057</v>
      </c>
      <c r="P901" s="1" t="s">
        <v>2056</v>
      </c>
      <c r="Q901" s="1" t="s">
        <v>1785</v>
      </c>
      <c r="R901" s="1">
        <f t="shared" si="14"/>
        <v>3</v>
      </c>
      <c r="S901" s="4">
        <f>J901*K901*M901</f>
        <v>4000</v>
      </c>
    </row>
    <row r="902" spans="1:19" ht="43" customHeight="1">
      <c r="A902" s="1" t="s">
        <v>2280</v>
      </c>
      <c r="B902" s="1" t="s">
        <v>1018</v>
      </c>
      <c r="C902" s="29">
        <v>45957.708490682897</v>
      </c>
      <c r="D902" s="1" t="s">
        <v>3058</v>
      </c>
      <c r="E902" s="1" t="s">
        <v>3059</v>
      </c>
      <c r="F902" s="1">
        <v>4</v>
      </c>
      <c r="H902" s="1" t="s">
        <v>1584</v>
      </c>
      <c r="I902" s="1" t="s">
        <v>130</v>
      </c>
      <c r="J902" s="30">
        <v>1</v>
      </c>
      <c r="K902" s="30">
        <v>30000</v>
      </c>
      <c r="L902" s="31">
        <v>30000</v>
      </c>
      <c r="M902" s="1" t="s">
        <v>16</v>
      </c>
      <c r="N902" s="1" t="s">
        <v>17</v>
      </c>
      <c r="O902" s="1" t="s">
        <v>2057</v>
      </c>
      <c r="P902" s="1" t="s">
        <v>2056</v>
      </c>
      <c r="Q902" s="1" t="s">
        <v>1583</v>
      </c>
      <c r="R902" s="1">
        <f t="shared" si="14"/>
        <v>4</v>
      </c>
      <c r="S902" s="4">
        <f>J902*K902*M902</f>
        <v>2400</v>
      </c>
    </row>
    <row r="903" spans="1:19" ht="43" customHeight="1">
      <c r="A903" s="1" t="s">
        <v>2280</v>
      </c>
      <c r="B903" s="1" t="s">
        <v>221</v>
      </c>
      <c r="C903" s="29">
        <v>45776.500553657403</v>
      </c>
      <c r="D903" s="1" t="s">
        <v>3052</v>
      </c>
      <c r="E903" s="1" t="s">
        <v>3053</v>
      </c>
      <c r="F903" s="1">
        <v>10</v>
      </c>
      <c r="H903" s="1" t="s">
        <v>1908</v>
      </c>
      <c r="I903" s="1" t="s">
        <v>130</v>
      </c>
      <c r="J903" s="30">
        <v>1</v>
      </c>
      <c r="K903" s="30">
        <v>110000</v>
      </c>
      <c r="L903" s="31">
        <v>110000</v>
      </c>
      <c r="M903" s="1" t="s">
        <v>30</v>
      </c>
      <c r="N903" s="1" t="s">
        <v>17</v>
      </c>
      <c r="O903" s="1" t="s">
        <v>2057</v>
      </c>
      <c r="P903" s="1" t="s">
        <v>2056</v>
      </c>
      <c r="Q903" s="1" t="s">
        <v>937</v>
      </c>
      <c r="R903" s="1">
        <f t="shared" si="14"/>
        <v>2</v>
      </c>
      <c r="S903" s="4">
        <f>J903*K903*M903</f>
        <v>11000</v>
      </c>
    </row>
    <row r="904" spans="1:19" ht="43" customHeight="1">
      <c r="A904" s="1" t="s">
        <v>2280</v>
      </c>
      <c r="B904" s="1" t="s">
        <v>1034</v>
      </c>
      <c r="C904" s="29">
        <v>45928.7317327778</v>
      </c>
      <c r="D904" s="1" t="s">
        <v>3052</v>
      </c>
      <c r="E904" s="1" t="s">
        <v>3053</v>
      </c>
      <c r="F904" s="1">
        <v>13</v>
      </c>
      <c r="H904" s="1" t="s">
        <v>1637</v>
      </c>
      <c r="I904" s="1" t="s">
        <v>130</v>
      </c>
      <c r="J904" s="30">
        <v>10</v>
      </c>
      <c r="K904" s="30">
        <v>12000</v>
      </c>
      <c r="L904" s="31">
        <v>120000</v>
      </c>
      <c r="M904" s="1" t="s">
        <v>30</v>
      </c>
      <c r="N904" s="1" t="s">
        <v>17</v>
      </c>
      <c r="O904" s="1" t="s">
        <v>2057</v>
      </c>
      <c r="P904" s="1" t="s">
        <v>2056</v>
      </c>
      <c r="Q904" s="1" t="s">
        <v>546</v>
      </c>
      <c r="R904" s="1">
        <f t="shared" si="14"/>
        <v>3</v>
      </c>
      <c r="S904" s="4">
        <f>J904*K904*M904</f>
        <v>12000</v>
      </c>
    </row>
    <row r="905" spans="1:19" ht="43" customHeight="1">
      <c r="A905" s="1" t="s">
        <v>2280</v>
      </c>
      <c r="B905" s="1" t="s">
        <v>1034</v>
      </c>
      <c r="C905" s="29">
        <v>45928.7317327778</v>
      </c>
      <c r="D905" s="1" t="s">
        <v>3052</v>
      </c>
      <c r="E905" s="1" t="s">
        <v>3053</v>
      </c>
      <c r="F905" s="1">
        <v>14</v>
      </c>
      <c r="H905" s="1" t="s">
        <v>1638</v>
      </c>
      <c r="I905" s="1" t="s">
        <v>130</v>
      </c>
      <c r="J905" s="30">
        <v>10</v>
      </c>
      <c r="K905" s="30">
        <v>15000</v>
      </c>
      <c r="L905" s="31">
        <v>150000</v>
      </c>
      <c r="M905" s="1" t="s">
        <v>30</v>
      </c>
      <c r="N905" s="1" t="s">
        <v>17</v>
      </c>
      <c r="O905" s="1" t="s">
        <v>2057</v>
      </c>
      <c r="P905" s="1" t="s">
        <v>2056</v>
      </c>
      <c r="Q905" s="1" t="s">
        <v>546</v>
      </c>
      <c r="R905" s="1">
        <f t="shared" si="14"/>
        <v>3</v>
      </c>
      <c r="S905" s="4">
        <f>J905*K905*M905</f>
        <v>15000</v>
      </c>
    </row>
    <row r="906" spans="1:19" ht="43" customHeight="1">
      <c r="A906" s="1" t="s">
        <v>2280</v>
      </c>
      <c r="B906" s="1" t="s">
        <v>194</v>
      </c>
      <c r="C906" s="29">
        <v>45747.667547175901</v>
      </c>
      <c r="D906" s="1" t="s">
        <v>3071</v>
      </c>
      <c r="E906" s="1" t="s">
        <v>3053</v>
      </c>
      <c r="F906" s="1">
        <v>3</v>
      </c>
      <c r="H906" s="1" t="s">
        <v>1992</v>
      </c>
      <c r="I906" s="1" t="s">
        <v>1279</v>
      </c>
      <c r="J906" s="30">
        <v>1</v>
      </c>
      <c r="K906" s="30">
        <v>90000</v>
      </c>
      <c r="L906" s="31">
        <v>90000</v>
      </c>
      <c r="M906" s="1" t="s">
        <v>30</v>
      </c>
      <c r="N906" s="1" t="s">
        <v>17</v>
      </c>
      <c r="O906" s="1" t="s">
        <v>2057</v>
      </c>
      <c r="P906" s="1" t="s">
        <v>2056</v>
      </c>
      <c r="Q906" s="1" t="s">
        <v>42</v>
      </c>
      <c r="R906" s="1">
        <f t="shared" si="14"/>
        <v>1</v>
      </c>
      <c r="S906" s="4">
        <f>J906*K906*M906</f>
        <v>9000</v>
      </c>
    </row>
    <row r="907" spans="1:19" ht="43" hidden="1" customHeight="1">
      <c r="A907" s="1" t="s">
        <v>2072</v>
      </c>
      <c r="B907" s="1" t="s">
        <v>146</v>
      </c>
      <c r="C907" s="29">
        <v>46020.386763703696</v>
      </c>
      <c r="D907" s="1" t="s">
        <v>3052</v>
      </c>
      <c r="E907" s="1" t="s">
        <v>3053</v>
      </c>
      <c r="F907" s="1">
        <v>39</v>
      </c>
      <c r="G907" s="12" t="s">
        <v>1297</v>
      </c>
      <c r="H907" s="1" t="s">
        <v>1297</v>
      </c>
      <c r="I907" s="1" t="s">
        <v>130</v>
      </c>
      <c r="J907" s="30">
        <v>2</v>
      </c>
      <c r="K907" s="30">
        <v>25000</v>
      </c>
      <c r="L907" s="31">
        <v>50000</v>
      </c>
      <c r="M907" s="1" t="s">
        <v>16</v>
      </c>
      <c r="N907" s="1" t="s">
        <v>17</v>
      </c>
      <c r="O907" s="1" t="s">
        <v>2057</v>
      </c>
      <c r="P907" s="1" t="s">
        <v>2056</v>
      </c>
      <c r="Q907" s="1" t="s">
        <v>275</v>
      </c>
      <c r="R907" s="1">
        <f t="shared" si="14"/>
        <v>4</v>
      </c>
      <c r="S907" s="4">
        <f>J907*K907*M907</f>
        <v>4000</v>
      </c>
    </row>
    <row r="908" spans="1:19" ht="43" hidden="1" customHeight="1">
      <c r="A908" s="1" t="s">
        <v>2280</v>
      </c>
      <c r="B908" s="1" t="s">
        <v>1400</v>
      </c>
      <c r="C908" s="29">
        <v>45990.721094398097</v>
      </c>
      <c r="D908" s="1" t="s">
        <v>3052</v>
      </c>
      <c r="E908" s="1" t="s">
        <v>3053</v>
      </c>
      <c r="F908" s="1">
        <v>66</v>
      </c>
      <c r="G908" s="12" t="s">
        <v>1297</v>
      </c>
      <c r="H908" s="1" t="s">
        <v>1297</v>
      </c>
      <c r="I908" s="1" t="s">
        <v>130</v>
      </c>
      <c r="J908" s="30">
        <v>4</v>
      </c>
      <c r="K908" s="30">
        <v>40000</v>
      </c>
      <c r="L908" s="31">
        <v>160000</v>
      </c>
      <c r="M908" s="1" t="s">
        <v>16</v>
      </c>
      <c r="N908" s="1" t="s">
        <v>17</v>
      </c>
      <c r="O908" s="1" t="s">
        <v>2057</v>
      </c>
      <c r="P908" s="1" t="s">
        <v>2056</v>
      </c>
      <c r="Q908" s="1" t="s">
        <v>1531</v>
      </c>
      <c r="R908" s="1">
        <f t="shared" si="14"/>
        <v>4</v>
      </c>
      <c r="S908" s="4">
        <f>J908*K908*M908</f>
        <v>12800</v>
      </c>
    </row>
    <row r="909" spans="1:19" ht="43" hidden="1" customHeight="1">
      <c r="A909" s="1" t="s">
        <v>2280</v>
      </c>
      <c r="B909" s="1" t="s">
        <v>794</v>
      </c>
      <c r="C909" s="29">
        <v>45959.655037615703</v>
      </c>
      <c r="D909" s="1" t="s">
        <v>3052</v>
      </c>
      <c r="E909" s="1" t="s">
        <v>3053</v>
      </c>
      <c r="F909" s="1">
        <v>9</v>
      </c>
      <c r="G909" s="12" t="s">
        <v>1297</v>
      </c>
      <c r="H909" s="1" t="s">
        <v>1297</v>
      </c>
      <c r="I909" s="1" t="s">
        <v>130</v>
      </c>
      <c r="J909" s="30">
        <v>30</v>
      </c>
      <c r="K909" s="30">
        <v>6000</v>
      </c>
      <c r="L909" s="31">
        <v>180000</v>
      </c>
      <c r="M909" s="1" t="s">
        <v>30</v>
      </c>
      <c r="N909" s="1" t="s">
        <v>17</v>
      </c>
      <c r="O909" s="1" t="s">
        <v>2057</v>
      </c>
      <c r="P909" s="1" t="s">
        <v>2056</v>
      </c>
      <c r="Q909" s="1" t="s">
        <v>1578</v>
      </c>
      <c r="R909" s="1">
        <f t="shared" si="14"/>
        <v>4</v>
      </c>
      <c r="S909" s="4">
        <f>J909*K909*M909</f>
        <v>18000</v>
      </c>
    </row>
    <row r="910" spans="1:19" ht="43" hidden="1" customHeight="1">
      <c r="A910" s="1" t="s">
        <v>2280</v>
      </c>
      <c r="B910" s="1" t="s">
        <v>188</v>
      </c>
      <c r="C910" s="29">
        <v>45928.944600393501</v>
      </c>
      <c r="D910" s="1" t="s">
        <v>3052</v>
      </c>
      <c r="E910" s="1" t="s">
        <v>3053</v>
      </c>
      <c r="F910" s="1">
        <v>23</v>
      </c>
      <c r="G910" s="12" t="s">
        <v>1297</v>
      </c>
      <c r="H910" s="1" t="s">
        <v>1297</v>
      </c>
      <c r="I910" s="1" t="s">
        <v>130</v>
      </c>
      <c r="J910" s="30">
        <v>3</v>
      </c>
      <c r="K910" s="30">
        <v>35000</v>
      </c>
      <c r="L910" s="31">
        <v>105000</v>
      </c>
      <c r="M910" s="1" t="s">
        <v>30</v>
      </c>
      <c r="N910" s="1" t="s">
        <v>17</v>
      </c>
      <c r="O910" s="1" t="s">
        <v>2057</v>
      </c>
      <c r="P910" s="1" t="s">
        <v>2056</v>
      </c>
      <c r="Q910" s="1" t="s">
        <v>546</v>
      </c>
      <c r="R910" s="1">
        <f t="shared" si="14"/>
        <v>3</v>
      </c>
      <c r="S910" s="4">
        <f>J910*K910*M910</f>
        <v>10500</v>
      </c>
    </row>
    <row r="911" spans="1:19" ht="43" hidden="1" customHeight="1">
      <c r="A911" s="1" t="s">
        <v>2280</v>
      </c>
      <c r="B911" s="1" t="s">
        <v>1034</v>
      </c>
      <c r="C911" s="29">
        <v>45928.7317327778</v>
      </c>
      <c r="D911" s="1" t="s">
        <v>3052</v>
      </c>
      <c r="E911" s="1" t="s">
        <v>3053</v>
      </c>
      <c r="F911" s="1">
        <v>7</v>
      </c>
      <c r="G911" s="12" t="s">
        <v>1297</v>
      </c>
      <c r="H911" s="1" t="s">
        <v>1297</v>
      </c>
      <c r="I911" s="1" t="s">
        <v>130</v>
      </c>
      <c r="J911" s="30">
        <v>4</v>
      </c>
      <c r="K911" s="30">
        <v>5000</v>
      </c>
      <c r="L911" s="31">
        <v>20000</v>
      </c>
      <c r="M911" s="1" t="s">
        <v>30</v>
      </c>
      <c r="N911" s="1" t="s">
        <v>17</v>
      </c>
      <c r="O911" s="1" t="s">
        <v>2057</v>
      </c>
      <c r="P911" s="1" t="s">
        <v>2056</v>
      </c>
      <c r="Q911" s="1" t="s">
        <v>546</v>
      </c>
      <c r="R911" s="1">
        <f t="shared" si="14"/>
        <v>3</v>
      </c>
      <c r="S911" s="4">
        <f>J911*K911*M911</f>
        <v>2000</v>
      </c>
    </row>
    <row r="912" spans="1:19" ht="43" hidden="1" customHeight="1">
      <c r="A912" s="1" t="s">
        <v>2280</v>
      </c>
      <c r="B912" s="1" t="s">
        <v>1267</v>
      </c>
      <c r="C912" s="29">
        <v>45836.662306689803</v>
      </c>
      <c r="D912" s="1" t="s">
        <v>3072</v>
      </c>
      <c r="E912" s="1" t="s">
        <v>3073</v>
      </c>
      <c r="F912" s="1">
        <v>3</v>
      </c>
      <c r="G912" s="12" t="s">
        <v>1297</v>
      </c>
      <c r="H912" s="1" t="s">
        <v>1297</v>
      </c>
      <c r="I912" s="1" t="s">
        <v>130</v>
      </c>
      <c r="J912" s="30">
        <v>2</v>
      </c>
      <c r="K912" s="30">
        <v>35000</v>
      </c>
      <c r="L912" s="31">
        <v>70000</v>
      </c>
      <c r="M912" s="1" t="s">
        <v>30</v>
      </c>
      <c r="N912" s="1" t="s">
        <v>17</v>
      </c>
      <c r="O912" s="1" t="s">
        <v>2057</v>
      </c>
      <c r="P912" s="1" t="s">
        <v>2056</v>
      </c>
      <c r="Q912" s="1" t="s">
        <v>845</v>
      </c>
      <c r="R912" s="1">
        <f t="shared" si="14"/>
        <v>2</v>
      </c>
      <c r="S912" s="4">
        <f>J912*K912*M912</f>
        <v>7000</v>
      </c>
    </row>
    <row r="913" spans="1:19" ht="43" hidden="1" customHeight="1">
      <c r="A913" s="1" t="s">
        <v>2280</v>
      </c>
      <c r="B913" s="1" t="s">
        <v>136</v>
      </c>
      <c r="C913" s="29">
        <v>45709.704236689802</v>
      </c>
      <c r="D913" s="1" t="s">
        <v>3052</v>
      </c>
      <c r="E913" s="1" t="s">
        <v>3053</v>
      </c>
      <c r="F913" s="1">
        <v>6</v>
      </c>
      <c r="G913" s="12" t="s">
        <v>1297</v>
      </c>
      <c r="H913" s="1" t="s">
        <v>1297</v>
      </c>
      <c r="I913" s="1" t="s">
        <v>130</v>
      </c>
      <c r="J913" s="30">
        <v>25</v>
      </c>
      <c r="K913" s="30">
        <v>3900</v>
      </c>
      <c r="L913" s="31">
        <v>97500</v>
      </c>
      <c r="M913" s="1" t="s">
        <v>30</v>
      </c>
      <c r="N913" s="1" t="s">
        <v>17</v>
      </c>
      <c r="O913" s="1" t="s">
        <v>2057</v>
      </c>
      <c r="P913" s="1" t="s">
        <v>2056</v>
      </c>
      <c r="Q913" s="1" t="s">
        <v>2040</v>
      </c>
      <c r="R913" s="1">
        <f t="shared" si="14"/>
        <v>1</v>
      </c>
      <c r="S913" s="4">
        <f>J913*K913*M913</f>
        <v>9750</v>
      </c>
    </row>
    <row r="914" spans="1:19" ht="43" customHeight="1">
      <c r="A914" s="1" t="s">
        <v>2280</v>
      </c>
      <c r="B914" s="1" t="s">
        <v>1272</v>
      </c>
      <c r="C914" s="29">
        <v>45836.414122164402</v>
      </c>
      <c r="D914" s="1" t="s">
        <v>3052</v>
      </c>
      <c r="E914" s="1" t="s">
        <v>3053</v>
      </c>
      <c r="F914" s="1">
        <v>16</v>
      </c>
      <c r="H914" s="1" t="s">
        <v>1845</v>
      </c>
      <c r="I914" s="1" t="s">
        <v>130</v>
      </c>
      <c r="J914" s="30">
        <v>5</v>
      </c>
      <c r="K914" s="30">
        <v>90000</v>
      </c>
      <c r="L914" s="31">
        <v>450000</v>
      </c>
      <c r="M914" s="1" t="s">
        <v>30</v>
      </c>
      <c r="N914" s="1" t="s">
        <v>17</v>
      </c>
      <c r="O914" s="1" t="s">
        <v>2057</v>
      </c>
      <c r="P914" s="1" t="s">
        <v>2056</v>
      </c>
      <c r="Q914" s="1" t="s">
        <v>845</v>
      </c>
      <c r="R914" s="1">
        <f t="shared" si="14"/>
        <v>2</v>
      </c>
      <c r="S914" s="4">
        <f>J914*K914*M914</f>
        <v>45000</v>
      </c>
    </row>
    <row r="915" spans="1:19" ht="43" customHeight="1">
      <c r="A915" s="1" t="s">
        <v>2280</v>
      </c>
      <c r="B915" s="1" t="s">
        <v>221</v>
      </c>
      <c r="C915" s="29">
        <v>45776.500553657403</v>
      </c>
      <c r="D915" s="1" t="s">
        <v>3052</v>
      </c>
      <c r="E915" s="1" t="s">
        <v>3053</v>
      </c>
      <c r="F915" s="1">
        <v>24</v>
      </c>
      <c r="H915" s="1" t="s">
        <v>1916</v>
      </c>
      <c r="I915" s="1" t="s">
        <v>130</v>
      </c>
      <c r="J915" s="30">
        <v>5</v>
      </c>
      <c r="K915" s="30">
        <v>150000</v>
      </c>
      <c r="L915" s="31">
        <v>750000</v>
      </c>
      <c r="M915" s="1" t="s">
        <v>30</v>
      </c>
      <c r="N915" s="1" t="s">
        <v>17</v>
      </c>
      <c r="O915" s="1" t="s">
        <v>2057</v>
      </c>
      <c r="P915" s="1" t="s">
        <v>2056</v>
      </c>
      <c r="Q915" s="1" t="s">
        <v>937</v>
      </c>
      <c r="R915" s="1">
        <f t="shared" si="14"/>
        <v>2</v>
      </c>
      <c r="S915" s="4">
        <f>J915*K915*M915</f>
        <v>75000</v>
      </c>
    </row>
    <row r="916" spans="1:19" ht="43" hidden="1" customHeight="1">
      <c r="A916" s="1" t="s">
        <v>2072</v>
      </c>
      <c r="B916" s="1" t="s">
        <v>1294</v>
      </c>
      <c r="C916" s="29">
        <v>46021.613942164397</v>
      </c>
      <c r="D916" s="1" t="s">
        <v>3052</v>
      </c>
      <c r="E916" s="1" t="s">
        <v>3053</v>
      </c>
      <c r="F916" s="1">
        <v>76</v>
      </c>
      <c r="G916" s="12" t="s">
        <v>1353</v>
      </c>
      <c r="H916" s="1" t="s">
        <v>1353</v>
      </c>
      <c r="I916" s="1" t="s">
        <v>130</v>
      </c>
      <c r="J916" s="30">
        <v>2</v>
      </c>
      <c r="K916" s="30">
        <v>20000</v>
      </c>
      <c r="L916" s="31">
        <v>40000</v>
      </c>
      <c r="M916" s="1" t="s">
        <v>16</v>
      </c>
      <c r="N916" s="1" t="s">
        <v>17</v>
      </c>
      <c r="O916" s="1" t="s">
        <v>2057</v>
      </c>
      <c r="P916" s="1" t="s">
        <v>2056</v>
      </c>
      <c r="Q916" s="1" t="s">
        <v>1474</v>
      </c>
      <c r="R916" s="1">
        <f t="shared" si="14"/>
        <v>4</v>
      </c>
      <c r="S916" s="4">
        <f>J916*K916*M916</f>
        <v>3200</v>
      </c>
    </row>
    <row r="917" spans="1:19" ht="43" hidden="1" customHeight="1">
      <c r="A917" s="1" t="s">
        <v>2072</v>
      </c>
      <c r="B917" s="1" t="s">
        <v>146</v>
      </c>
      <c r="C917" s="29">
        <v>46020.386763703696</v>
      </c>
      <c r="D917" s="1" t="s">
        <v>3052</v>
      </c>
      <c r="E917" s="1" t="s">
        <v>3053</v>
      </c>
      <c r="F917" s="1">
        <v>22</v>
      </c>
      <c r="G917" s="12" t="s">
        <v>1353</v>
      </c>
      <c r="H917" s="1" t="s">
        <v>1353</v>
      </c>
      <c r="I917" s="1" t="s">
        <v>1268</v>
      </c>
      <c r="J917" s="30">
        <v>20</v>
      </c>
      <c r="K917" s="30">
        <v>20000</v>
      </c>
      <c r="L917" s="31">
        <v>400000</v>
      </c>
      <c r="M917" s="1" t="s">
        <v>16</v>
      </c>
      <c r="N917" s="1" t="s">
        <v>17</v>
      </c>
      <c r="O917" s="1" t="s">
        <v>2057</v>
      </c>
      <c r="P917" s="1" t="s">
        <v>2056</v>
      </c>
      <c r="Q917" s="1" t="s">
        <v>275</v>
      </c>
      <c r="R917" s="1">
        <f t="shared" si="14"/>
        <v>4</v>
      </c>
      <c r="S917" s="4">
        <f>J917*K917*M917</f>
        <v>32000</v>
      </c>
    </row>
    <row r="918" spans="1:19" ht="43" hidden="1" customHeight="1">
      <c r="A918" s="1" t="s">
        <v>2280</v>
      </c>
      <c r="B918" s="1" t="s">
        <v>1412</v>
      </c>
      <c r="C918" s="29">
        <v>45898.896986157401</v>
      </c>
      <c r="D918" s="1" t="s">
        <v>3052</v>
      </c>
      <c r="E918" s="1" t="s">
        <v>3053</v>
      </c>
      <c r="F918" s="1">
        <v>71</v>
      </c>
      <c r="G918" s="12" t="s">
        <v>792</v>
      </c>
      <c r="H918" s="1" t="s">
        <v>1708</v>
      </c>
      <c r="I918" s="1" t="s">
        <v>62</v>
      </c>
      <c r="J918" s="30">
        <v>190.8</v>
      </c>
      <c r="K918" s="30">
        <v>19000</v>
      </c>
      <c r="L918" s="31">
        <v>3625200</v>
      </c>
      <c r="M918" s="1" t="s">
        <v>16</v>
      </c>
      <c r="N918" s="1" t="s">
        <v>17</v>
      </c>
      <c r="O918" s="1" t="s">
        <v>2057</v>
      </c>
      <c r="P918" s="1" t="s">
        <v>2056</v>
      </c>
      <c r="Q918" s="1" t="s">
        <v>652</v>
      </c>
      <c r="R918" s="1">
        <f t="shared" si="14"/>
        <v>3</v>
      </c>
      <c r="S918" s="4">
        <f>J918*K918*M918</f>
        <v>290016</v>
      </c>
    </row>
    <row r="919" spans="1:19" ht="43" hidden="1" customHeight="1">
      <c r="A919" s="1" t="s">
        <v>2280</v>
      </c>
      <c r="B919" s="1" t="s">
        <v>193</v>
      </c>
      <c r="C919" s="29">
        <v>45898.577999004599</v>
      </c>
      <c r="D919" s="1" t="s">
        <v>3058</v>
      </c>
      <c r="E919" s="1" t="s">
        <v>3059</v>
      </c>
      <c r="F919" s="1">
        <v>1</v>
      </c>
      <c r="G919" s="12" t="s">
        <v>792</v>
      </c>
      <c r="H919" s="1" t="s">
        <v>1708</v>
      </c>
      <c r="I919" s="1" t="s">
        <v>62</v>
      </c>
      <c r="J919" s="30">
        <v>115.6</v>
      </c>
      <c r="K919" s="30">
        <v>21000</v>
      </c>
      <c r="L919" s="31">
        <v>2427600</v>
      </c>
      <c r="M919" s="1" t="s">
        <v>16</v>
      </c>
      <c r="N919" s="1" t="s">
        <v>17</v>
      </c>
      <c r="O919" s="1" t="s">
        <v>2057</v>
      </c>
      <c r="P919" s="1" t="s">
        <v>2056</v>
      </c>
      <c r="Q919" s="1" t="s">
        <v>652</v>
      </c>
      <c r="R919" s="1">
        <f t="shared" si="14"/>
        <v>3</v>
      </c>
      <c r="S919" s="4">
        <f>J919*K919*M919</f>
        <v>194208</v>
      </c>
    </row>
    <row r="920" spans="1:19" ht="43" customHeight="1">
      <c r="A920" s="1" t="s">
        <v>2280</v>
      </c>
      <c r="B920" s="1" t="s">
        <v>152</v>
      </c>
      <c r="C920" s="29">
        <v>45836.413450243097</v>
      </c>
      <c r="D920" s="1" t="s">
        <v>3052</v>
      </c>
      <c r="E920" s="1" t="s">
        <v>3053</v>
      </c>
      <c r="F920" s="1">
        <v>17</v>
      </c>
      <c r="H920" s="1" t="s">
        <v>1853</v>
      </c>
      <c r="I920" s="1" t="s">
        <v>62</v>
      </c>
      <c r="J920" s="30">
        <v>152.30000000000001</v>
      </c>
      <c r="K920" s="30">
        <v>19000</v>
      </c>
      <c r="L920" s="31">
        <v>2893700</v>
      </c>
      <c r="M920" s="1" t="s">
        <v>16</v>
      </c>
      <c r="N920" s="1" t="s">
        <v>17</v>
      </c>
      <c r="O920" s="1" t="s">
        <v>2057</v>
      </c>
      <c r="P920" s="1" t="s">
        <v>2056</v>
      </c>
      <c r="Q920" s="1" t="s">
        <v>845</v>
      </c>
      <c r="R920" s="1">
        <f t="shared" si="14"/>
        <v>2</v>
      </c>
      <c r="S920" s="4">
        <f>J920*K920*M920</f>
        <v>231496</v>
      </c>
    </row>
    <row r="921" spans="1:19" ht="43" hidden="1" customHeight="1">
      <c r="A921" s="1" t="s">
        <v>2072</v>
      </c>
      <c r="B921" s="1" t="s">
        <v>1294</v>
      </c>
      <c r="C921" s="29">
        <v>46021.613942164397</v>
      </c>
      <c r="D921" s="1" t="s">
        <v>3052</v>
      </c>
      <c r="E921" s="1" t="s">
        <v>3053</v>
      </c>
      <c r="F921" s="1">
        <v>54</v>
      </c>
      <c r="G921" s="12" t="s">
        <v>792</v>
      </c>
      <c r="H921" s="1" t="s">
        <v>792</v>
      </c>
      <c r="I921" s="1" t="s">
        <v>62</v>
      </c>
      <c r="J921" s="30">
        <v>291.3</v>
      </c>
      <c r="K921" s="30">
        <v>21000</v>
      </c>
      <c r="L921" s="31">
        <v>6117300</v>
      </c>
      <c r="M921" s="1" t="s">
        <v>16</v>
      </c>
      <c r="N921" s="1" t="s">
        <v>17</v>
      </c>
      <c r="O921" s="1" t="s">
        <v>2057</v>
      </c>
      <c r="P921" s="1" t="s">
        <v>2056</v>
      </c>
      <c r="Q921" s="1" t="s">
        <v>1474</v>
      </c>
      <c r="R921" s="1">
        <f t="shared" si="14"/>
        <v>4</v>
      </c>
      <c r="S921" s="4">
        <f>J921*K921*M921</f>
        <v>489384</v>
      </c>
    </row>
    <row r="922" spans="1:19" ht="43" hidden="1" customHeight="1">
      <c r="A922" s="1" t="s">
        <v>2280</v>
      </c>
      <c r="B922" s="1" t="s">
        <v>1398</v>
      </c>
      <c r="C922" s="29">
        <v>45996.640779340298</v>
      </c>
      <c r="D922" s="1" t="s">
        <v>3058</v>
      </c>
      <c r="E922" s="1" t="s">
        <v>3059</v>
      </c>
      <c r="F922" s="1">
        <v>2</v>
      </c>
      <c r="G922" s="12" t="s">
        <v>792</v>
      </c>
      <c r="H922" s="1" t="s">
        <v>792</v>
      </c>
      <c r="I922" s="1" t="s">
        <v>62</v>
      </c>
      <c r="J922" s="30">
        <v>52.5</v>
      </c>
      <c r="K922" s="30">
        <v>21000</v>
      </c>
      <c r="L922" s="31">
        <v>1102500</v>
      </c>
      <c r="M922" s="1" t="s">
        <v>16</v>
      </c>
      <c r="N922" s="1" t="s">
        <v>17</v>
      </c>
      <c r="O922" s="1" t="s">
        <v>2057</v>
      </c>
      <c r="P922" s="1" t="s">
        <v>2056</v>
      </c>
      <c r="Q922" s="1" t="s">
        <v>304</v>
      </c>
      <c r="R922" s="1">
        <f t="shared" si="14"/>
        <v>4</v>
      </c>
      <c r="S922" s="4">
        <f>J922*K922*M922</f>
        <v>88200</v>
      </c>
    </row>
    <row r="923" spans="1:19" ht="43" hidden="1" customHeight="1">
      <c r="A923" s="1" t="s">
        <v>2280</v>
      </c>
      <c r="B923" s="1" t="s">
        <v>379</v>
      </c>
      <c r="C923" s="29">
        <v>45959.6544954282</v>
      </c>
      <c r="D923" s="1" t="s">
        <v>3052</v>
      </c>
      <c r="E923" s="1" t="s">
        <v>3053</v>
      </c>
      <c r="F923" s="1">
        <v>12</v>
      </c>
      <c r="G923" s="12" t="s">
        <v>792</v>
      </c>
      <c r="H923" s="1" t="s">
        <v>792</v>
      </c>
      <c r="I923" s="1" t="s">
        <v>62</v>
      </c>
      <c r="J923" s="30">
        <v>53.5</v>
      </c>
      <c r="K923" s="30">
        <v>21000</v>
      </c>
      <c r="L923" s="31">
        <v>1123500</v>
      </c>
      <c r="M923" s="1" t="s">
        <v>16</v>
      </c>
      <c r="N923" s="1" t="s">
        <v>17</v>
      </c>
      <c r="O923" s="1" t="s">
        <v>2057</v>
      </c>
      <c r="P923" s="1" t="s">
        <v>2056</v>
      </c>
      <c r="Q923" s="1" t="s">
        <v>1578</v>
      </c>
      <c r="R923" s="1">
        <f t="shared" si="14"/>
        <v>4</v>
      </c>
      <c r="S923" s="4">
        <f>J923*K923*M923</f>
        <v>89880</v>
      </c>
    </row>
    <row r="924" spans="1:19" ht="43" hidden="1" customHeight="1">
      <c r="A924" s="1" t="s">
        <v>2280</v>
      </c>
      <c r="B924" s="1" t="s">
        <v>1462</v>
      </c>
      <c r="C924" s="29">
        <v>45928.944135983802</v>
      </c>
      <c r="D924" s="1" t="s">
        <v>3052</v>
      </c>
      <c r="E924" s="1" t="s">
        <v>3053</v>
      </c>
      <c r="F924" s="1">
        <v>35</v>
      </c>
      <c r="G924" s="12" t="s">
        <v>792</v>
      </c>
      <c r="H924" s="1" t="s">
        <v>792</v>
      </c>
      <c r="I924" s="1" t="s">
        <v>62</v>
      </c>
      <c r="J924" s="30">
        <v>134.69999999999999</v>
      </c>
      <c r="K924" s="30">
        <v>21000</v>
      </c>
      <c r="L924" s="31">
        <v>2828700</v>
      </c>
      <c r="M924" s="1" t="s">
        <v>16</v>
      </c>
      <c r="N924" s="1" t="s">
        <v>17</v>
      </c>
      <c r="O924" s="1" t="s">
        <v>2057</v>
      </c>
      <c r="P924" s="1" t="s">
        <v>2056</v>
      </c>
      <c r="Q924" s="1" t="s">
        <v>546</v>
      </c>
      <c r="R924" s="1">
        <f t="shared" si="14"/>
        <v>3</v>
      </c>
      <c r="S924" s="4">
        <f>J924*K924*M924</f>
        <v>226295.99999999997</v>
      </c>
    </row>
    <row r="925" spans="1:19" ht="43" hidden="1" customHeight="1">
      <c r="A925" s="1" t="s">
        <v>2280</v>
      </c>
      <c r="B925" s="1" t="s">
        <v>1133</v>
      </c>
      <c r="C925" s="29">
        <v>45926.710831087999</v>
      </c>
      <c r="D925" s="1" t="s">
        <v>3058</v>
      </c>
      <c r="E925" s="1" t="s">
        <v>3059</v>
      </c>
      <c r="F925" s="1">
        <v>1</v>
      </c>
      <c r="G925" s="12" t="s">
        <v>792</v>
      </c>
      <c r="H925" s="1" t="s">
        <v>792</v>
      </c>
      <c r="I925" s="1" t="s">
        <v>62</v>
      </c>
      <c r="J925" s="30">
        <v>105.6</v>
      </c>
      <c r="K925" s="30">
        <v>21000</v>
      </c>
      <c r="L925" s="31">
        <v>2217600</v>
      </c>
      <c r="M925" s="1" t="s">
        <v>16</v>
      </c>
      <c r="N925" s="1" t="s">
        <v>17</v>
      </c>
      <c r="O925" s="1" t="s">
        <v>2057</v>
      </c>
      <c r="P925" s="1" t="s">
        <v>2056</v>
      </c>
      <c r="Q925" s="1" t="s">
        <v>558</v>
      </c>
      <c r="R925" s="1">
        <f t="shared" si="14"/>
        <v>3</v>
      </c>
      <c r="S925" s="4">
        <f>J925*K925*M925</f>
        <v>177408</v>
      </c>
    </row>
    <row r="926" spans="1:19" ht="43" hidden="1" customHeight="1">
      <c r="A926" s="1" t="s">
        <v>2280</v>
      </c>
      <c r="B926" s="1" t="s">
        <v>1295</v>
      </c>
      <c r="C926" s="29">
        <v>45807.7287575347</v>
      </c>
      <c r="D926" s="1" t="s">
        <v>3052</v>
      </c>
      <c r="E926" s="1" t="s">
        <v>3053</v>
      </c>
      <c r="F926" s="1">
        <v>19</v>
      </c>
      <c r="G926" s="12" t="s">
        <v>792</v>
      </c>
      <c r="H926" s="1" t="s">
        <v>792</v>
      </c>
      <c r="I926" s="1" t="s">
        <v>130</v>
      </c>
      <c r="J926" s="30">
        <v>400</v>
      </c>
      <c r="K926" s="30">
        <v>2500</v>
      </c>
      <c r="L926" s="31">
        <v>1000000</v>
      </c>
      <c r="M926" s="1" t="s">
        <v>16</v>
      </c>
      <c r="N926" s="1" t="s">
        <v>17</v>
      </c>
      <c r="O926" s="1" t="s">
        <v>2057</v>
      </c>
      <c r="P926" s="1" t="s">
        <v>2056</v>
      </c>
      <c r="Q926" s="1" t="s">
        <v>925</v>
      </c>
      <c r="R926" s="1">
        <f t="shared" si="14"/>
        <v>2</v>
      </c>
      <c r="S926" s="4">
        <f>J926*K926*M926</f>
        <v>80000</v>
      </c>
    </row>
    <row r="927" spans="1:19" ht="43" hidden="1" customHeight="1">
      <c r="A927" s="1" t="s">
        <v>2280</v>
      </c>
      <c r="B927" s="1" t="s">
        <v>13</v>
      </c>
      <c r="C927" s="29">
        <v>45776.499996342602</v>
      </c>
      <c r="D927" s="1" t="s">
        <v>3052</v>
      </c>
      <c r="E927" s="1" t="s">
        <v>3053</v>
      </c>
      <c r="F927" s="1">
        <v>15</v>
      </c>
      <c r="G927" s="12" t="s">
        <v>792</v>
      </c>
      <c r="H927" s="1" t="s">
        <v>792</v>
      </c>
      <c r="I927" s="1" t="s">
        <v>62</v>
      </c>
      <c r="J927" s="30">
        <v>608.5</v>
      </c>
      <c r="K927" s="30">
        <v>21000</v>
      </c>
      <c r="L927" s="31">
        <v>12778500</v>
      </c>
      <c r="M927" s="1" t="s">
        <v>16</v>
      </c>
      <c r="N927" s="1" t="s">
        <v>17</v>
      </c>
      <c r="O927" s="1" t="s">
        <v>2057</v>
      </c>
      <c r="P927" s="1" t="s">
        <v>2056</v>
      </c>
      <c r="Q927" s="1" t="s">
        <v>937</v>
      </c>
      <c r="R927" s="1">
        <f t="shared" si="14"/>
        <v>2</v>
      </c>
      <c r="S927" s="4">
        <f>J927*K927*M927</f>
        <v>1022280</v>
      </c>
    </row>
    <row r="928" spans="1:19" ht="43" customHeight="1">
      <c r="A928" s="1" t="s">
        <v>2280</v>
      </c>
      <c r="B928" s="1" t="s">
        <v>153</v>
      </c>
      <c r="C928" s="29">
        <v>45747.668173564802</v>
      </c>
      <c r="D928" s="1" t="s">
        <v>3071</v>
      </c>
      <c r="E928" s="1" t="s">
        <v>3053</v>
      </c>
      <c r="F928" s="1">
        <v>6</v>
      </c>
      <c r="H928" s="1" t="s">
        <v>1989</v>
      </c>
      <c r="I928" s="1" t="s">
        <v>62</v>
      </c>
      <c r="J928" s="30">
        <v>18.2</v>
      </c>
      <c r="K928" s="30">
        <v>35000</v>
      </c>
      <c r="L928" s="31">
        <v>637000</v>
      </c>
      <c r="M928" s="1" t="s">
        <v>16</v>
      </c>
      <c r="N928" s="1" t="s">
        <v>17</v>
      </c>
      <c r="O928" s="1" t="s">
        <v>2057</v>
      </c>
      <c r="P928" s="1" t="s">
        <v>2056</v>
      </c>
      <c r="Q928" s="1" t="s">
        <v>42</v>
      </c>
      <c r="R928" s="1">
        <f t="shared" si="14"/>
        <v>1</v>
      </c>
      <c r="S928" s="4">
        <f>J928*K928*M928</f>
        <v>50960</v>
      </c>
    </row>
    <row r="929" spans="1:19" ht="43" customHeight="1">
      <c r="A929" s="1" t="s">
        <v>2280</v>
      </c>
      <c r="B929" s="1" t="s">
        <v>1294</v>
      </c>
      <c r="C929" s="29">
        <v>45808.709792268499</v>
      </c>
      <c r="D929" s="1" t="s">
        <v>3052</v>
      </c>
      <c r="E929" s="1" t="s">
        <v>3053</v>
      </c>
      <c r="F929" s="1">
        <v>5</v>
      </c>
      <c r="H929" s="1" t="s">
        <v>1871</v>
      </c>
      <c r="I929" s="1" t="s">
        <v>1342</v>
      </c>
      <c r="J929" s="30">
        <v>12</v>
      </c>
      <c r="K929" s="30">
        <v>67000</v>
      </c>
      <c r="L929" s="31">
        <v>804000</v>
      </c>
      <c r="M929" s="1" t="s">
        <v>30</v>
      </c>
      <c r="N929" s="1" t="s">
        <v>17</v>
      </c>
      <c r="O929" s="1" t="s">
        <v>2057</v>
      </c>
      <c r="P929" s="1" t="s">
        <v>2056</v>
      </c>
      <c r="Q929" s="1" t="s">
        <v>36</v>
      </c>
      <c r="R929" s="1">
        <f t="shared" si="14"/>
        <v>2</v>
      </c>
      <c r="S929" s="4">
        <f>J929*K929*M929</f>
        <v>80400</v>
      </c>
    </row>
    <row r="930" spans="1:19" ht="43" customHeight="1">
      <c r="A930" s="1" t="s">
        <v>2280</v>
      </c>
      <c r="B930" s="1" t="s">
        <v>1294</v>
      </c>
      <c r="C930" s="29">
        <v>45808.709792268499</v>
      </c>
      <c r="D930" s="1" t="s">
        <v>3052</v>
      </c>
      <c r="E930" s="1" t="s">
        <v>3053</v>
      </c>
      <c r="F930" s="1">
        <v>8</v>
      </c>
      <c r="H930" s="1" t="s">
        <v>1873</v>
      </c>
      <c r="I930" s="1" t="s">
        <v>1342</v>
      </c>
      <c r="J930" s="30">
        <v>12</v>
      </c>
      <c r="K930" s="30">
        <v>67000</v>
      </c>
      <c r="L930" s="31">
        <v>804000</v>
      </c>
      <c r="M930" s="1" t="s">
        <v>30</v>
      </c>
      <c r="N930" s="1" t="s">
        <v>17</v>
      </c>
      <c r="O930" s="1" t="s">
        <v>2057</v>
      </c>
      <c r="P930" s="1" t="s">
        <v>2056</v>
      </c>
      <c r="Q930" s="1" t="s">
        <v>36</v>
      </c>
      <c r="R930" s="1">
        <f t="shared" si="14"/>
        <v>2</v>
      </c>
      <c r="S930" s="4">
        <f>J930*K930*M930</f>
        <v>80400</v>
      </c>
    </row>
    <row r="931" spans="1:19" ht="43" hidden="1" customHeight="1">
      <c r="A931" s="1" t="s">
        <v>2280</v>
      </c>
      <c r="B931" s="1" t="s">
        <v>379</v>
      </c>
      <c r="C931" s="29">
        <v>45959.6544954282</v>
      </c>
      <c r="D931" s="1" t="s">
        <v>3052</v>
      </c>
      <c r="E931" s="1" t="s">
        <v>3053</v>
      </c>
      <c r="F931" s="1">
        <v>19</v>
      </c>
      <c r="G931" s="12" t="s">
        <v>560</v>
      </c>
      <c r="H931" s="1" t="s">
        <v>560</v>
      </c>
      <c r="I931" s="1" t="s">
        <v>130</v>
      </c>
      <c r="J931" s="30">
        <v>6</v>
      </c>
      <c r="K931" s="30">
        <v>30000</v>
      </c>
      <c r="L931" s="31">
        <v>180000</v>
      </c>
      <c r="M931" s="1" t="s">
        <v>16</v>
      </c>
      <c r="N931" s="1" t="s">
        <v>17</v>
      </c>
      <c r="O931" s="1" t="s">
        <v>2057</v>
      </c>
      <c r="P931" s="1" t="s">
        <v>2056</v>
      </c>
      <c r="Q931" s="1" t="s">
        <v>1578</v>
      </c>
      <c r="R931" s="1">
        <f t="shared" si="14"/>
        <v>4</v>
      </c>
      <c r="S931" s="4">
        <f>J931*K931*M931</f>
        <v>14400</v>
      </c>
    </row>
    <row r="932" spans="1:19" ht="43" hidden="1" customHeight="1">
      <c r="A932" s="1" t="s">
        <v>2280</v>
      </c>
      <c r="B932" s="1" t="s">
        <v>1467</v>
      </c>
      <c r="C932" s="29">
        <v>45928.732318564798</v>
      </c>
      <c r="D932" s="1" t="s">
        <v>3052</v>
      </c>
      <c r="E932" s="1" t="s">
        <v>3053</v>
      </c>
      <c r="F932" s="1">
        <v>21</v>
      </c>
      <c r="G932" s="12" t="s">
        <v>560</v>
      </c>
      <c r="H932" s="1" t="s">
        <v>560</v>
      </c>
      <c r="I932" s="1" t="s">
        <v>130</v>
      </c>
      <c r="J932" s="30">
        <v>1</v>
      </c>
      <c r="K932" s="30">
        <v>45000</v>
      </c>
      <c r="L932" s="31">
        <v>45000</v>
      </c>
      <c r="M932" s="1" t="s">
        <v>16</v>
      </c>
      <c r="N932" s="1" t="s">
        <v>17</v>
      </c>
      <c r="O932" s="1" t="s">
        <v>2057</v>
      </c>
      <c r="P932" s="1" t="s">
        <v>2056</v>
      </c>
      <c r="Q932" s="1" t="s">
        <v>546</v>
      </c>
      <c r="R932" s="1">
        <f t="shared" si="14"/>
        <v>3</v>
      </c>
      <c r="S932" s="4">
        <f>J932*K932*M932</f>
        <v>3600</v>
      </c>
    </row>
    <row r="933" spans="1:19" ht="43" hidden="1" customHeight="1">
      <c r="A933" s="1" t="s">
        <v>2072</v>
      </c>
      <c r="B933" s="1" t="s">
        <v>146</v>
      </c>
      <c r="C933" s="29">
        <v>46020.386763703696</v>
      </c>
      <c r="D933" s="1" t="s">
        <v>3052</v>
      </c>
      <c r="E933" s="1" t="s">
        <v>3053</v>
      </c>
      <c r="F933" s="1">
        <v>31</v>
      </c>
      <c r="G933" s="12" t="s">
        <v>1501</v>
      </c>
      <c r="H933" s="1" t="s">
        <v>1501</v>
      </c>
      <c r="I933" s="1" t="s">
        <v>130</v>
      </c>
      <c r="J933" s="30">
        <v>5</v>
      </c>
      <c r="K933" s="30">
        <v>65000</v>
      </c>
      <c r="L933" s="31">
        <v>325000</v>
      </c>
      <c r="M933" s="1" t="s">
        <v>16</v>
      </c>
      <c r="N933" s="1" t="s">
        <v>17</v>
      </c>
      <c r="O933" s="1" t="s">
        <v>2057</v>
      </c>
      <c r="P933" s="1" t="s">
        <v>2056</v>
      </c>
      <c r="Q933" s="1" t="s">
        <v>275</v>
      </c>
      <c r="R933" s="1">
        <f t="shared" si="14"/>
        <v>4</v>
      </c>
      <c r="S933" s="4">
        <f>J933*K933*M933</f>
        <v>26000</v>
      </c>
    </row>
    <row r="934" spans="1:19" ht="43" hidden="1" customHeight="1">
      <c r="A934" s="1" t="s">
        <v>2280</v>
      </c>
      <c r="B934" s="1" t="s">
        <v>326</v>
      </c>
      <c r="C934" s="29">
        <v>45960.658345080999</v>
      </c>
      <c r="D934" s="1" t="s">
        <v>3052</v>
      </c>
      <c r="E934" s="1" t="s">
        <v>3053</v>
      </c>
      <c r="F934" s="1">
        <v>3</v>
      </c>
      <c r="G934" s="12" t="s">
        <v>570</v>
      </c>
      <c r="H934" s="1" t="s">
        <v>570</v>
      </c>
      <c r="I934" s="1" t="s">
        <v>130</v>
      </c>
      <c r="J934" s="30">
        <v>5</v>
      </c>
      <c r="K934" s="30">
        <v>130000</v>
      </c>
      <c r="L934" s="31">
        <v>650000</v>
      </c>
      <c r="M934" s="1" t="s">
        <v>16</v>
      </c>
      <c r="N934" s="1" t="s">
        <v>17</v>
      </c>
      <c r="O934" s="1" t="s">
        <v>2057</v>
      </c>
      <c r="P934" s="1" t="s">
        <v>2056</v>
      </c>
      <c r="Q934" s="1" t="s">
        <v>533</v>
      </c>
      <c r="R934" s="1">
        <f t="shared" si="14"/>
        <v>4</v>
      </c>
      <c r="S934" s="4">
        <f>J934*K934*M934</f>
        <v>52000</v>
      </c>
    </row>
    <row r="935" spans="1:19" ht="43" hidden="1" customHeight="1">
      <c r="A935" s="1" t="s">
        <v>2072</v>
      </c>
      <c r="B935" s="1" t="s">
        <v>1294</v>
      </c>
      <c r="C935" s="29">
        <v>46021.613942164397</v>
      </c>
      <c r="D935" s="1" t="s">
        <v>3052</v>
      </c>
      <c r="E935" s="1" t="s">
        <v>3053</v>
      </c>
      <c r="F935" s="1">
        <v>48</v>
      </c>
      <c r="G935" s="12" t="s">
        <v>561</v>
      </c>
      <c r="H935" s="1" t="s">
        <v>561</v>
      </c>
      <c r="I935" s="1" t="s">
        <v>130</v>
      </c>
      <c r="J935" s="30">
        <v>20</v>
      </c>
      <c r="K935" s="30">
        <v>65000</v>
      </c>
      <c r="L935" s="31">
        <v>1300000</v>
      </c>
      <c r="M935" s="1" t="s">
        <v>16</v>
      </c>
      <c r="N935" s="1" t="s">
        <v>17</v>
      </c>
      <c r="O935" s="1" t="s">
        <v>2057</v>
      </c>
      <c r="P935" s="1" t="s">
        <v>2056</v>
      </c>
      <c r="Q935" s="1" t="s">
        <v>1474</v>
      </c>
      <c r="R935" s="1">
        <f t="shared" si="14"/>
        <v>4</v>
      </c>
      <c r="S935" s="4">
        <f>J935*K935*M935</f>
        <v>104000</v>
      </c>
    </row>
    <row r="936" spans="1:19" ht="43" customHeight="1">
      <c r="A936" s="1" t="s">
        <v>2280</v>
      </c>
      <c r="B936" s="1" t="s">
        <v>1412</v>
      </c>
      <c r="C936" s="29">
        <v>45898.896986157401</v>
      </c>
      <c r="D936" s="1" t="s">
        <v>3052</v>
      </c>
      <c r="E936" s="1" t="s">
        <v>3053</v>
      </c>
      <c r="F936" s="1">
        <v>19</v>
      </c>
      <c r="H936" s="1" t="s">
        <v>1673</v>
      </c>
      <c r="I936" s="1" t="s">
        <v>130</v>
      </c>
      <c r="J936" s="30">
        <v>4</v>
      </c>
      <c r="K936" s="30">
        <v>4000</v>
      </c>
      <c r="L936" s="31">
        <v>16000</v>
      </c>
      <c r="M936" s="1" t="s">
        <v>16</v>
      </c>
      <c r="N936" s="1" t="s">
        <v>17</v>
      </c>
      <c r="O936" s="1" t="s">
        <v>2057</v>
      </c>
      <c r="P936" s="1" t="s">
        <v>2056</v>
      </c>
      <c r="Q936" s="1" t="s">
        <v>652</v>
      </c>
      <c r="R936" s="1">
        <f t="shared" si="14"/>
        <v>3</v>
      </c>
      <c r="S936" s="4">
        <f>J936*K936*M936</f>
        <v>1280</v>
      </c>
    </row>
    <row r="937" spans="1:19" ht="43" customHeight="1">
      <c r="A937" s="1" t="s">
        <v>2280</v>
      </c>
      <c r="B937" s="1" t="s">
        <v>1412</v>
      </c>
      <c r="C937" s="29">
        <v>45898.896986157401</v>
      </c>
      <c r="D937" s="1" t="s">
        <v>3052</v>
      </c>
      <c r="E937" s="1" t="s">
        <v>3053</v>
      </c>
      <c r="F937" s="1">
        <v>34</v>
      </c>
      <c r="H937" s="1" t="s">
        <v>1673</v>
      </c>
      <c r="I937" s="1" t="s">
        <v>130</v>
      </c>
      <c r="J937" s="30">
        <v>2</v>
      </c>
      <c r="K937" s="30">
        <v>5000</v>
      </c>
      <c r="L937" s="31">
        <v>10000</v>
      </c>
      <c r="M937" s="1" t="s">
        <v>16</v>
      </c>
      <c r="N937" s="1" t="s">
        <v>17</v>
      </c>
      <c r="O937" s="1" t="s">
        <v>2057</v>
      </c>
      <c r="P937" s="1" t="s">
        <v>2056</v>
      </c>
      <c r="Q937" s="1" t="s">
        <v>652</v>
      </c>
      <c r="R937" s="1">
        <f t="shared" si="14"/>
        <v>3</v>
      </c>
      <c r="S937" s="4">
        <f>J937*K937*M937</f>
        <v>800</v>
      </c>
    </row>
    <row r="938" spans="1:19" ht="43" hidden="1" customHeight="1">
      <c r="A938" s="1" t="s">
        <v>2280</v>
      </c>
      <c r="B938" s="1" t="s">
        <v>1420</v>
      </c>
      <c r="C938" s="29">
        <v>45866.7486208681</v>
      </c>
      <c r="D938" s="1" t="s">
        <v>3052</v>
      </c>
      <c r="E938" s="1" t="s">
        <v>3053</v>
      </c>
      <c r="F938" s="1">
        <v>32</v>
      </c>
      <c r="G938" s="12" t="s">
        <v>1283</v>
      </c>
      <c r="H938" s="1" t="s">
        <v>1283</v>
      </c>
      <c r="I938" s="1" t="s">
        <v>130</v>
      </c>
      <c r="J938" s="30">
        <v>2</v>
      </c>
      <c r="K938" s="30">
        <v>30000</v>
      </c>
      <c r="L938" s="31">
        <v>60000</v>
      </c>
      <c r="M938" s="1" t="s">
        <v>16</v>
      </c>
      <c r="N938" s="1" t="s">
        <v>17</v>
      </c>
      <c r="O938" s="1" t="s">
        <v>2057</v>
      </c>
      <c r="P938" s="1" t="s">
        <v>2056</v>
      </c>
      <c r="Q938" s="1" t="s">
        <v>1763</v>
      </c>
      <c r="R938" s="1">
        <f t="shared" si="14"/>
        <v>3</v>
      </c>
      <c r="S938" s="4">
        <f>J938*K938*M938</f>
        <v>4800</v>
      </c>
    </row>
    <row r="939" spans="1:19" ht="43" hidden="1" customHeight="1">
      <c r="A939" s="1" t="s">
        <v>2280</v>
      </c>
      <c r="B939" s="1" t="s">
        <v>1295</v>
      </c>
      <c r="C939" s="29">
        <v>45807.7287575347</v>
      </c>
      <c r="D939" s="1" t="s">
        <v>3052</v>
      </c>
      <c r="E939" s="1" t="s">
        <v>3053</v>
      </c>
      <c r="F939" s="1">
        <v>9</v>
      </c>
      <c r="G939" s="12" t="s">
        <v>1283</v>
      </c>
      <c r="H939" s="1" t="s">
        <v>1283</v>
      </c>
      <c r="I939" s="1" t="s">
        <v>15</v>
      </c>
      <c r="J939" s="30">
        <v>1</v>
      </c>
      <c r="K939" s="30">
        <v>50000</v>
      </c>
      <c r="L939" s="31">
        <v>50000</v>
      </c>
      <c r="M939" s="1" t="s">
        <v>16</v>
      </c>
      <c r="N939" s="1" t="s">
        <v>17</v>
      </c>
      <c r="O939" s="1" t="s">
        <v>2057</v>
      </c>
      <c r="P939" s="1" t="s">
        <v>2056</v>
      </c>
      <c r="Q939" s="1" t="s">
        <v>925</v>
      </c>
      <c r="R939" s="1">
        <f t="shared" si="14"/>
        <v>2</v>
      </c>
      <c r="S939" s="4">
        <f>J939*K939*M939</f>
        <v>4000</v>
      </c>
    </row>
    <row r="940" spans="1:19" ht="43" hidden="1" customHeight="1">
      <c r="A940" s="1" t="s">
        <v>2280</v>
      </c>
      <c r="B940" s="1" t="s">
        <v>1467</v>
      </c>
      <c r="C940" s="29">
        <v>45928.732318564798</v>
      </c>
      <c r="D940" s="1" t="s">
        <v>3052</v>
      </c>
      <c r="E940" s="1" t="s">
        <v>3053</v>
      </c>
      <c r="F940" s="1">
        <v>82</v>
      </c>
      <c r="G940" s="12" t="s">
        <v>1283</v>
      </c>
      <c r="H940" s="1" t="s">
        <v>470</v>
      </c>
      <c r="I940" s="1" t="s">
        <v>130</v>
      </c>
      <c r="J940" s="30">
        <v>4</v>
      </c>
      <c r="K940" s="30">
        <v>35240</v>
      </c>
      <c r="L940" s="31">
        <v>140960</v>
      </c>
      <c r="M940" s="1" t="s">
        <v>16</v>
      </c>
      <c r="N940" s="1" t="s">
        <v>17</v>
      </c>
      <c r="O940" s="1" t="s">
        <v>2057</v>
      </c>
      <c r="P940" s="1" t="s">
        <v>2056</v>
      </c>
      <c r="Q940" s="1" t="s">
        <v>546</v>
      </c>
      <c r="R940" s="1">
        <f t="shared" si="14"/>
        <v>3</v>
      </c>
      <c r="S940" s="4">
        <f>J940*K940*M940</f>
        <v>11276.800000000001</v>
      </c>
    </row>
    <row r="941" spans="1:19" ht="43" hidden="1" customHeight="1">
      <c r="A941" s="1" t="s">
        <v>2280</v>
      </c>
      <c r="B941" s="1" t="s">
        <v>1295</v>
      </c>
      <c r="C941" s="29">
        <v>45807.7287575347</v>
      </c>
      <c r="D941" s="1" t="s">
        <v>3052</v>
      </c>
      <c r="E941" s="1" t="s">
        <v>3053</v>
      </c>
      <c r="F941" s="1">
        <v>3</v>
      </c>
      <c r="G941" s="12" t="s">
        <v>2843</v>
      </c>
      <c r="H941" s="1" t="s">
        <v>1884</v>
      </c>
      <c r="I941" s="1" t="s">
        <v>130</v>
      </c>
      <c r="J941" s="30">
        <v>50</v>
      </c>
      <c r="K941" s="30">
        <v>20000</v>
      </c>
      <c r="L941" s="31">
        <v>1000000</v>
      </c>
      <c r="M941" s="1" t="s">
        <v>16</v>
      </c>
      <c r="N941" s="1" t="s">
        <v>17</v>
      </c>
      <c r="O941" s="1" t="s">
        <v>2057</v>
      </c>
      <c r="P941" s="1" t="s">
        <v>2056</v>
      </c>
      <c r="Q941" s="1" t="s">
        <v>925</v>
      </c>
      <c r="R941" s="1">
        <f t="shared" si="14"/>
        <v>2</v>
      </c>
      <c r="S941" s="4">
        <f>J941*K941*M941</f>
        <v>80000</v>
      </c>
    </row>
    <row r="942" spans="1:19" ht="43" hidden="1" customHeight="1">
      <c r="A942" s="1" t="s">
        <v>2280</v>
      </c>
      <c r="B942" s="1" t="s">
        <v>13</v>
      </c>
      <c r="C942" s="29">
        <v>45776.499996342602</v>
      </c>
      <c r="D942" s="1" t="s">
        <v>3052</v>
      </c>
      <c r="E942" s="1" t="s">
        <v>3053</v>
      </c>
      <c r="F942" s="1">
        <v>16</v>
      </c>
      <c r="G942" s="12" t="s">
        <v>2843</v>
      </c>
      <c r="H942" s="1" t="s">
        <v>1932</v>
      </c>
      <c r="I942" s="1" t="s">
        <v>130</v>
      </c>
      <c r="J942" s="30">
        <v>5</v>
      </c>
      <c r="K942" s="30">
        <v>25000</v>
      </c>
      <c r="L942" s="31">
        <v>125000</v>
      </c>
      <c r="M942" s="1" t="s">
        <v>16</v>
      </c>
      <c r="N942" s="1" t="s">
        <v>17</v>
      </c>
      <c r="O942" s="1" t="s">
        <v>2057</v>
      </c>
      <c r="P942" s="1" t="s">
        <v>2056</v>
      </c>
      <c r="Q942" s="1" t="s">
        <v>937</v>
      </c>
      <c r="R942" s="1">
        <f t="shared" si="14"/>
        <v>2</v>
      </c>
      <c r="S942" s="4">
        <f>J942*K942*M942</f>
        <v>10000</v>
      </c>
    </row>
    <row r="943" spans="1:19" ht="43" hidden="1" customHeight="1">
      <c r="A943" s="1" t="s">
        <v>2280</v>
      </c>
      <c r="B943" s="1" t="s">
        <v>1467</v>
      </c>
      <c r="C943" s="29">
        <v>45928.732318564798</v>
      </c>
      <c r="D943" s="1" t="s">
        <v>3052</v>
      </c>
      <c r="E943" s="1" t="s">
        <v>3053</v>
      </c>
      <c r="F943" s="1">
        <v>36</v>
      </c>
      <c r="G943" s="12" t="s">
        <v>1624</v>
      </c>
      <c r="H943" s="1" t="s">
        <v>1624</v>
      </c>
      <c r="I943" s="1" t="s">
        <v>130</v>
      </c>
      <c r="J943" s="30">
        <v>12</v>
      </c>
      <c r="K943" s="30">
        <v>1814</v>
      </c>
      <c r="L943" s="31">
        <v>21768</v>
      </c>
      <c r="M943" s="1" t="s">
        <v>16</v>
      </c>
      <c r="N943" s="1" t="s">
        <v>17</v>
      </c>
      <c r="O943" s="1" t="s">
        <v>2057</v>
      </c>
      <c r="P943" s="1" t="s">
        <v>2056</v>
      </c>
      <c r="Q943" s="1" t="s">
        <v>546</v>
      </c>
      <c r="R943" s="1">
        <f t="shared" si="14"/>
        <v>3</v>
      </c>
      <c r="S943" s="4">
        <f>J943*K943*M943</f>
        <v>1741.44</v>
      </c>
    </row>
    <row r="944" spans="1:19" ht="43" hidden="1" customHeight="1">
      <c r="A944" s="1" t="s">
        <v>2280</v>
      </c>
      <c r="B944" s="1" t="s">
        <v>1158</v>
      </c>
      <c r="C944" s="29">
        <v>45868.606624756903</v>
      </c>
      <c r="D944" s="1" t="s">
        <v>3052</v>
      </c>
      <c r="E944" s="1" t="s">
        <v>3053</v>
      </c>
      <c r="F944" s="1">
        <v>9</v>
      </c>
      <c r="G944" s="12" t="s">
        <v>1093</v>
      </c>
      <c r="H944" s="1" t="s">
        <v>1093</v>
      </c>
      <c r="I944" s="1" t="s">
        <v>130</v>
      </c>
      <c r="J944" s="30">
        <v>4</v>
      </c>
      <c r="K944" s="30">
        <v>12000</v>
      </c>
      <c r="L944" s="31">
        <v>48000</v>
      </c>
      <c r="M944" s="1" t="s">
        <v>16</v>
      </c>
      <c r="N944" s="1" t="s">
        <v>17</v>
      </c>
      <c r="O944" s="1" t="s">
        <v>2057</v>
      </c>
      <c r="P944" s="1" t="s">
        <v>2056</v>
      </c>
      <c r="Q944" s="1" t="s">
        <v>800</v>
      </c>
      <c r="R944" s="1">
        <f t="shared" si="14"/>
        <v>3</v>
      </c>
      <c r="S944" s="4">
        <f>J944*K944*M944</f>
        <v>3840</v>
      </c>
    </row>
    <row r="945" spans="1:19" ht="43" hidden="1" customHeight="1">
      <c r="A945" s="1" t="s">
        <v>2280</v>
      </c>
      <c r="B945" s="1" t="s">
        <v>1467</v>
      </c>
      <c r="C945" s="29">
        <v>45928.732318564798</v>
      </c>
      <c r="D945" s="1" t="s">
        <v>3052</v>
      </c>
      <c r="E945" s="1" t="s">
        <v>3053</v>
      </c>
      <c r="F945" s="1">
        <v>28</v>
      </c>
      <c r="G945" s="12" t="s">
        <v>1271</v>
      </c>
      <c r="H945" s="1" t="s">
        <v>1271</v>
      </c>
      <c r="I945" s="1" t="s">
        <v>130</v>
      </c>
      <c r="J945" s="30">
        <v>32</v>
      </c>
      <c r="K945" s="30">
        <v>10200</v>
      </c>
      <c r="L945" s="31">
        <v>326400</v>
      </c>
      <c r="M945" s="1" t="s">
        <v>16</v>
      </c>
      <c r="N945" s="1" t="s">
        <v>17</v>
      </c>
      <c r="O945" s="1" t="s">
        <v>2057</v>
      </c>
      <c r="P945" s="1" t="s">
        <v>2056</v>
      </c>
      <c r="Q945" s="1" t="s">
        <v>546</v>
      </c>
      <c r="R945" s="1">
        <f t="shared" si="14"/>
        <v>3</v>
      </c>
      <c r="S945" s="4">
        <f>J945*K945*M945</f>
        <v>26112</v>
      </c>
    </row>
    <row r="946" spans="1:19" ht="43" hidden="1" customHeight="1">
      <c r="A946" s="1" t="s">
        <v>2280</v>
      </c>
      <c r="B946" s="1" t="s">
        <v>1467</v>
      </c>
      <c r="C946" s="29">
        <v>45928.732318564798</v>
      </c>
      <c r="D946" s="1" t="s">
        <v>3052</v>
      </c>
      <c r="E946" s="1" t="s">
        <v>3053</v>
      </c>
      <c r="F946" s="1">
        <v>72</v>
      </c>
      <c r="G946" s="12" t="s">
        <v>1271</v>
      </c>
      <c r="H946" s="1" t="s">
        <v>1271</v>
      </c>
      <c r="I946" s="1" t="s">
        <v>130</v>
      </c>
      <c r="J946" s="30">
        <v>12</v>
      </c>
      <c r="K946" s="30">
        <v>3000</v>
      </c>
      <c r="L946" s="31">
        <v>36000</v>
      </c>
      <c r="M946" s="1" t="s">
        <v>16</v>
      </c>
      <c r="N946" s="1" t="s">
        <v>17</v>
      </c>
      <c r="O946" s="1" t="s">
        <v>2057</v>
      </c>
      <c r="P946" s="1" t="s">
        <v>2056</v>
      </c>
      <c r="Q946" s="1" t="s">
        <v>546</v>
      </c>
      <c r="R946" s="1">
        <f t="shared" si="14"/>
        <v>3</v>
      </c>
      <c r="S946" s="4">
        <f>J946*K946*M946</f>
        <v>2880</v>
      </c>
    </row>
    <row r="947" spans="1:19" ht="43" hidden="1" customHeight="1">
      <c r="A947" s="1" t="s">
        <v>2280</v>
      </c>
      <c r="B947" s="1" t="s">
        <v>1412</v>
      </c>
      <c r="C947" s="29">
        <v>45898.896986157401</v>
      </c>
      <c r="D947" s="1" t="s">
        <v>3052</v>
      </c>
      <c r="E947" s="1" t="s">
        <v>3053</v>
      </c>
      <c r="F947" s="1">
        <v>8</v>
      </c>
      <c r="G947" s="12" t="s">
        <v>1271</v>
      </c>
      <c r="H947" s="1" t="s">
        <v>1271</v>
      </c>
      <c r="I947" s="1" t="s">
        <v>130</v>
      </c>
      <c r="J947" s="30">
        <v>1</v>
      </c>
      <c r="K947" s="30">
        <v>15000</v>
      </c>
      <c r="L947" s="31">
        <v>15000</v>
      </c>
      <c r="M947" s="1" t="s">
        <v>16</v>
      </c>
      <c r="N947" s="1" t="s">
        <v>17</v>
      </c>
      <c r="O947" s="1" t="s">
        <v>2057</v>
      </c>
      <c r="P947" s="1" t="s">
        <v>2056</v>
      </c>
      <c r="Q947" s="1" t="s">
        <v>652</v>
      </c>
      <c r="R947" s="1">
        <f t="shared" si="14"/>
        <v>3</v>
      </c>
      <c r="S947" s="4">
        <f>J947*K947*M947</f>
        <v>1200</v>
      </c>
    </row>
    <row r="948" spans="1:19" ht="43" hidden="1" customHeight="1">
      <c r="A948" s="1" t="s">
        <v>2280</v>
      </c>
      <c r="B948" s="1" t="s">
        <v>1420</v>
      </c>
      <c r="C948" s="29">
        <v>45866.7486208681</v>
      </c>
      <c r="D948" s="1" t="s">
        <v>3052</v>
      </c>
      <c r="E948" s="1" t="s">
        <v>3053</v>
      </c>
      <c r="F948" s="1">
        <v>25</v>
      </c>
      <c r="G948" s="12" t="s">
        <v>1271</v>
      </c>
      <c r="H948" s="1" t="s">
        <v>1271</v>
      </c>
      <c r="I948" s="1" t="s">
        <v>130</v>
      </c>
      <c r="J948" s="30">
        <v>1</v>
      </c>
      <c r="K948" s="30">
        <v>20000</v>
      </c>
      <c r="L948" s="31">
        <v>20000</v>
      </c>
      <c r="M948" s="1" t="s">
        <v>16</v>
      </c>
      <c r="N948" s="1" t="s">
        <v>17</v>
      </c>
      <c r="O948" s="1" t="s">
        <v>2057</v>
      </c>
      <c r="P948" s="1" t="s">
        <v>2056</v>
      </c>
      <c r="Q948" s="1" t="s">
        <v>1763</v>
      </c>
      <c r="R948" s="1">
        <f t="shared" si="14"/>
        <v>3</v>
      </c>
      <c r="S948" s="4">
        <f>J948*K948*M948</f>
        <v>1600</v>
      </c>
    </row>
    <row r="949" spans="1:19" ht="43" hidden="1" customHeight="1">
      <c r="A949" s="1" t="s">
        <v>2280</v>
      </c>
      <c r="B949" s="1" t="s">
        <v>152</v>
      </c>
      <c r="C949" s="29">
        <v>45836.413450243097</v>
      </c>
      <c r="D949" s="1" t="s">
        <v>3052</v>
      </c>
      <c r="E949" s="1" t="s">
        <v>3053</v>
      </c>
      <c r="F949" s="1">
        <v>14</v>
      </c>
      <c r="G949" s="12" t="s">
        <v>1271</v>
      </c>
      <c r="H949" s="1" t="s">
        <v>1271</v>
      </c>
      <c r="I949" s="1" t="s">
        <v>130</v>
      </c>
      <c r="J949" s="30">
        <v>300</v>
      </c>
      <c r="K949" s="30">
        <v>3000</v>
      </c>
      <c r="L949" s="31">
        <v>900000</v>
      </c>
      <c r="M949" s="1" t="s">
        <v>16</v>
      </c>
      <c r="N949" s="1" t="s">
        <v>17</v>
      </c>
      <c r="O949" s="1" t="s">
        <v>2057</v>
      </c>
      <c r="P949" s="1" t="s">
        <v>2056</v>
      </c>
      <c r="Q949" s="1" t="s">
        <v>845</v>
      </c>
      <c r="R949" s="1">
        <f t="shared" si="14"/>
        <v>2</v>
      </c>
      <c r="S949" s="4">
        <f>J949*K949*M949</f>
        <v>72000</v>
      </c>
    </row>
    <row r="950" spans="1:19" ht="43" hidden="1" customHeight="1">
      <c r="A950" s="1" t="s">
        <v>2280</v>
      </c>
      <c r="B950" s="1" t="s">
        <v>1295</v>
      </c>
      <c r="C950" s="29">
        <v>45807.7287575347</v>
      </c>
      <c r="D950" s="1" t="s">
        <v>3052</v>
      </c>
      <c r="E950" s="1" t="s">
        <v>3053</v>
      </c>
      <c r="F950" s="1">
        <v>13</v>
      </c>
      <c r="G950" s="12" t="s">
        <v>1271</v>
      </c>
      <c r="H950" s="1" t="s">
        <v>1271</v>
      </c>
      <c r="I950" s="1" t="s">
        <v>130</v>
      </c>
      <c r="J950" s="30">
        <v>200</v>
      </c>
      <c r="K950" s="30">
        <v>4000</v>
      </c>
      <c r="L950" s="31">
        <v>800000</v>
      </c>
      <c r="M950" s="1" t="s">
        <v>16</v>
      </c>
      <c r="N950" s="1" t="s">
        <v>17</v>
      </c>
      <c r="O950" s="1" t="s">
        <v>2057</v>
      </c>
      <c r="P950" s="1" t="s">
        <v>2056</v>
      </c>
      <c r="Q950" s="1" t="s">
        <v>925</v>
      </c>
      <c r="R950" s="1">
        <f t="shared" si="14"/>
        <v>2</v>
      </c>
      <c r="S950" s="4">
        <f>J950*K950*M950</f>
        <v>64000</v>
      </c>
    </row>
    <row r="951" spans="1:19" ht="43" hidden="1" customHeight="1">
      <c r="A951" s="1" t="s">
        <v>2280</v>
      </c>
      <c r="B951" s="1" t="s">
        <v>305</v>
      </c>
      <c r="C951" s="29">
        <v>45709.705238449103</v>
      </c>
      <c r="D951" s="1" t="s">
        <v>3052</v>
      </c>
      <c r="E951" s="1" t="s">
        <v>3053</v>
      </c>
      <c r="F951" s="1">
        <v>5</v>
      </c>
      <c r="G951" s="12" t="s">
        <v>1271</v>
      </c>
      <c r="H951" s="1" t="s">
        <v>1271</v>
      </c>
      <c r="I951" s="1" t="s">
        <v>130</v>
      </c>
      <c r="J951" s="30">
        <v>300</v>
      </c>
      <c r="K951" s="30">
        <v>2400</v>
      </c>
      <c r="L951" s="31">
        <v>720000</v>
      </c>
      <c r="M951" s="1" t="s">
        <v>16</v>
      </c>
      <c r="N951" s="1" t="s">
        <v>17</v>
      </c>
      <c r="O951" s="1" t="s">
        <v>2057</v>
      </c>
      <c r="P951" s="1" t="s">
        <v>2056</v>
      </c>
      <c r="Q951" s="1" t="s">
        <v>2040</v>
      </c>
      <c r="R951" s="1">
        <f t="shared" si="14"/>
        <v>1</v>
      </c>
      <c r="S951" s="4">
        <f>J951*K951*M951</f>
        <v>57600</v>
      </c>
    </row>
    <row r="952" spans="1:19" ht="43" hidden="1" customHeight="1">
      <c r="A952" s="1" t="s">
        <v>2280</v>
      </c>
      <c r="B952" s="1" t="s">
        <v>1462</v>
      </c>
      <c r="C952" s="29">
        <v>45928.944135983802</v>
      </c>
      <c r="D952" s="1" t="s">
        <v>3052</v>
      </c>
      <c r="E952" s="1" t="s">
        <v>3053</v>
      </c>
      <c r="F952" s="1">
        <v>34</v>
      </c>
      <c r="G952" s="12" t="s">
        <v>952</v>
      </c>
      <c r="H952" s="1" t="s">
        <v>952</v>
      </c>
      <c r="I952" s="1" t="s">
        <v>130</v>
      </c>
      <c r="J952" s="30">
        <v>20</v>
      </c>
      <c r="K952" s="30">
        <v>5000</v>
      </c>
      <c r="L952" s="31">
        <v>100000</v>
      </c>
      <c r="M952" s="1" t="s">
        <v>16</v>
      </c>
      <c r="N952" s="1" t="s">
        <v>17</v>
      </c>
      <c r="O952" s="1" t="s">
        <v>2057</v>
      </c>
      <c r="P952" s="1" t="s">
        <v>2056</v>
      </c>
      <c r="Q952" s="1" t="s">
        <v>546</v>
      </c>
      <c r="R952" s="1">
        <f t="shared" si="14"/>
        <v>3</v>
      </c>
      <c r="S952" s="4">
        <f>J952*K952*M952</f>
        <v>8000</v>
      </c>
    </row>
    <row r="953" spans="1:19" ht="43" hidden="1" customHeight="1">
      <c r="A953" s="1" t="s">
        <v>2280</v>
      </c>
      <c r="B953" s="1" t="s">
        <v>1467</v>
      </c>
      <c r="C953" s="29">
        <v>45928.732318564798</v>
      </c>
      <c r="D953" s="1" t="s">
        <v>3052</v>
      </c>
      <c r="E953" s="1" t="s">
        <v>3053</v>
      </c>
      <c r="F953" s="1">
        <v>67</v>
      </c>
      <c r="G953" s="12" t="s">
        <v>952</v>
      </c>
      <c r="H953" s="1" t="s">
        <v>952</v>
      </c>
      <c r="I953" s="1" t="s">
        <v>130</v>
      </c>
      <c r="J953" s="30">
        <v>10</v>
      </c>
      <c r="K953" s="30">
        <v>13000</v>
      </c>
      <c r="L953" s="31">
        <v>130000</v>
      </c>
      <c r="M953" s="1" t="s">
        <v>16</v>
      </c>
      <c r="N953" s="1" t="s">
        <v>17</v>
      </c>
      <c r="O953" s="1" t="s">
        <v>2057</v>
      </c>
      <c r="P953" s="1" t="s">
        <v>2056</v>
      </c>
      <c r="Q953" s="1" t="s">
        <v>546</v>
      </c>
      <c r="R953" s="1">
        <f t="shared" si="14"/>
        <v>3</v>
      </c>
      <c r="S953" s="4">
        <f>J953*K953*M953</f>
        <v>10400</v>
      </c>
    </row>
    <row r="954" spans="1:19" ht="43" hidden="1" customHeight="1">
      <c r="A954" s="1" t="s">
        <v>2072</v>
      </c>
      <c r="B954" s="1" t="s">
        <v>1294</v>
      </c>
      <c r="C954" s="29">
        <v>46021.613942164397</v>
      </c>
      <c r="D954" s="1" t="s">
        <v>3052</v>
      </c>
      <c r="E954" s="1" t="s">
        <v>3053</v>
      </c>
      <c r="F954" s="1">
        <v>32</v>
      </c>
      <c r="G954" s="12" t="s">
        <v>1483</v>
      </c>
      <c r="H954" s="1" t="s">
        <v>1483</v>
      </c>
      <c r="I954" s="1" t="s">
        <v>130</v>
      </c>
      <c r="J954" s="30">
        <v>30</v>
      </c>
      <c r="K954" s="30">
        <v>15000</v>
      </c>
      <c r="L954" s="31">
        <v>450000</v>
      </c>
      <c r="M954" s="1" t="s">
        <v>16</v>
      </c>
      <c r="N954" s="1" t="s">
        <v>17</v>
      </c>
      <c r="O954" s="1" t="s">
        <v>2057</v>
      </c>
      <c r="P954" s="1" t="s">
        <v>2056</v>
      </c>
      <c r="Q954" s="1" t="s">
        <v>1474</v>
      </c>
      <c r="R954" s="1">
        <f t="shared" si="14"/>
        <v>4</v>
      </c>
      <c r="S954" s="4">
        <f>J954*K954*M954</f>
        <v>36000</v>
      </c>
    </row>
    <row r="955" spans="1:19" ht="43" hidden="1" customHeight="1">
      <c r="A955" s="1" t="s">
        <v>2280</v>
      </c>
      <c r="B955" s="1" t="s">
        <v>1412</v>
      </c>
      <c r="C955" s="29">
        <v>45898.896986157401</v>
      </c>
      <c r="D955" s="1" t="s">
        <v>3052</v>
      </c>
      <c r="E955" s="1" t="s">
        <v>3053</v>
      </c>
      <c r="F955" s="1">
        <v>3</v>
      </c>
      <c r="G955" s="12" t="s">
        <v>1300</v>
      </c>
      <c r="H955" s="1" t="s">
        <v>1661</v>
      </c>
      <c r="I955" s="1" t="s">
        <v>130</v>
      </c>
      <c r="J955" s="30">
        <v>12</v>
      </c>
      <c r="K955" s="30">
        <v>3000</v>
      </c>
      <c r="L955" s="31">
        <v>36000</v>
      </c>
      <c r="M955" s="1" t="s">
        <v>16</v>
      </c>
      <c r="N955" s="1" t="s">
        <v>17</v>
      </c>
      <c r="O955" s="1" t="s">
        <v>2057</v>
      </c>
      <c r="P955" s="1" t="s">
        <v>2056</v>
      </c>
      <c r="Q955" s="1" t="s">
        <v>652</v>
      </c>
      <c r="R955" s="1">
        <f t="shared" si="14"/>
        <v>3</v>
      </c>
      <c r="S955" s="4">
        <f>J955*K955*M955</f>
        <v>2880</v>
      </c>
    </row>
    <row r="956" spans="1:19" ht="43" hidden="1" customHeight="1">
      <c r="A956" s="1" t="s">
        <v>2280</v>
      </c>
      <c r="B956" s="1" t="s">
        <v>1467</v>
      </c>
      <c r="C956" s="29">
        <v>45928.732318564798</v>
      </c>
      <c r="D956" s="1" t="s">
        <v>3052</v>
      </c>
      <c r="E956" s="1" t="s">
        <v>3053</v>
      </c>
      <c r="F956" s="1">
        <v>63</v>
      </c>
      <c r="G956" s="12" t="s">
        <v>1300</v>
      </c>
      <c r="H956" s="1" t="s">
        <v>1300</v>
      </c>
      <c r="I956" s="1" t="s">
        <v>130</v>
      </c>
      <c r="J956" s="30">
        <v>100</v>
      </c>
      <c r="K956" s="30">
        <v>4500</v>
      </c>
      <c r="L956" s="31">
        <v>450000</v>
      </c>
      <c r="M956" s="1" t="s">
        <v>16</v>
      </c>
      <c r="N956" s="1" t="s">
        <v>17</v>
      </c>
      <c r="O956" s="1" t="s">
        <v>2057</v>
      </c>
      <c r="P956" s="1" t="s">
        <v>2056</v>
      </c>
      <c r="Q956" s="1" t="s">
        <v>546</v>
      </c>
      <c r="R956" s="1">
        <f t="shared" si="14"/>
        <v>3</v>
      </c>
      <c r="S956" s="4">
        <f>J956*K956*M956</f>
        <v>36000</v>
      </c>
    </row>
    <row r="957" spans="1:19" ht="43" hidden="1" customHeight="1">
      <c r="A957" s="1" t="s">
        <v>2280</v>
      </c>
      <c r="B957" s="1" t="s">
        <v>152</v>
      </c>
      <c r="C957" s="29">
        <v>45836.413450243097</v>
      </c>
      <c r="D957" s="1" t="s">
        <v>3052</v>
      </c>
      <c r="E957" s="1" t="s">
        <v>3053</v>
      </c>
      <c r="F957" s="1">
        <v>12</v>
      </c>
      <c r="G957" s="12" t="s">
        <v>1300</v>
      </c>
      <c r="H957" s="1" t="s">
        <v>1300</v>
      </c>
      <c r="I957" s="1" t="s">
        <v>130</v>
      </c>
      <c r="J957" s="30">
        <v>5</v>
      </c>
      <c r="K957" s="30">
        <v>20000</v>
      </c>
      <c r="L957" s="31">
        <v>100000</v>
      </c>
      <c r="M957" s="1" t="s">
        <v>16</v>
      </c>
      <c r="N957" s="1" t="s">
        <v>17</v>
      </c>
      <c r="O957" s="1" t="s">
        <v>2057</v>
      </c>
      <c r="P957" s="1" t="s">
        <v>2056</v>
      </c>
      <c r="Q957" s="1" t="s">
        <v>845</v>
      </c>
      <c r="R957" s="1">
        <f t="shared" si="14"/>
        <v>2</v>
      </c>
      <c r="S957" s="4">
        <f>J957*K957*M957</f>
        <v>8000</v>
      </c>
    </row>
    <row r="958" spans="1:19" ht="43" hidden="1" customHeight="1">
      <c r="A958" s="1" t="s">
        <v>2280</v>
      </c>
      <c r="B958" s="1" t="s">
        <v>326</v>
      </c>
      <c r="C958" s="29">
        <v>45960.658345080999</v>
      </c>
      <c r="D958" s="1" t="s">
        <v>3052</v>
      </c>
      <c r="E958" s="1" t="s">
        <v>3053</v>
      </c>
      <c r="F958" s="1">
        <v>20</v>
      </c>
      <c r="G958" s="12" t="s">
        <v>729</v>
      </c>
      <c r="H958" s="1" t="s">
        <v>729</v>
      </c>
      <c r="I958" s="1" t="s">
        <v>130</v>
      </c>
      <c r="J958" s="30">
        <v>4</v>
      </c>
      <c r="K958" s="30">
        <v>36000</v>
      </c>
      <c r="L958" s="31">
        <v>144000</v>
      </c>
      <c r="M958" s="1" t="s">
        <v>16</v>
      </c>
      <c r="N958" s="1" t="s">
        <v>17</v>
      </c>
      <c r="O958" s="1" t="s">
        <v>2057</v>
      </c>
      <c r="P958" s="1" t="s">
        <v>2056</v>
      </c>
      <c r="Q958" s="1" t="s">
        <v>533</v>
      </c>
      <c r="R958" s="1">
        <f t="shared" si="14"/>
        <v>4</v>
      </c>
      <c r="S958" s="4">
        <f>J958*K958*M958</f>
        <v>11520</v>
      </c>
    </row>
    <row r="959" spans="1:19" ht="43" hidden="1" customHeight="1">
      <c r="A959" s="1" t="s">
        <v>2280</v>
      </c>
      <c r="B959" s="1" t="s">
        <v>1462</v>
      </c>
      <c r="C959" s="29">
        <v>45928.944135983802</v>
      </c>
      <c r="D959" s="1" t="s">
        <v>3052</v>
      </c>
      <c r="E959" s="1" t="s">
        <v>3053</v>
      </c>
      <c r="F959" s="1">
        <v>25</v>
      </c>
      <c r="G959" s="12" t="s">
        <v>729</v>
      </c>
      <c r="H959" s="1" t="s">
        <v>729</v>
      </c>
      <c r="I959" s="1" t="s">
        <v>130</v>
      </c>
      <c r="J959" s="30">
        <v>7</v>
      </c>
      <c r="K959" s="30">
        <v>36000</v>
      </c>
      <c r="L959" s="31">
        <v>252000</v>
      </c>
      <c r="M959" s="1" t="s">
        <v>16</v>
      </c>
      <c r="N959" s="1" t="s">
        <v>17</v>
      </c>
      <c r="O959" s="1" t="s">
        <v>2057</v>
      </c>
      <c r="P959" s="1" t="s">
        <v>2056</v>
      </c>
      <c r="Q959" s="1" t="s">
        <v>546</v>
      </c>
      <c r="R959" s="1">
        <f t="shared" si="14"/>
        <v>3</v>
      </c>
      <c r="S959" s="4">
        <f>J959*K959*M959</f>
        <v>20160</v>
      </c>
    </row>
    <row r="960" spans="1:19" ht="43" hidden="1" customHeight="1">
      <c r="A960" s="1" t="s">
        <v>2280</v>
      </c>
      <c r="B960" s="1" t="s">
        <v>1158</v>
      </c>
      <c r="C960" s="29">
        <v>45868.606624756903</v>
      </c>
      <c r="D960" s="1" t="s">
        <v>3052</v>
      </c>
      <c r="E960" s="1" t="s">
        <v>3053</v>
      </c>
      <c r="F960" s="1">
        <v>17</v>
      </c>
      <c r="G960" s="12" t="s">
        <v>729</v>
      </c>
      <c r="H960" s="1" t="s">
        <v>729</v>
      </c>
      <c r="I960" s="1" t="s">
        <v>130</v>
      </c>
      <c r="J960" s="30">
        <v>1</v>
      </c>
      <c r="K960" s="30">
        <v>25000</v>
      </c>
      <c r="L960" s="31">
        <v>25000</v>
      </c>
      <c r="M960" s="1" t="s">
        <v>16</v>
      </c>
      <c r="N960" s="1" t="s">
        <v>17</v>
      </c>
      <c r="O960" s="1" t="s">
        <v>2057</v>
      </c>
      <c r="P960" s="1" t="s">
        <v>2056</v>
      </c>
      <c r="Q960" s="1" t="s">
        <v>800</v>
      </c>
      <c r="R960" s="1">
        <f t="shared" si="14"/>
        <v>3</v>
      </c>
      <c r="S960" s="4">
        <f>J960*K960*M960</f>
        <v>2000</v>
      </c>
    </row>
    <row r="961" spans="1:19" ht="43" hidden="1" customHeight="1">
      <c r="A961" s="1" t="s">
        <v>2280</v>
      </c>
      <c r="B961" s="1" t="s">
        <v>13</v>
      </c>
      <c r="C961" s="29">
        <v>45776.499996342602</v>
      </c>
      <c r="D961" s="1" t="s">
        <v>3052</v>
      </c>
      <c r="E961" s="1" t="s">
        <v>3053</v>
      </c>
      <c r="F961" s="1">
        <v>14</v>
      </c>
      <c r="G961" s="12" t="s">
        <v>2831</v>
      </c>
      <c r="H961" s="1" t="s">
        <v>953</v>
      </c>
      <c r="I961" s="1" t="s">
        <v>15</v>
      </c>
      <c r="J961" s="30">
        <v>50</v>
      </c>
      <c r="K961" s="30">
        <v>20000</v>
      </c>
      <c r="L961" s="31">
        <v>1000000</v>
      </c>
      <c r="M961" s="1" t="s">
        <v>16</v>
      </c>
      <c r="N961" s="1" t="s">
        <v>17</v>
      </c>
      <c r="O961" s="1" t="s">
        <v>2057</v>
      </c>
      <c r="P961" s="1" t="s">
        <v>2056</v>
      </c>
      <c r="Q961" s="1" t="s">
        <v>937</v>
      </c>
      <c r="R961" s="1">
        <f t="shared" si="14"/>
        <v>2</v>
      </c>
      <c r="S961" s="4">
        <f>J961*K961*M961</f>
        <v>80000</v>
      </c>
    </row>
    <row r="962" spans="1:19" ht="43" customHeight="1">
      <c r="A962" s="1" t="s">
        <v>2280</v>
      </c>
      <c r="B962" s="1" t="s">
        <v>13</v>
      </c>
      <c r="C962" s="29">
        <v>45776.499996342602</v>
      </c>
      <c r="D962" s="1" t="s">
        <v>3052</v>
      </c>
      <c r="E962" s="1" t="s">
        <v>3053</v>
      </c>
      <c r="F962" s="1">
        <v>32</v>
      </c>
      <c r="H962" s="1" t="s">
        <v>1945</v>
      </c>
      <c r="I962" s="1" t="s">
        <v>15</v>
      </c>
      <c r="J962" s="30">
        <v>1</v>
      </c>
      <c r="K962" s="30">
        <v>50000</v>
      </c>
      <c r="L962" s="31">
        <v>50000</v>
      </c>
      <c r="M962" s="1" t="s">
        <v>16</v>
      </c>
      <c r="N962" s="1" t="s">
        <v>17</v>
      </c>
      <c r="O962" s="1" t="s">
        <v>2057</v>
      </c>
      <c r="P962" s="1" t="s">
        <v>2056</v>
      </c>
      <c r="Q962" s="1" t="s">
        <v>937</v>
      </c>
      <c r="R962" s="1">
        <f t="shared" si="14"/>
        <v>2</v>
      </c>
      <c r="S962" s="4">
        <f>J962*K962*M962</f>
        <v>4000</v>
      </c>
    </row>
    <row r="963" spans="1:19" ht="43" hidden="1" customHeight="1">
      <c r="A963" s="1" t="s">
        <v>2280</v>
      </c>
      <c r="B963" s="1" t="s">
        <v>1467</v>
      </c>
      <c r="C963" s="29">
        <v>45928.732318564798</v>
      </c>
      <c r="D963" s="1" t="s">
        <v>3052</v>
      </c>
      <c r="E963" s="1" t="s">
        <v>3053</v>
      </c>
      <c r="F963" s="1">
        <v>66</v>
      </c>
      <c r="G963" s="12" t="s">
        <v>1301</v>
      </c>
      <c r="H963" s="1" t="s">
        <v>1301</v>
      </c>
      <c r="I963" s="1" t="s">
        <v>130</v>
      </c>
      <c r="J963" s="30">
        <v>5</v>
      </c>
      <c r="K963" s="30">
        <v>16000</v>
      </c>
      <c r="L963" s="31">
        <v>80000</v>
      </c>
      <c r="M963" s="1" t="s">
        <v>16</v>
      </c>
      <c r="N963" s="1" t="s">
        <v>17</v>
      </c>
      <c r="O963" s="1" t="s">
        <v>2057</v>
      </c>
      <c r="P963" s="1" t="s">
        <v>2056</v>
      </c>
      <c r="Q963" s="1" t="s">
        <v>546</v>
      </c>
      <c r="R963" s="1">
        <f t="shared" ref="R963:R1026" si="15">ROUNDUP(MONTH(Q963)/3,0)</f>
        <v>3</v>
      </c>
      <c r="S963" s="4">
        <f>J963*K963*M963</f>
        <v>6400</v>
      </c>
    </row>
    <row r="964" spans="1:19" ht="43" hidden="1" customHeight="1">
      <c r="A964" s="1" t="s">
        <v>2280</v>
      </c>
      <c r="B964" s="1" t="s">
        <v>1467</v>
      </c>
      <c r="C964" s="29">
        <v>45928.732318564798</v>
      </c>
      <c r="D964" s="1" t="s">
        <v>3052</v>
      </c>
      <c r="E964" s="1" t="s">
        <v>3053</v>
      </c>
      <c r="F964" s="1">
        <v>32</v>
      </c>
      <c r="G964" s="2" t="s">
        <v>484</v>
      </c>
      <c r="H964" s="1" t="s">
        <v>484</v>
      </c>
      <c r="I964" s="1" t="s">
        <v>130</v>
      </c>
      <c r="J964" s="30">
        <v>4</v>
      </c>
      <c r="K964" s="30">
        <v>9071</v>
      </c>
      <c r="L964" s="31">
        <v>36284</v>
      </c>
      <c r="M964" s="1" t="s">
        <v>16</v>
      </c>
      <c r="N964" s="1" t="s">
        <v>17</v>
      </c>
      <c r="O964" s="1" t="s">
        <v>2057</v>
      </c>
      <c r="P964" s="1" t="s">
        <v>2056</v>
      </c>
      <c r="Q964" s="1" t="s">
        <v>546</v>
      </c>
      <c r="R964" s="1">
        <f t="shared" si="15"/>
        <v>3</v>
      </c>
      <c r="S964" s="4">
        <f>J964*K964*M964</f>
        <v>2902.7200000000003</v>
      </c>
    </row>
    <row r="965" spans="1:19" ht="43" hidden="1" customHeight="1">
      <c r="A965" s="1" t="s">
        <v>2280</v>
      </c>
      <c r="B965" s="1" t="s">
        <v>1462</v>
      </c>
      <c r="C965" s="29">
        <v>45928.944135983802</v>
      </c>
      <c r="D965" s="1" t="s">
        <v>3052</v>
      </c>
      <c r="E965" s="1" t="s">
        <v>3053</v>
      </c>
      <c r="F965" s="1">
        <v>26</v>
      </c>
      <c r="G965" s="2" t="s">
        <v>1606</v>
      </c>
      <c r="H965" s="1" t="s">
        <v>1606</v>
      </c>
      <c r="I965" s="1" t="s">
        <v>130</v>
      </c>
      <c r="J965" s="30">
        <v>2</v>
      </c>
      <c r="K965" s="30">
        <v>4000</v>
      </c>
      <c r="L965" s="31">
        <v>8000</v>
      </c>
      <c r="M965" s="1" t="s">
        <v>16</v>
      </c>
      <c r="N965" s="1" t="s">
        <v>17</v>
      </c>
      <c r="O965" s="1" t="s">
        <v>2057</v>
      </c>
      <c r="P965" s="1" t="s">
        <v>2056</v>
      </c>
      <c r="Q965" s="1" t="s">
        <v>546</v>
      </c>
      <c r="R965" s="1">
        <f t="shared" si="15"/>
        <v>3</v>
      </c>
      <c r="S965" s="4">
        <f>J965*K965*M965</f>
        <v>640</v>
      </c>
    </row>
    <row r="966" spans="1:19" ht="43" customHeight="1">
      <c r="A966" s="1" t="s">
        <v>2280</v>
      </c>
      <c r="B966" s="1" t="s">
        <v>1412</v>
      </c>
      <c r="C966" s="29">
        <v>45898.896986157401</v>
      </c>
      <c r="D966" s="1" t="s">
        <v>3052</v>
      </c>
      <c r="E966" s="1" t="s">
        <v>3053</v>
      </c>
      <c r="F966" s="1">
        <v>16</v>
      </c>
      <c r="H966" s="1" t="s">
        <v>1670</v>
      </c>
      <c r="I966" s="1" t="s">
        <v>130</v>
      </c>
      <c r="J966" s="30">
        <v>1</v>
      </c>
      <c r="K966" s="30">
        <v>5000</v>
      </c>
      <c r="L966" s="31">
        <v>5000</v>
      </c>
      <c r="M966" s="1" t="s">
        <v>16</v>
      </c>
      <c r="N966" s="1" t="s">
        <v>17</v>
      </c>
      <c r="O966" s="1" t="s">
        <v>2057</v>
      </c>
      <c r="P966" s="1" t="s">
        <v>2056</v>
      </c>
      <c r="Q966" s="1" t="s">
        <v>652</v>
      </c>
      <c r="R966" s="1">
        <f t="shared" si="15"/>
        <v>3</v>
      </c>
      <c r="S966" s="4">
        <f>J966*K966*M966</f>
        <v>400</v>
      </c>
    </row>
    <row r="967" spans="1:19" ht="43" hidden="1" customHeight="1">
      <c r="A967" s="1" t="s">
        <v>2280</v>
      </c>
      <c r="B967" s="1" t="s">
        <v>1412</v>
      </c>
      <c r="C967" s="29">
        <v>45898.896986157401</v>
      </c>
      <c r="D967" s="1" t="s">
        <v>3052</v>
      </c>
      <c r="E967" s="1" t="s">
        <v>3053</v>
      </c>
      <c r="F967" s="1">
        <v>36</v>
      </c>
      <c r="G967" s="12" t="s">
        <v>1606</v>
      </c>
      <c r="H967" s="1" t="s">
        <v>1689</v>
      </c>
      <c r="I967" s="1" t="s">
        <v>130</v>
      </c>
      <c r="J967" s="30">
        <v>2</v>
      </c>
      <c r="K967" s="30">
        <v>20000</v>
      </c>
      <c r="L967" s="31">
        <v>40000</v>
      </c>
      <c r="M967" s="1" t="s">
        <v>16</v>
      </c>
      <c r="N967" s="1" t="s">
        <v>17</v>
      </c>
      <c r="O967" s="1" t="s">
        <v>2057</v>
      </c>
      <c r="P967" s="1" t="s">
        <v>2056</v>
      </c>
      <c r="Q967" s="1" t="s">
        <v>652</v>
      </c>
      <c r="R967" s="1">
        <f t="shared" si="15"/>
        <v>3</v>
      </c>
      <c r="S967" s="4">
        <f>J967*K967*M967</f>
        <v>3200</v>
      </c>
    </row>
    <row r="968" spans="1:19" ht="43" hidden="1" customHeight="1">
      <c r="A968" s="1" t="s">
        <v>2280</v>
      </c>
      <c r="B968" s="1" t="s">
        <v>13</v>
      </c>
      <c r="C968" s="29">
        <v>45776.499996342602</v>
      </c>
      <c r="D968" s="1" t="s">
        <v>3052</v>
      </c>
      <c r="E968" s="1" t="s">
        <v>3053</v>
      </c>
      <c r="F968" s="1">
        <v>49</v>
      </c>
      <c r="G968" s="12" t="s">
        <v>1606</v>
      </c>
      <c r="H968" s="1" t="s">
        <v>1689</v>
      </c>
      <c r="I968" s="1" t="s">
        <v>15</v>
      </c>
      <c r="J968" s="30">
        <v>10</v>
      </c>
      <c r="K968" s="30">
        <v>15000</v>
      </c>
      <c r="L968" s="31">
        <v>150000</v>
      </c>
      <c r="M968" s="1" t="s">
        <v>16</v>
      </c>
      <c r="N968" s="1" t="s">
        <v>17</v>
      </c>
      <c r="O968" s="1" t="s">
        <v>2057</v>
      </c>
      <c r="P968" s="1" t="s">
        <v>2056</v>
      </c>
      <c r="Q968" s="1" t="s">
        <v>937</v>
      </c>
      <c r="R968" s="1">
        <f t="shared" si="15"/>
        <v>2</v>
      </c>
      <c r="S968" s="4">
        <f>J968*K968*M968</f>
        <v>12000</v>
      </c>
    </row>
    <row r="969" spans="1:19" ht="43" hidden="1" customHeight="1">
      <c r="A969" s="1" t="s">
        <v>2280</v>
      </c>
      <c r="B969" s="1" t="s">
        <v>1467</v>
      </c>
      <c r="C969" s="29">
        <v>45928.732318564798</v>
      </c>
      <c r="D969" s="1" t="s">
        <v>3052</v>
      </c>
      <c r="E969" s="1" t="s">
        <v>3053</v>
      </c>
      <c r="F969" s="1">
        <v>43</v>
      </c>
      <c r="G969" s="12" t="s">
        <v>1626</v>
      </c>
      <c r="H969" s="1" t="s">
        <v>1626</v>
      </c>
      <c r="I969" s="1" t="s">
        <v>130</v>
      </c>
      <c r="J969" s="30">
        <v>5</v>
      </c>
      <c r="K969" s="30">
        <v>2382</v>
      </c>
      <c r="L969" s="31">
        <v>11910</v>
      </c>
      <c r="M969" s="1" t="s">
        <v>16</v>
      </c>
      <c r="N969" s="1" t="s">
        <v>17</v>
      </c>
      <c r="O969" s="1" t="s">
        <v>2057</v>
      </c>
      <c r="P969" s="1" t="s">
        <v>2056</v>
      </c>
      <c r="Q969" s="1" t="s">
        <v>546</v>
      </c>
      <c r="R969" s="1">
        <f t="shared" si="15"/>
        <v>3</v>
      </c>
      <c r="S969" s="4">
        <f>J969*K969*M969</f>
        <v>952.80000000000007</v>
      </c>
    </row>
    <row r="970" spans="1:19" ht="43" hidden="1" customHeight="1">
      <c r="A970" s="1" t="s">
        <v>2280</v>
      </c>
      <c r="B970" s="1" t="s">
        <v>1467</v>
      </c>
      <c r="C970" s="29">
        <v>45928.732318564798</v>
      </c>
      <c r="D970" s="1" t="s">
        <v>3052</v>
      </c>
      <c r="E970" s="1" t="s">
        <v>3053</v>
      </c>
      <c r="F970" s="1">
        <v>71</v>
      </c>
      <c r="G970" s="12" t="s">
        <v>1626</v>
      </c>
      <c r="H970" s="1" t="s">
        <v>1626</v>
      </c>
      <c r="I970" s="1" t="s">
        <v>130</v>
      </c>
      <c r="J970" s="30">
        <v>6</v>
      </c>
      <c r="K970" s="30">
        <v>1800</v>
      </c>
      <c r="L970" s="31">
        <v>10800</v>
      </c>
      <c r="M970" s="1" t="s">
        <v>16</v>
      </c>
      <c r="N970" s="1" t="s">
        <v>17</v>
      </c>
      <c r="O970" s="1" t="s">
        <v>2057</v>
      </c>
      <c r="P970" s="1" t="s">
        <v>2056</v>
      </c>
      <c r="Q970" s="1" t="s">
        <v>546</v>
      </c>
      <c r="R970" s="1">
        <f t="shared" si="15"/>
        <v>3</v>
      </c>
      <c r="S970" s="4">
        <f>J970*K970*M970</f>
        <v>864</v>
      </c>
    </row>
    <row r="971" spans="1:19" ht="43" hidden="1" customHeight="1">
      <c r="A971" s="1" t="s">
        <v>2280</v>
      </c>
      <c r="B971" s="1" t="s">
        <v>1400</v>
      </c>
      <c r="C971" s="29">
        <v>45990.721094398097</v>
      </c>
      <c r="D971" s="1" t="s">
        <v>3052</v>
      </c>
      <c r="E971" s="1" t="s">
        <v>3053</v>
      </c>
      <c r="F971" s="1">
        <v>60</v>
      </c>
      <c r="G971" s="12" t="s">
        <v>2920</v>
      </c>
      <c r="H971" s="1" t="s">
        <v>1086</v>
      </c>
      <c r="I971" s="1" t="s">
        <v>130</v>
      </c>
      <c r="J971" s="30">
        <v>8</v>
      </c>
      <c r="K971" s="30">
        <v>20000</v>
      </c>
      <c r="L971" s="31">
        <v>160000</v>
      </c>
      <c r="M971" s="1" t="s">
        <v>16</v>
      </c>
      <c r="N971" s="1" t="s">
        <v>17</v>
      </c>
      <c r="O971" s="1" t="s">
        <v>2057</v>
      </c>
      <c r="P971" s="1" t="s">
        <v>2056</v>
      </c>
      <c r="Q971" s="1" t="s">
        <v>1531</v>
      </c>
      <c r="R971" s="1">
        <f t="shared" si="15"/>
        <v>4</v>
      </c>
      <c r="S971" s="4">
        <f>J971*K971*M971</f>
        <v>12800</v>
      </c>
    </row>
    <row r="972" spans="1:19" ht="43" hidden="1" customHeight="1">
      <c r="A972" s="1" t="s">
        <v>2280</v>
      </c>
      <c r="B972" s="1" t="s">
        <v>326</v>
      </c>
      <c r="C972" s="29">
        <v>45960.658345080999</v>
      </c>
      <c r="D972" s="1" t="s">
        <v>3052</v>
      </c>
      <c r="E972" s="1" t="s">
        <v>3053</v>
      </c>
      <c r="F972" s="1">
        <v>37</v>
      </c>
      <c r="G972" s="12" t="s">
        <v>1575</v>
      </c>
      <c r="H972" s="1" t="s">
        <v>1575</v>
      </c>
      <c r="I972" s="1" t="s">
        <v>130</v>
      </c>
      <c r="J972" s="30">
        <v>50</v>
      </c>
      <c r="K972" s="30">
        <v>10000</v>
      </c>
      <c r="L972" s="31">
        <v>500000</v>
      </c>
      <c r="M972" s="1" t="s">
        <v>16</v>
      </c>
      <c r="N972" s="1" t="s">
        <v>17</v>
      </c>
      <c r="O972" s="1" t="s">
        <v>2057</v>
      </c>
      <c r="P972" s="1" t="s">
        <v>2056</v>
      </c>
      <c r="Q972" s="1" t="s">
        <v>533</v>
      </c>
      <c r="R972" s="1">
        <f t="shared" si="15"/>
        <v>4</v>
      </c>
      <c r="S972" s="4">
        <f>J972*K972*M972</f>
        <v>40000</v>
      </c>
    </row>
    <row r="973" spans="1:19" ht="43" hidden="1" customHeight="1">
      <c r="A973" s="1" t="s">
        <v>2280</v>
      </c>
      <c r="B973" s="1" t="s">
        <v>379</v>
      </c>
      <c r="C973" s="29">
        <v>45959.6544954282</v>
      </c>
      <c r="D973" s="1" t="s">
        <v>3052</v>
      </c>
      <c r="E973" s="1" t="s">
        <v>3053</v>
      </c>
      <c r="F973" s="1">
        <v>24</v>
      </c>
      <c r="G973" s="12" t="s">
        <v>1575</v>
      </c>
      <c r="H973" s="1" t="s">
        <v>1575</v>
      </c>
      <c r="I973" s="1" t="s">
        <v>1259</v>
      </c>
      <c r="J973" s="30">
        <v>100</v>
      </c>
      <c r="K973" s="30">
        <v>6000</v>
      </c>
      <c r="L973" s="31">
        <v>600000</v>
      </c>
      <c r="M973" s="1" t="s">
        <v>16</v>
      </c>
      <c r="N973" s="1" t="s">
        <v>17</v>
      </c>
      <c r="O973" s="1" t="s">
        <v>2057</v>
      </c>
      <c r="P973" s="1" t="s">
        <v>2056</v>
      </c>
      <c r="Q973" s="1" t="s">
        <v>1578</v>
      </c>
      <c r="R973" s="1">
        <f t="shared" si="15"/>
        <v>4</v>
      </c>
      <c r="S973" s="4">
        <f>J973*K973*M973</f>
        <v>48000</v>
      </c>
    </row>
    <row r="974" spans="1:19" ht="43" hidden="1" customHeight="1">
      <c r="A974" s="1" t="s">
        <v>2280</v>
      </c>
      <c r="B974" s="1" t="s">
        <v>1467</v>
      </c>
      <c r="C974" s="29">
        <v>45928.732318564798</v>
      </c>
      <c r="D974" s="1" t="s">
        <v>3052</v>
      </c>
      <c r="E974" s="1" t="s">
        <v>3053</v>
      </c>
      <c r="F974" s="1">
        <v>23</v>
      </c>
      <c r="G974" s="12" t="s">
        <v>1575</v>
      </c>
      <c r="H974" s="1" t="s">
        <v>1575</v>
      </c>
      <c r="I974" s="1" t="s">
        <v>1259</v>
      </c>
      <c r="J974" s="30">
        <v>100</v>
      </c>
      <c r="K974" s="30">
        <v>6000</v>
      </c>
      <c r="L974" s="31">
        <v>600000</v>
      </c>
      <c r="M974" s="1" t="s">
        <v>16</v>
      </c>
      <c r="N974" s="1" t="s">
        <v>17</v>
      </c>
      <c r="O974" s="1" t="s">
        <v>2057</v>
      </c>
      <c r="P974" s="1" t="s">
        <v>2056</v>
      </c>
      <c r="Q974" s="1" t="s">
        <v>546</v>
      </c>
      <c r="R974" s="1">
        <f t="shared" si="15"/>
        <v>3</v>
      </c>
      <c r="S974" s="4">
        <f>J974*K974*M974</f>
        <v>48000</v>
      </c>
    </row>
    <row r="975" spans="1:19" ht="43" hidden="1" customHeight="1">
      <c r="A975" s="1" t="s">
        <v>2072</v>
      </c>
      <c r="B975" s="1" t="s">
        <v>200</v>
      </c>
      <c r="C975" s="29">
        <v>46011.833056898096</v>
      </c>
      <c r="F975" s="1">
        <v>1</v>
      </c>
      <c r="G975" s="12" t="s">
        <v>1273</v>
      </c>
      <c r="H975" s="1" t="s">
        <v>1273</v>
      </c>
      <c r="I975" s="1" t="s">
        <v>55</v>
      </c>
      <c r="J975" s="30">
        <v>46</v>
      </c>
      <c r="K975" s="30">
        <v>58012</v>
      </c>
      <c r="L975" s="31">
        <v>2668552</v>
      </c>
      <c r="M975" s="1" t="s">
        <v>16</v>
      </c>
      <c r="N975" s="1" t="s">
        <v>17</v>
      </c>
      <c r="O975" s="1" t="s">
        <v>2057</v>
      </c>
      <c r="P975" s="1" t="s">
        <v>2056</v>
      </c>
      <c r="Q975" s="1" t="s">
        <v>1473</v>
      </c>
      <c r="R975" s="1">
        <f t="shared" si="15"/>
        <v>4</v>
      </c>
      <c r="S975" s="4">
        <f>J975*K975*M975</f>
        <v>213484.16</v>
      </c>
    </row>
    <row r="976" spans="1:19" ht="43" hidden="1" customHeight="1">
      <c r="A976" s="1" t="s">
        <v>2072</v>
      </c>
      <c r="B976" s="1" t="s">
        <v>1315</v>
      </c>
      <c r="C976" s="29">
        <v>46013.422500011598</v>
      </c>
      <c r="D976" s="1" t="s">
        <v>3077</v>
      </c>
      <c r="E976" s="1" t="s">
        <v>3078</v>
      </c>
      <c r="F976" s="1">
        <v>7</v>
      </c>
      <c r="G976" s="2" t="s">
        <v>2325</v>
      </c>
      <c r="H976" s="1" t="s">
        <v>1524</v>
      </c>
      <c r="I976" s="1" t="s">
        <v>78</v>
      </c>
      <c r="J976" s="30">
        <v>4</v>
      </c>
      <c r="K976" s="30">
        <v>150000</v>
      </c>
      <c r="L976" s="31">
        <v>600000</v>
      </c>
      <c r="M976" s="1" t="s">
        <v>16</v>
      </c>
      <c r="N976" s="1" t="s">
        <v>17</v>
      </c>
      <c r="O976" s="1" t="s">
        <v>2057</v>
      </c>
      <c r="P976" s="1" t="s">
        <v>2056</v>
      </c>
      <c r="Q976" s="1" t="s">
        <v>1508</v>
      </c>
      <c r="R976" s="1">
        <f t="shared" si="15"/>
        <v>4</v>
      </c>
      <c r="S976" s="4">
        <f>J976*K976*M976</f>
        <v>48000</v>
      </c>
    </row>
    <row r="977" spans="1:19" ht="43" hidden="1" customHeight="1">
      <c r="A977" s="1" t="s">
        <v>2072</v>
      </c>
      <c r="B977" s="1" t="s">
        <v>146</v>
      </c>
      <c r="C977" s="29">
        <v>46020.386763703696</v>
      </c>
      <c r="D977" s="1" t="s">
        <v>3052</v>
      </c>
      <c r="E977" s="1" t="s">
        <v>3053</v>
      </c>
      <c r="F977" s="1">
        <v>20</v>
      </c>
      <c r="G977" s="12" t="s">
        <v>258</v>
      </c>
      <c r="H977" s="1" t="s">
        <v>258</v>
      </c>
      <c r="I977" s="1" t="s">
        <v>1478</v>
      </c>
      <c r="J977" s="30">
        <v>2</v>
      </c>
      <c r="K977" s="30">
        <v>700000</v>
      </c>
      <c r="L977" s="31">
        <v>1400000</v>
      </c>
      <c r="M977" s="1" t="s">
        <v>16</v>
      </c>
      <c r="N977" s="1" t="s">
        <v>17</v>
      </c>
      <c r="O977" s="1" t="s">
        <v>2057</v>
      </c>
      <c r="P977" s="1" t="s">
        <v>2056</v>
      </c>
      <c r="Q977" s="1" t="s">
        <v>275</v>
      </c>
      <c r="R977" s="1">
        <f t="shared" si="15"/>
        <v>4</v>
      </c>
      <c r="S977" s="4">
        <f>J977*K977*M977</f>
        <v>112000</v>
      </c>
    </row>
    <row r="978" spans="1:19" ht="43" hidden="1" customHeight="1">
      <c r="A978" s="1" t="s">
        <v>2280</v>
      </c>
      <c r="B978" s="1" t="s">
        <v>326</v>
      </c>
      <c r="C978" s="29">
        <v>45960.658345080999</v>
      </c>
      <c r="D978" s="1" t="s">
        <v>3052</v>
      </c>
      <c r="E978" s="1" t="s">
        <v>3053</v>
      </c>
      <c r="F978" s="1">
        <v>16</v>
      </c>
      <c r="G978" s="12" t="s">
        <v>1371</v>
      </c>
      <c r="H978" s="1" t="s">
        <v>1371</v>
      </c>
      <c r="I978" s="1" t="s">
        <v>130</v>
      </c>
      <c r="J978" s="30">
        <v>5</v>
      </c>
      <c r="K978" s="30">
        <v>130000</v>
      </c>
      <c r="L978" s="31">
        <v>650000</v>
      </c>
      <c r="M978" s="1" t="s">
        <v>16</v>
      </c>
      <c r="N978" s="1" t="s">
        <v>17</v>
      </c>
      <c r="O978" s="1" t="s">
        <v>2057</v>
      </c>
      <c r="P978" s="1" t="s">
        <v>2056</v>
      </c>
      <c r="Q978" s="1" t="s">
        <v>533</v>
      </c>
      <c r="R978" s="1">
        <f t="shared" si="15"/>
        <v>4</v>
      </c>
      <c r="S978" s="4">
        <f>J978*K978*M978</f>
        <v>52000</v>
      </c>
    </row>
    <row r="979" spans="1:19" ht="43" customHeight="1">
      <c r="A979" s="1" t="s">
        <v>2280</v>
      </c>
      <c r="B979" s="1" t="s">
        <v>1420</v>
      </c>
      <c r="C979" s="29">
        <v>45866.7486208681</v>
      </c>
      <c r="D979" s="1" t="s">
        <v>3052</v>
      </c>
      <c r="E979" s="1" t="s">
        <v>3053</v>
      </c>
      <c r="F979" s="1">
        <v>7</v>
      </c>
      <c r="H979" s="1" t="s">
        <v>1778</v>
      </c>
      <c r="I979" s="1" t="s">
        <v>130</v>
      </c>
      <c r="J979" s="30">
        <v>20</v>
      </c>
      <c r="K979" s="30">
        <v>25000</v>
      </c>
      <c r="L979" s="31">
        <v>500000</v>
      </c>
      <c r="M979" s="1" t="s">
        <v>16</v>
      </c>
      <c r="N979" s="1" t="s">
        <v>17</v>
      </c>
      <c r="O979" s="1" t="s">
        <v>2057</v>
      </c>
      <c r="P979" s="1" t="s">
        <v>2056</v>
      </c>
      <c r="Q979" s="1" t="s">
        <v>1763</v>
      </c>
      <c r="R979" s="1">
        <f t="shared" si="15"/>
        <v>3</v>
      </c>
      <c r="S979" s="4">
        <f>J979*K979*M979</f>
        <v>40000</v>
      </c>
    </row>
    <row r="980" spans="1:19" ht="43" hidden="1" customHeight="1">
      <c r="A980" s="1" t="s">
        <v>2280</v>
      </c>
      <c r="B980" s="1" t="s">
        <v>1295</v>
      </c>
      <c r="C980" s="29">
        <v>45807.7287575347</v>
      </c>
      <c r="D980" s="1" t="s">
        <v>3052</v>
      </c>
      <c r="E980" s="1" t="s">
        <v>3053</v>
      </c>
      <c r="F980" s="1">
        <v>1</v>
      </c>
      <c r="G980" s="12" t="s">
        <v>1828</v>
      </c>
      <c r="H980" s="1" t="s">
        <v>1883</v>
      </c>
      <c r="I980" s="1" t="s">
        <v>15</v>
      </c>
      <c r="J980" s="30">
        <v>30</v>
      </c>
      <c r="K980" s="30">
        <v>25000</v>
      </c>
      <c r="L980" s="31">
        <v>750000</v>
      </c>
      <c r="M980" s="1" t="s">
        <v>16</v>
      </c>
      <c r="N980" s="1" t="s">
        <v>17</v>
      </c>
      <c r="O980" s="1" t="s">
        <v>2057</v>
      </c>
      <c r="P980" s="1" t="s">
        <v>2056</v>
      </c>
      <c r="Q980" s="1" t="s">
        <v>925</v>
      </c>
      <c r="R980" s="1">
        <f t="shared" si="15"/>
        <v>2</v>
      </c>
      <c r="S980" s="4">
        <f>J980*K980*M980</f>
        <v>60000</v>
      </c>
    </row>
    <row r="981" spans="1:19" ht="43" hidden="1" customHeight="1">
      <c r="A981" s="1" t="s">
        <v>2072</v>
      </c>
      <c r="B981" s="1" t="s">
        <v>1294</v>
      </c>
      <c r="C981" s="29">
        <v>46021.613942164397</v>
      </c>
      <c r="D981" s="1" t="s">
        <v>3052</v>
      </c>
      <c r="E981" s="1" t="s">
        <v>3053</v>
      </c>
      <c r="F981" s="1">
        <v>62</v>
      </c>
      <c r="G981" s="12" t="s">
        <v>412</v>
      </c>
      <c r="H981" s="1" t="s">
        <v>412</v>
      </c>
      <c r="I981" s="1" t="s">
        <v>130</v>
      </c>
      <c r="J981" s="30">
        <v>10</v>
      </c>
      <c r="K981" s="30">
        <v>25000</v>
      </c>
      <c r="L981" s="31">
        <v>250000</v>
      </c>
      <c r="M981" s="1" t="s">
        <v>16</v>
      </c>
      <c r="N981" s="1" t="s">
        <v>17</v>
      </c>
      <c r="O981" s="1" t="s">
        <v>2057</v>
      </c>
      <c r="P981" s="1" t="s">
        <v>2056</v>
      </c>
      <c r="Q981" s="1" t="s">
        <v>1474</v>
      </c>
      <c r="R981" s="1">
        <f t="shared" si="15"/>
        <v>4</v>
      </c>
      <c r="S981" s="4">
        <f>J981*K981*M981</f>
        <v>20000</v>
      </c>
    </row>
    <row r="982" spans="1:19" ht="43" hidden="1" customHeight="1">
      <c r="A982" s="1" t="s">
        <v>2072</v>
      </c>
      <c r="B982" s="1" t="s">
        <v>146</v>
      </c>
      <c r="C982" s="29">
        <v>46020.386763703696</v>
      </c>
      <c r="D982" s="1" t="s">
        <v>3052</v>
      </c>
      <c r="E982" s="1" t="s">
        <v>3053</v>
      </c>
      <c r="F982" s="1">
        <v>29</v>
      </c>
      <c r="G982" s="12" t="s">
        <v>412</v>
      </c>
      <c r="H982" s="1" t="s">
        <v>412</v>
      </c>
      <c r="I982" s="1" t="s">
        <v>130</v>
      </c>
      <c r="J982" s="30">
        <v>10</v>
      </c>
      <c r="K982" s="30">
        <v>80000</v>
      </c>
      <c r="L982" s="31">
        <v>800000</v>
      </c>
      <c r="M982" s="1" t="s">
        <v>16</v>
      </c>
      <c r="N982" s="1" t="s">
        <v>17</v>
      </c>
      <c r="O982" s="1" t="s">
        <v>2057</v>
      </c>
      <c r="P982" s="1" t="s">
        <v>2056</v>
      </c>
      <c r="Q982" s="1" t="s">
        <v>275</v>
      </c>
      <c r="R982" s="1">
        <f t="shared" si="15"/>
        <v>4</v>
      </c>
      <c r="S982" s="4">
        <f>J982*K982*M982</f>
        <v>64000</v>
      </c>
    </row>
    <row r="983" spans="1:19" ht="43" hidden="1" customHeight="1">
      <c r="A983" s="1" t="s">
        <v>2280</v>
      </c>
      <c r="B983" s="1" t="s">
        <v>1400</v>
      </c>
      <c r="C983" s="29">
        <v>45990.721094398097</v>
      </c>
      <c r="D983" s="1" t="s">
        <v>3052</v>
      </c>
      <c r="E983" s="1" t="s">
        <v>3053</v>
      </c>
      <c r="F983" s="1">
        <v>35</v>
      </c>
      <c r="G983" s="12" t="s">
        <v>412</v>
      </c>
      <c r="H983" s="1" t="s">
        <v>412</v>
      </c>
      <c r="I983" s="1" t="s">
        <v>130</v>
      </c>
      <c r="J983" s="30">
        <v>20</v>
      </c>
      <c r="K983" s="30">
        <v>38000</v>
      </c>
      <c r="L983" s="31">
        <v>760000</v>
      </c>
      <c r="M983" s="1" t="s">
        <v>16</v>
      </c>
      <c r="N983" s="1" t="s">
        <v>17</v>
      </c>
      <c r="O983" s="1" t="s">
        <v>2057</v>
      </c>
      <c r="P983" s="1" t="s">
        <v>2056</v>
      </c>
      <c r="Q983" s="1" t="s">
        <v>1531</v>
      </c>
      <c r="R983" s="1">
        <f t="shared" si="15"/>
        <v>4</v>
      </c>
      <c r="S983" s="4">
        <f>J983*K983*M983</f>
        <v>60800</v>
      </c>
    </row>
    <row r="984" spans="1:19" ht="43" hidden="1" customHeight="1">
      <c r="A984" s="1" t="s">
        <v>2280</v>
      </c>
      <c r="B984" s="1" t="s">
        <v>1402</v>
      </c>
      <c r="C984" s="29">
        <v>45990.382403298601</v>
      </c>
      <c r="D984" s="1" t="s">
        <v>3052</v>
      </c>
      <c r="E984" s="1" t="s">
        <v>3053</v>
      </c>
      <c r="F984" s="1">
        <v>28</v>
      </c>
      <c r="G984" s="12" t="s">
        <v>412</v>
      </c>
      <c r="H984" s="1" t="s">
        <v>412</v>
      </c>
      <c r="I984" s="1" t="s">
        <v>130</v>
      </c>
      <c r="J984" s="30">
        <v>10</v>
      </c>
      <c r="K984" s="30">
        <v>75000</v>
      </c>
      <c r="L984" s="31">
        <v>750000</v>
      </c>
      <c r="M984" s="1" t="s">
        <v>16</v>
      </c>
      <c r="N984" s="1" t="s">
        <v>17</v>
      </c>
      <c r="O984" s="1" t="s">
        <v>2057</v>
      </c>
      <c r="P984" s="1" t="s">
        <v>2056</v>
      </c>
      <c r="Q984" s="1" t="s">
        <v>1531</v>
      </c>
      <c r="R984" s="1">
        <f t="shared" si="15"/>
        <v>4</v>
      </c>
      <c r="S984" s="4">
        <f>J984*K984*M984</f>
        <v>60000</v>
      </c>
    </row>
    <row r="985" spans="1:19" ht="43" hidden="1" customHeight="1">
      <c r="A985" s="1" t="s">
        <v>2072</v>
      </c>
      <c r="B985" s="1" t="s">
        <v>1294</v>
      </c>
      <c r="C985" s="29">
        <v>46021.613942164397</v>
      </c>
      <c r="D985" s="1" t="s">
        <v>3052</v>
      </c>
      <c r="E985" s="1" t="s">
        <v>3053</v>
      </c>
      <c r="F985" s="1">
        <v>72</v>
      </c>
      <c r="G985" s="12" t="s">
        <v>411</v>
      </c>
      <c r="H985" s="1" t="s">
        <v>411</v>
      </c>
      <c r="I985" s="1" t="s">
        <v>130</v>
      </c>
      <c r="J985" s="30">
        <v>20</v>
      </c>
      <c r="K985" s="30">
        <v>25000</v>
      </c>
      <c r="L985" s="31">
        <v>500000</v>
      </c>
      <c r="M985" s="1" t="s">
        <v>16</v>
      </c>
      <c r="N985" s="1" t="s">
        <v>17</v>
      </c>
      <c r="O985" s="1" t="s">
        <v>2057</v>
      </c>
      <c r="P985" s="1" t="s">
        <v>2056</v>
      </c>
      <c r="Q985" s="1" t="s">
        <v>1474</v>
      </c>
      <c r="R985" s="1">
        <f t="shared" si="15"/>
        <v>4</v>
      </c>
      <c r="S985" s="4">
        <f>J985*K985*M985</f>
        <v>40000</v>
      </c>
    </row>
    <row r="986" spans="1:19" ht="43" hidden="1" customHeight="1">
      <c r="A986" s="1" t="s">
        <v>2072</v>
      </c>
      <c r="B986" s="1" t="s">
        <v>146</v>
      </c>
      <c r="C986" s="29">
        <v>46020.386763703696</v>
      </c>
      <c r="D986" s="1" t="s">
        <v>3052</v>
      </c>
      <c r="E986" s="1" t="s">
        <v>3053</v>
      </c>
      <c r="F986" s="1">
        <v>28</v>
      </c>
      <c r="G986" s="12" t="s">
        <v>411</v>
      </c>
      <c r="H986" s="1" t="s">
        <v>411</v>
      </c>
      <c r="I986" s="1" t="s">
        <v>130</v>
      </c>
      <c r="J986" s="30">
        <v>10</v>
      </c>
      <c r="K986" s="30">
        <v>80000</v>
      </c>
      <c r="L986" s="31">
        <v>800000</v>
      </c>
      <c r="M986" s="1" t="s">
        <v>16</v>
      </c>
      <c r="N986" s="1" t="s">
        <v>17</v>
      </c>
      <c r="O986" s="1" t="s">
        <v>2057</v>
      </c>
      <c r="P986" s="1" t="s">
        <v>2056</v>
      </c>
      <c r="Q986" s="1" t="s">
        <v>275</v>
      </c>
      <c r="R986" s="1">
        <f t="shared" si="15"/>
        <v>4</v>
      </c>
      <c r="S986" s="4">
        <f>J986*K986*M986</f>
        <v>64000</v>
      </c>
    </row>
    <row r="987" spans="1:19" ht="43" hidden="1" customHeight="1">
      <c r="A987" s="1" t="s">
        <v>2280</v>
      </c>
      <c r="B987" s="1" t="s">
        <v>1402</v>
      </c>
      <c r="C987" s="29">
        <v>45990.382403298601</v>
      </c>
      <c r="D987" s="1" t="s">
        <v>3052</v>
      </c>
      <c r="E987" s="1" t="s">
        <v>3053</v>
      </c>
      <c r="F987" s="1">
        <v>2</v>
      </c>
      <c r="G987" s="12" t="s">
        <v>411</v>
      </c>
      <c r="H987" s="1" t="s">
        <v>411</v>
      </c>
      <c r="I987" s="1" t="s">
        <v>130</v>
      </c>
      <c r="J987" s="30">
        <v>10</v>
      </c>
      <c r="K987" s="30">
        <v>80000</v>
      </c>
      <c r="L987" s="31">
        <v>800000</v>
      </c>
      <c r="M987" s="1" t="s">
        <v>16</v>
      </c>
      <c r="N987" s="1" t="s">
        <v>17</v>
      </c>
      <c r="O987" s="1" t="s">
        <v>2057</v>
      </c>
      <c r="P987" s="1" t="s">
        <v>2056</v>
      </c>
      <c r="Q987" s="1" t="s">
        <v>1531</v>
      </c>
      <c r="R987" s="1">
        <f t="shared" si="15"/>
        <v>4</v>
      </c>
      <c r="S987" s="4">
        <f>J987*K987*M987</f>
        <v>64000</v>
      </c>
    </row>
    <row r="988" spans="1:19" ht="43" customHeight="1">
      <c r="A988" s="1" t="s">
        <v>2280</v>
      </c>
      <c r="B988" s="1" t="s">
        <v>1315</v>
      </c>
      <c r="C988" s="29">
        <v>45747.658940451402</v>
      </c>
      <c r="D988" s="1" t="s">
        <v>3071</v>
      </c>
      <c r="E988" s="1" t="s">
        <v>3053</v>
      </c>
      <c r="F988" s="1">
        <v>15</v>
      </c>
      <c r="H988" s="1" t="s">
        <v>2009</v>
      </c>
      <c r="I988" s="1" t="s">
        <v>1279</v>
      </c>
      <c r="J988" s="30">
        <v>6</v>
      </c>
      <c r="K988" s="30">
        <v>40000</v>
      </c>
      <c r="L988" s="31">
        <v>240000</v>
      </c>
      <c r="M988" s="1" t="s">
        <v>30</v>
      </c>
      <c r="N988" s="1" t="s">
        <v>17</v>
      </c>
      <c r="O988" s="1" t="s">
        <v>2057</v>
      </c>
      <c r="P988" s="1" t="s">
        <v>2056</v>
      </c>
      <c r="Q988" s="1" t="s">
        <v>42</v>
      </c>
      <c r="R988" s="1">
        <f t="shared" si="15"/>
        <v>1</v>
      </c>
      <c r="S988" s="4">
        <f>J988*K988*M988</f>
        <v>24000</v>
      </c>
    </row>
    <row r="989" spans="1:19" ht="43" customHeight="1">
      <c r="A989" s="1" t="s">
        <v>2280</v>
      </c>
      <c r="B989" s="1" t="s">
        <v>1412</v>
      </c>
      <c r="C989" s="29">
        <v>45898.896986157401</v>
      </c>
      <c r="D989" s="1" t="s">
        <v>3052</v>
      </c>
      <c r="E989" s="1" t="s">
        <v>3053</v>
      </c>
      <c r="F989" s="1">
        <v>2</v>
      </c>
      <c r="H989" s="1" t="s">
        <v>1660</v>
      </c>
      <c r="I989" s="1" t="s">
        <v>130</v>
      </c>
      <c r="J989" s="30">
        <v>40</v>
      </c>
      <c r="K989" s="30">
        <v>25000</v>
      </c>
      <c r="L989" s="31">
        <v>1000000</v>
      </c>
      <c r="M989" s="1" t="s">
        <v>16</v>
      </c>
      <c r="N989" s="1" t="s">
        <v>17</v>
      </c>
      <c r="O989" s="1" t="s">
        <v>2057</v>
      </c>
      <c r="P989" s="1" t="s">
        <v>2056</v>
      </c>
      <c r="Q989" s="1" t="s">
        <v>652</v>
      </c>
      <c r="R989" s="1">
        <f t="shared" si="15"/>
        <v>3</v>
      </c>
      <c r="S989" s="4">
        <f>J989*K989*M989</f>
        <v>80000</v>
      </c>
    </row>
    <row r="990" spans="1:19" ht="43" hidden="1" customHeight="1">
      <c r="A990" s="1" t="s">
        <v>2280</v>
      </c>
      <c r="B990" s="1" t="s">
        <v>1412</v>
      </c>
      <c r="C990" s="29">
        <v>45898.896986157401</v>
      </c>
      <c r="D990" s="1" t="s">
        <v>3052</v>
      </c>
      <c r="E990" s="1" t="s">
        <v>3053</v>
      </c>
      <c r="F990" s="1">
        <v>44</v>
      </c>
      <c r="G990" s="12" t="s">
        <v>994</v>
      </c>
      <c r="H990" s="1" t="s">
        <v>994</v>
      </c>
      <c r="I990" s="1" t="s">
        <v>130</v>
      </c>
      <c r="J990" s="30">
        <v>30</v>
      </c>
      <c r="K990" s="30">
        <v>25000</v>
      </c>
      <c r="L990" s="31">
        <v>750000</v>
      </c>
      <c r="M990" s="1" t="s">
        <v>16</v>
      </c>
      <c r="N990" s="1" t="s">
        <v>17</v>
      </c>
      <c r="O990" s="1" t="s">
        <v>2057</v>
      </c>
      <c r="P990" s="1" t="s">
        <v>2056</v>
      </c>
      <c r="Q990" s="1" t="s">
        <v>652</v>
      </c>
      <c r="R990" s="1">
        <f t="shared" si="15"/>
        <v>3</v>
      </c>
      <c r="S990" s="4">
        <f>J990*K990*M990</f>
        <v>60000</v>
      </c>
    </row>
    <row r="991" spans="1:19" ht="43" hidden="1" customHeight="1">
      <c r="A991" s="1" t="s">
        <v>2280</v>
      </c>
      <c r="B991" s="1" t="s">
        <v>120</v>
      </c>
      <c r="C991" s="29">
        <v>45838.621748888901</v>
      </c>
      <c r="D991" s="1" t="s">
        <v>3052</v>
      </c>
      <c r="E991" s="1" t="s">
        <v>3053</v>
      </c>
      <c r="F991" s="1">
        <v>35</v>
      </c>
      <c r="G991" s="12" t="s">
        <v>994</v>
      </c>
      <c r="H991" s="1" t="s">
        <v>994</v>
      </c>
      <c r="I991" s="1" t="s">
        <v>130</v>
      </c>
      <c r="J991" s="30">
        <v>10</v>
      </c>
      <c r="K991" s="30">
        <v>28000</v>
      </c>
      <c r="L991" s="31">
        <v>280000</v>
      </c>
      <c r="M991" s="1" t="s">
        <v>16</v>
      </c>
      <c r="N991" s="1" t="s">
        <v>17</v>
      </c>
      <c r="O991" s="1" t="s">
        <v>2057</v>
      </c>
      <c r="P991" s="1" t="s">
        <v>2056</v>
      </c>
      <c r="Q991" s="1" t="s">
        <v>828</v>
      </c>
      <c r="R991" s="1">
        <f t="shared" si="15"/>
        <v>2</v>
      </c>
      <c r="S991" s="4">
        <f>J991*K991*M991</f>
        <v>22400</v>
      </c>
    </row>
    <row r="992" spans="1:19" ht="43" hidden="1" customHeight="1">
      <c r="A992" s="1" t="s">
        <v>2280</v>
      </c>
      <c r="B992" s="1" t="s">
        <v>13</v>
      </c>
      <c r="C992" s="29">
        <v>45776.499996342602</v>
      </c>
      <c r="D992" s="1" t="s">
        <v>3052</v>
      </c>
      <c r="E992" s="1" t="s">
        <v>3053</v>
      </c>
      <c r="F992" s="1">
        <v>10</v>
      </c>
      <c r="G992" s="12" t="s">
        <v>994</v>
      </c>
      <c r="H992" s="1" t="s">
        <v>994</v>
      </c>
      <c r="I992" s="1" t="s">
        <v>15</v>
      </c>
      <c r="J992" s="30">
        <v>6</v>
      </c>
      <c r="K992" s="30">
        <v>35000</v>
      </c>
      <c r="L992" s="31">
        <v>210000</v>
      </c>
      <c r="M992" s="1" t="s">
        <v>16</v>
      </c>
      <c r="N992" s="1" t="s">
        <v>17</v>
      </c>
      <c r="O992" s="1" t="s">
        <v>2057</v>
      </c>
      <c r="P992" s="1" t="s">
        <v>2056</v>
      </c>
      <c r="Q992" s="1" t="s">
        <v>937</v>
      </c>
      <c r="R992" s="1">
        <f t="shared" si="15"/>
        <v>2</v>
      </c>
      <c r="S992" s="4">
        <f>J992*K992*M992</f>
        <v>16800</v>
      </c>
    </row>
    <row r="993" spans="1:19" ht="43" customHeight="1">
      <c r="A993" s="1" t="s">
        <v>2280</v>
      </c>
      <c r="B993" s="1" t="s">
        <v>13</v>
      </c>
      <c r="C993" s="29">
        <v>45776.499996342602</v>
      </c>
      <c r="D993" s="1" t="s">
        <v>3052</v>
      </c>
      <c r="E993" s="1" t="s">
        <v>3053</v>
      </c>
      <c r="F993" s="1">
        <v>33</v>
      </c>
      <c r="H993" s="1" t="s">
        <v>1946</v>
      </c>
      <c r="I993" s="1" t="s">
        <v>71</v>
      </c>
      <c r="J993" s="30">
        <v>90</v>
      </c>
      <c r="K993" s="30">
        <v>8000</v>
      </c>
      <c r="L993" s="31">
        <v>720000</v>
      </c>
      <c r="M993" s="1" t="s">
        <v>16</v>
      </c>
      <c r="N993" s="1" t="s">
        <v>17</v>
      </c>
      <c r="O993" s="1" t="s">
        <v>2057</v>
      </c>
      <c r="P993" s="1" t="s">
        <v>2056</v>
      </c>
      <c r="Q993" s="1" t="s">
        <v>937</v>
      </c>
      <c r="R993" s="1">
        <f t="shared" si="15"/>
        <v>2</v>
      </c>
      <c r="S993" s="4">
        <f>J993*K993*M993</f>
        <v>57600</v>
      </c>
    </row>
    <row r="994" spans="1:19" ht="43" hidden="1" customHeight="1">
      <c r="A994" s="1" t="s">
        <v>2280</v>
      </c>
      <c r="B994" s="1" t="s">
        <v>1315</v>
      </c>
      <c r="C994" s="29">
        <v>45747.658940451402</v>
      </c>
      <c r="D994" s="1" t="s">
        <v>3071</v>
      </c>
      <c r="E994" s="1" t="s">
        <v>3053</v>
      </c>
      <c r="F994" s="1">
        <v>29</v>
      </c>
      <c r="G994" s="12" t="s">
        <v>1150</v>
      </c>
      <c r="H994" s="1" t="s">
        <v>2022</v>
      </c>
      <c r="I994" s="1" t="s">
        <v>71</v>
      </c>
      <c r="J994" s="30">
        <v>116</v>
      </c>
      <c r="K994" s="30">
        <v>18000</v>
      </c>
      <c r="L994" s="31">
        <v>2088000</v>
      </c>
      <c r="M994" s="1" t="s">
        <v>30</v>
      </c>
      <c r="N994" s="1" t="s">
        <v>17</v>
      </c>
      <c r="O994" s="1" t="s">
        <v>2057</v>
      </c>
      <c r="P994" s="1" t="s">
        <v>2056</v>
      </c>
      <c r="Q994" s="1" t="s">
        <v>42</v>
      </c>
      <c r="R994" s="1">
        <f t="shared" si="15"/>
        <v>1</v>
      </c>
      <c r="S994" s="4">
        <f>J994*K994*M994</f>
        <v>208800</v>
      </c>
    </row>
    <row r="995" spans="1:19" ht="43" customHeight="1">
      <c r="A995" s="1" t="s">
        <v>2280</v>
      </c>
      <c r="B995" s="1" t="s">
        <v>1421</v>
      </c>
      <c r="C995" s="29">
        <v>45864.4410266782</v>
      </c>
      <c r="D995" s="1" t="s">
        <v>3058</v>
      </c>
      <c r="E995" s="1" t="s">
        <v>3059</v>
      </c>
      <c r="F995" s="1">
        <v>9</v>
      </c>
      <c r="H995" s="1" t="s">
        <v>1789</v>
      </c>
      <c r="I995" s="1" t="s">
        <v>62</v>
      </c>
      <c r="J995" s="30">
        <v>362</v>
      </c>
      <c r="K995" s="30">
        <v>18636.36</v>
      </c>
      <c r="L995" s="31">
        <v>6746362</v>
      </c>
      <c r="M995" s="1" t="s">
        <v>30</v>
      </c>
      <c r="N995" s="1" t="s">
        <v>17</v>
      </c>
      <c r="O995" s="1" t="s">
        <v>2057</v>
      </c>
      <c r="P995" s="1" t="s">
        <v>2056</v>
      </c>
      <c r="Q995" s="1" t="s">
        <v>1785</v>
      </c>
      <c r="R995" s="1">
        <f t="shared" si="15"/>
        <v>3</v>
      </c>
      <c r="S995" s="4">
        <f>J995*K995*M995</f>
        <v>674636.23200000008</v>
      </c>
    </row>
    <row r="996" spans="1:19" ht="43" hidden="1" customHeight="1">
      <c r="A996" s="1" t="s">
        <v>2072</v>
      </c>
      <c r="B996" s="1" t="s">
        <v>1244</v>
      </c>
      <c r="C996" s="29">
        <v>46019.562769004602</v>
      </c>
      <c r="F996" s="1">
        <v>1</v>
      </c>
      <c r="G996" s="12" t="s">
        <v>1278</v>
      </c>
      <c r="H996" s="1" t="s">
        <v>1278</v>
      </c>
      <c r="I996" s="1" t="s">
        <v>511</v>
      </c>
      <c r="J996" s="30">
        <v>8</v>
      </c>
      <c r="K996" s="30">
        <v>13888.9</v>
      </c>
      <c r="L996" s="31">
        <v>111111</v>
      </c>
      <c r="M996" s="1" t="s">
        <v>16</v>
      </c>
      <c r="N996" s="1" t="s">
        <v>17</v>
      </c>
      <c r="O996" s="1" t="s">
        <v>2057</v>
      </c>
      <c r="P996" s="1" t="s">
        <v>2056</v>
      </c>
      <c r="Q996" s="1" t="s">
        <v>260</v>
      </c>
      <c r="R996" s="1">
        <f t="shared" si="15"/>
        <v>4</v>
      </c>
      <c r="S996" s="4">
        <f>J996*K996*M996</f>
        <v>8888.8960000000006</v>
      </c>
    </row>
    <row r="997" spans="1:19" ht="43" hidden="1" customHeight="1">
      <c r="A997" s="1" t="s">
        <v>2280</v>
      </c>
      <c r="B997" s="1" t="s">
        <v>1400</v>
      </c>
      <c r="C997" s="29">
        <v>45990.721094398097</v>
      </c>
      <c r="D997" s="1" t="s">
        <v>3052</v>
      </c>
      <c r="E997" s="1" t="s">
        <v>3053</v>
      </c>
      <c r="F997" s="1">
        <v>55</v>
      </c>
      <c r="G997" s="12" t="s">
        <v>1278</v>
      </c>
      <c r="H997" s="1" t="s">
        <v>1278</v>
      </c>
      <c r="I997" s="1" t="s">
        <v>638</v>
      </c>
      <c r="J997" s="30">
        <v>10</v>
      </c>
      <c r="K997" s="30">
        <v>40000</v>
      </c>
      <c r="L997" s="31">
        <v>400000</v>
      </c>
      <c r="M997" s="1" t="s">
        <v>16</v>
      </c>
      <c r="N997" s="1" t="s">
        <v>17</v>
      </c>
      <c r="O997" s="1" t="s">
        <v>2057</v>
      </c>
      <c r="P997" s="1" t="s">
        <v>2056</v>
      </c>
      <c r="Q997" s="1" t="s">
        <v>1531</v>
      </c>
      <c r="R997" s="1">
        <f t="shared" si="15"/>
        <v>4</v>
      </c>
      <c r="S997" s="4">
        <f>J997*K997*M997</f>
        <v>32000</v>
      </c>
    </row>
    <row r="998" spans="1:19" ht="43" hidden="1" customHeight="1">
      <c r="A998" s="1" t="s">
        <v>2280</v>
      </c>
      <c r="B998" s="1" t="s">
        <v>1467</v>
      </c>
      <c r="C998" s="29">
        <v>45928.732318564798</v>
      </c>
      <c r="D998" s="1" t="s">
        <v>3052</v>
      </c>
      <c r="E998" s="1" t="s">
        <v>3053</v>
      </c>
      <c r="F998" s="1">
        <v>44</v>
      </c>
      <c r="G998" s="12" t="s">
        <v>1278</v>
      </c>
      <c r="H998" s="1" t="s">
        <v>1278</v>
      </c>
      <c r="I998" s="1" t="s">
        <v>511</v>
      </c>
      <c r="J998" s="30">
        <v>40</v>
      </c>
      <c r="K998" s="30">
        <v>14000</v>
      </c>
      <c r="L998" s="31">
        <v>560000</v>
      </c>
      <c r="M998" s="1" t="s">
        <v>16</v>
      </c>
      <c r="N998" s="1" t="s">
        <v>17</v>
      </c>
      <c r="O998" s="1" t="s">
        <v>2057</v>
      </c>
      <c r="P998" s="1" t="s">
        <v>2056</v>
      </c>
      <c r="Q998" s="1" t="s">
        <v>546</v>
      </c>
      <c r="R998" s="1">
        <f t="shared" si="15"/>
        <v>3</v>
      </c>
      <c r="S998" s="4">
        <f>J998*K998*M998</f>
        <v>44800</v>
      </c>
    </row>
    <row r="999" spans="1:19" ht="43" hidden="1" customHeight="1">
      <c r="A999" s="1" t="s">
        <v>2280</v>
      </c>
      <c r="B999" s="1" t="s">
        <v>1412</v>
      </c>
      <c r="C999" s="29">
        <v>45898.896986157401</v>
      </c>
      <c r="D999" s="1" t="s">
        <v>3052</v>
      </c>
      <c r="E999" s="1" t="s">
        <v>3053</v>
      </c>
      <c r="F999" s="1">
        <v>11</v>
      </c>
      <c r="G999" s="12" t="s">
        <v>1278</v>
      </c>
      <c r="H999" s="1" t="s">
        <v>1278</v>
      </c>
      <c r="I999" s="1" t="s">
        <v>511</v>
      </c>
      <c r="J999" s="30">
        <v>14</v>
      </c>
      <c r="K999" s="30">
        <v>15000</v>
      </c>
      <c r="L999" s="31">
        <v>210000</v>
      </c>
      <c r="M999" s="1" t="s">
        <v>16</v>
      </c>
      <c r="N999" s="1" t="s">
        <v>17</v>
      </c>
      <c r="O999" s="1" t="s">
        <v>2057</v>
      </c>
      <c r="P999" s="1" t="s">
        <v>2056</v>
      </c>
      <c r="Q999" s="1" t="s">
        <v>652</v>
      </c>
      <c r="R999" s="1">
        <f t="shared" si="15"/>
        <v>3</v>
      </c>
      <c r="S999" s="4">
        <f>J999*K999*M999</f>
        <v>16800</v>
      </c>
    </row>
    <row r="1000" spans="1:19" ht="43" hidden="1" customHeight="1">
      <c r="A1000" s="1" t="s">
        <v>2280</v>
      </c>
      <c r="B1000" s="1" t="s">
        <v>13</v>
      </c>
      <c r="C1000" s="29">
        <v>45776.499996342602</v>
      </c>
      <c r="D1000" s="1" t="s">
        <v>3052</v>
      </c>
      <c r="E1000" s="1" t="s">
        <v>3053</v>
      </c>
      <c r="F1000" s="1">
        <v>36</v>
      </c>
      <c r="G1000" s="12" t="s">
        <v>1278</v>
      </c>
      <c r="H1000" s="1" t="s">
        <v>1278</v>
      </c>
      <c r="I1000" s="1" t="s">
        <v>71</v>
      </c>
      <c r="J1000" s="30">
        <v>50</v>
      </c>
      <c r="K1000" s="30">
        <v>3000</v>
      </c>
      <c r="L1000" s="31">
        <v>150000</v>
      </c>
      <c r="M1000" s="1" t="s">
        <v>16</v>
      </c>
      <c r="N1000" s="1" t="s">
        <v>17</v>
      </c>
      <c r="O1000" s="1" t="s">
        <v>2057</v>
      </c>
      <c r="P1000" s="1" t="s">
        <v>2056</v>
      </c>
      <c r="Q1000" s="1" t="s">
        <v>937</v>
      </c>
      <c r="R1000" s="1">
        <f t="shared" si="15"/>
        <v>2</v>
      </c>
      <c r="S1000" s="4">
        <f>J1000*K1000*M1000</f>
        <v>12000</v>
      </c>
    </row>
    <row r="1001" spans="1:19" ht="43" hidden="1" customHeight="1">
      <c r="A1001" s="1" t="s">
        <v>2280</v>
      </c>
      <c r="B1001" s="1" t="s">
        <v>305</v>
      </c>
      <c r="C1001" s="29">
        <v>45709.705238449103</v>
      </c>
      <c r="D1001" s="1" t="s">
        <v>3052</v>
      </c>
      <c r="E1001" s="1" t="s">
        <v>3053</v>
      </c>
      <c r="F1001" s="1">
        <v>9</v>
      </c>
      <c r="G1001" s="12" t="s">
        <v>1278</v>
      </c>
      <c r="H1001" s="1" t="s">
        <v>1278</v>
      </c>
      <c r="I1001" s="1" t="s">
        <v>511</v>
      </c>
      <c r="J1001" s="30">
        <v>70</v>
      </c>
      <c r="K1001" s="30">
        <v>13500</v>
      </c>
      <c r="L1001" s="31">
        <v>945000</v>
      </c>
      <c r="M1001" s="1" t="s">
        <v>16</v>
      </c>
      <c r="N1001" s="1" t="s">
        <v>17</v>
      </c>
      <c r="O1001" s="1" t="s">
        <v>2057</v>
      </c>
      <c r="P1001" s="1" t="s">
        <v>2056</v>
      </c>
      <c r="Q1001" s="1" t="s">
        <v>2040</v>
      </c>
      <c r="R1001" s="1">
        <f t="shared" si="15"/>
        <v>1</v>
      </c>
      <c r="S1001" s="4">
        <f>J1001*K1001*M1001</f>
        <v>75600</v>
      </c>
    </row>
    <row r="1002" spans="1:19" ht="43" hidden="1" customHeight="1">
      <c r="A1002" s="1" t="s">
        <v>2280</v>
      </c>
      <c r="B1002" s="1" t="s">
        <v>120</v>
      </c>
      <c r="C1002" s="29">
        <v>45838.621748888901</v>
      </c>
      <c r="D1002" s="1" t="s">
        <v>3052</v>
      </c>
      <c r="E1002" s="1" t="s">
        <v>3053</v>
      </c>
      <c r="F1002" s="1">
        <v>16</v>
      </c>
      <c r="G1002" s="12" t="s">
        <v>1278</v>
      </c>
      <c r="H1002" s="1" t="s">
        <v>1829</v>
      </c>
      <c r="I1002" s="1" t="s">
        <v>130</v>
      </c>
      <c r="J1002" s="30">
        <v>1</v>
      </c>
      <c r="K1002" s="30">
        <v>80000</v>
      </c>
      <c r="L1002" s="31">
        <v>80000</v>
      </c>
      <c r="M1002" s="1" t="s">
        <v>16</v>
      </c>
      <c r="N1002" s="1" t="s">
        <v>17</v>
      </c>
      <c r="O1002" s="1" t="s">
        <v>2057</v>
      </c>
      <c r="P1002" s="1" t="s">
        <v>2056</v>
      </c>
      <c r="Q1002" s="1" t="s">
        <v>828</v>
      </c>
      <c r="R1002" s="1">
        <f t="shared" si="15"/>
        <v>2</v>
      </c>
      <c r="S1002" s="4">
        <f>J1002*K1002*M1002</f>
        <v>6400</v>
      </c>
    </row>
    <row r="1003" spans="1:19" ht="43" hidden="1" customHeight="1">
      <c r="A1003" s="1" t="s">
        <v>2280</v>
      </c>
      <c r="B1003" s="1" t="s">
        <v>1421</v>
      </c>
      <c r="C1003" s="29">
        <v>45864.4410266782</v>
      </c>
      <c r="D1003" s="1" t="s">
        <v>3058</v>
      </c>
      <c r="E1003" s="1" t="s">
        <v>3059</v>
      </c>
      <c r="F1003" s="1">
        <v>8</v>
      </c>
      <c r="G1003" s="2" t="s">
        <v>303</v>
      </c>
      <c r="H1003" s="1" t="s">
        <v>1788</v>
      </c>
      <c r="I1003" s="1" t="s">
        <v>62</v>
      </c>
      <c r="J1003" s="30">
        <v>1071.43</v>
      </c>
      <c r="K1003" s="30">
        <v>28000</v>
      </c>
      <c r="L1003" s="31">
        <v>30000000</v>
      </c>
      <c r="M1003" s="1" t="s">
        <v>30</v>
      </c>
      <c r="N1003" s="1" t="s">
        <v>17</v>
      </c>
      <c r="O1003" s="1" t="s">
        <v>2057</v>
      </c>
      <c r="P1003" s="1" t="s">
        <v>2056</v>
      </c>
      <c r="Q1003" s="1" t="s">
        <v>1785</v>
      </c>
      <c r="R1003" s="1">
        <f t="shared" si="15"/>
        <v>3</v>
      </c>
      <c r="S1003" s="4">
        <f>J1003*K1003*M1003</f>
        <v>3000004</v>
      </c>
    </row>
    <row r="1004" spans="1:19" ht="43" customHeight="1">
      <c r="A1004" s="1" t="s">
        <v>2280</v>
      </c>
      <c r="B1004" s="1" t="s">
        <v>13</v>
      </c>
      <c r="C1004" s="29">
        <v>45776.499996342602</v>
      </c>
      <c r="D1004" s="1" t="s">
        <v>3052</v>
      </c>
      <c r="E1004" s="1" t="s">
        <v>3053</v>
      </c>
      <c r="F1004" s="1">
        <v>19</v>
      </c>
      <c r="H1004" s="1" t="s">
        <v>1934</v>
      </c>
      <c r="I1004" s="1" t="s">
        <v>511</v>
      </c>
      <c r="J1004" s="30">
        <v>400</v>
      </c>
      <c r="K1004" s="30">
        <v>15000</v>
      </c>
      <c r="L1004" s="31">
        <v>6000000</v>
      </c>
      <c r="M1004" s="1" t="s">
        <v>16</v>
      </c>
      <c r="N1004" s="1" t="s">
        <v>17</v>
      </c>
      <c r="O1004" s="1" t="s">
        <v>2057</v>
      </c>
      <c r="P1004" s="1" t="s">
        <v>2056</v>
      </c>
      <c r="Q1004" s="1" t="s">
        <v>937</v>
      </c>
      <c r="R1004" s="1">
        <f t="shared" si="15"/>
        <v>2</v>
      </c>
      <c r="S1004" s="4">
        <f>J1004*K1004*M1004</f>
        <v>480000</v>
      </c>
    </row>
    <row r="1005" spans="1:19" ht="43" hidden="1" customHeight="1">
      <c r="A1005" s="1" t="s">
        <v>2280</v>
      </c>
      <c r="B1005" s="1" t="s">
        <v>1412</v>
      </c>
      <c r="C1005" s="29">
        <v>45898.896986157401</v>
      </c>
      <c r="D1005" s="1" t="s">
        <v>3052</v>
      </c>
      <c r="E1005" s="1" t="s">
        <v>3053</v>
      </c>
      <c r="F1005" s="1">
        <v>67</v>
      </c>
      <c r="G1005" s="12" t="s">
        <v>1312</v>
      </c>
      <c r="H1005" s="1" t="s">
        <v>1704</v>
      </c>
      <c r="I1005" s="1" t="s">
        <v>71</v>
      </c>
      <c r="J1005" s="30">
        <v>60</v>
      </c>
      <c r="K1005" s="30">
        <v>20000</v>
      </c>
      <c r="L1005" s="31">
        <v>1200000</v>
      </c>
      <c r="M1005" s="1" t="s">
        <v>16</v>
      </c>
      <c r="N1005" s="1" t="s">
        <v>17</v>
      </c>
      <c r="O1005" s="1" t="s">
        <v>2057</v>
      </c>
      <c r="P1005" s="1" t="s">
        <v>2056</v>
      </c>
      <c r="Q1005" s="1" t="s">
        <v>652</v>
      </c>
      <c r="R1005" s="1">
        <f t="shared" si="15"/>
        <v>3</v>
      </c>
      <c r="S1005" s="4">
        <f>J1005*K1005*M1005</f>
        <v>96000</v>
      </c>
    </row>
    <row r="1006" spans="1:19" ht="43" customHeight="1">
      <c r="A1006" s="1" t="s">
        <v>2280</v>
      </c>
      <c r="B1006" s="1" t="s">
        <v>1412</v>
      </c>
      <c r="C1006" s="29">
        <v>45898.896986157401</v>
      </c>
      <c r="D1006" s="1" t="s">
        <v>3052</v>
      </c>
      <c r="E1006" s="1" t="s">
        <v>3053</v>
      </c>
      <c r="F1006" s="1">
        <v>68</v>
      </c>
      <c r="H1006" s="1" t="s">
        <v>1705</v>
      </c>
      <c r="I1006" s="1" t="s">
        <v>71</v>
      </c>
      <c r="J1006" s="30">
        <v>50</v>
      </c>
      <c r="K1006" s="30">
        <v>35000</v>
      </c>
      <c r="L1006" s="31">
        <v>1750000</v>
      </c>
      <c r="M1006" s="1" t="s">
        <v>16</v>
      </c>
      <c r="N1006" s="1" t="s">
        <v>17</v>
      </c>
      <c r="O1006" s="1" t="s">
        <v>2057</v>
      </c>
      <c r="P1006" s="1" t="s">
        <v>2056</v>
      </c>
      <c r="Q1006" s="1" t="s">
        <v>652</v>
      </c>
      <c r="R1006" s="1">
        <f t="shared" si="15"/>
        <v>3</v>
      </c>
      <c r="S1006" s="4">
        <f>J1006*K1006*M1006</f>
        <v>140000</v>
      </c>
    </row>
    <row r="1007" spans="1:19" ht="43" hidden="1" customHeight="1">
      <c r="A1007" s="1" t="s">
        <v>2072</v>
      </c>
      <c r="B1007" s="1" t="s">
        <v>1294</v>
      </c>
      <c r="C1007" s="29">
        <v>46021.613942164397</v>
      </c>
      <c r="D1007" s="1" t="s">
        <v>3052</v>
      </c>
      <c r="E1007" s="1" t="s">
        <v>3053</v>
      </c>
      <c r="F1007" s="1">
        <v>1</v>
      </c>
      <c r="G1007" s="12" t="s">
        <v>1026</v>
      </c>
      <c r="H1007" s="1" t="s">
        <v>1026</v>
      </c>
      <c r="I1007" s="1" t="s">
        <v>71</v>
      </c>
      <c r="J1007" s="30">
        <v>52.8</v>
      </c>
      <c r="K1007" s="30">
        <v>85000</v>
      </c>
      <c r="L1007" s="31">
        <v>4488000</v>
      </c>
      <c r="M1007" s="1" t="s">
        <v>16</v>
      </c>
      <c r="N1007" s="1" t="s">
        <v>17</v>
      </c>
      <c r="O1007" s="1" t="s">
        <v>2057</v>
      </c>
      <c r="P1007" s="1" t="s">
        <v>2056</v>
      </c>
      <c r="Q1007" s="1" t="s">
        <v>1474</v>
      </c>
      <c r="R1007" s="1">
        <f t="shared" si="15"/>
        <v>4</v>
      </c>
      <c r="S1007" s="4">
        <f>J1007*K1007*M1007</f>
        <v>359040</v>
      </c>
    </row>
    <row r="1008" spans="1:19" ht="43" hidden="1" customHeight="1">
      <c r="A1008" s="1" t="s">
        <v>2280</v>
      </c>
      <c r="B1008" s="1" t="s">
        <v>1467</v>
      </c>
      <c r="C1008" s="29">
        <v>45928.732318564798</v>
      </c>
      <c r="D1008" s="1" t="s">
        <v>3052</v>
      </c>
      <c r="E1008" s="1" t="s">
        <v>3053</v>
      </c>
      <c r="F1008" s="1">
        <v>55</v>
      </c>
      <c r="G1008" s="12" t="s">
        <v>1026</v>
      </c>
      <c r="H1008" s="1" t="s">
        <v>1026</v>
      </c>
      <c r="I1008" s="1" t="s">
        <v>71</v>
      </c>
      <c r="J1008" s="30">
        <v>40</v>
      </c>
      <c r="K1008" s="30">
        <v>15000</v>
      </c>
      <c r="L1008" s="31">
        <v>600000</v>
      </c>
      <c r="M1008" s="1" t="s">
        <v>16</v>
      </c>
      <c r="N1008" s="1" t="s">
        <v>17</v>
      </c>
      <c r="O1008" s="1" t="s">
        <v>2057</v>
      </c>
      <c r="P1008" s="1" t="s">
        <v>2056</v>
      </c>
      <c r="Q1008" s="1" t="s">
        <v>546</v>
      </c>
      <c r="R1008" s="1">
        <f t="shared" si="15"/>
        <v>3</v>
      </c>
      <c r="S1008" s="4">
        <f>J1008*K1008*M1008</f>
        <v>48000</v>
      </c>
    </row>
    <row r="1009" spans="1:19" ht="43" hidden="1" customHeight="1">
      <c r="A1009" s="1" t="s">
        <v>2280</v>
      </c>
      <c r="B1009" s="1" t="s">
        <v>91</v>
      </c>
      <c r="C1009" s="29">
        <v>45899.644512638901</v>
      </c>
      <c r="D1009" s="1" t="s">
        <v>3052</v>
      </c>
      <c r="E1009" s="1" t="s">
        <v>3053</v>
      </c>
      <c r="F1009" s="1">
        <v>11</v>
      </c>
      <c r="G1009" s="12" t="s">
        <v>1026</v>
      </c>
      <c r="H1009" s="1" t="s">
        <v>1026</v>
      </c>
      <c r="I1009" s="1" t="s">
        <v>71</v>
      </c>
      <c r="J1009" s="30">
        <v>22.5</v>
      </c>
      <c r="K1009" s="30">
        <v>45000</v>
      </c>
      <c r="L1009" s="31">
        <v>1012500</v>
      </c>
      <c r="M1009" s="1" t="s">
        <v>16</v>
      </c>
      <c r="N1009" s="1" t="s">
        <v>17</v>
      </c>
      <c r="O1009" s="1" t="s">
        <v>2057</v>
      </c>
      <c r="P1009" s="1" t="s">
        <v>2056</v>
      </c>
      <c r="Q1009" s="1" t="s">
        <v>636</v>
      </c>
      <c r="R1009" s="1">
        <f t="shared" si="15"/>
        <v>3</v>
      </c>
      <c r="S1009" s="4">
        <f>J1009*K1009*M1009</f>
        <v>81000</v>
      </c>
    </row>
    <row r="1010" spans="1:19" ht="43" hidden="1" customHeight="1">
      <c r="A1010" s="1" t="s">
        <v>2280</v>
      </c>
      <c r="B1010" s="1" t="s">
        <v>1414</v>
      </c>
      <c r="C1010" s="29">
        <v>45889.505948553197</v>
      </c>
      <c r="D1010" s="1" t="s">
        <v>3054</v>
      </c>
      <c r="E1010" s="1" t="s">
        <v>3055</v>
      </c>
      <c r="F1010" s="1">
        <v>4</v>
      </c>
      <c r="G1010" s="12" t="s">
        <v>1026</v>
      </c>
      <c r="H1010" s="1" t="s">
        <v>1026</v>
      </c>
      <c r="I1010" s="1" t="s">
        <v>71</v>
      </c>
      <c r="J1010" s="30">
        <v>55</v>
      </c>
      <c r="K1010" s="30">
        <v>12000</v>
      </c>
      <c r="L1010" s="31">
        <v>660000</v>
      </c>
      <c r="M1010" s="1" t="s">
        <v>16</v>
      </c>
      <c r="N1010" s="1" t="s">
        <v>17</v>
      </c>
      <c r="O1010" s="1" t="s">
        <v>2057</v>
      </c>
      <c r="P1010" s="1" t="s">
        <v>2056</v>
      </c>
      <c r="Q1010" s="1" t="s">
        <v>674</v>
      </c>
      <c r="R1010" s="1">
        <f t="shared" si="15"/>
        <v>3</v>
      </c>
      <c r="S1010" s="4">
        <f>J1010*K1010*M1010</f>
        <v>52800</v>
      </c>
    </row>
    <row r="1011" spans="1:19" ht="43" customHeight="1">
      <c r="A1011" s="1" t="s">
        <v>2280</v>
      </c>
      <c r="B1011" s="1" t="s">
        <v>305</v>
      </c>
      <c r="C1011" s="29">
        <v>45709.705238449103</v>
      </c>
      <c r="D1011" s="1" t="s">
        <v>3052</v>
      </c>
      <c r="E1011" s="1" t="s">
        <v>3053</v>
      </c>
      <c r="F1011" s="1">
        <v>10</v>
      </c>
      <c r="H1011" s="1" t="s">
        <v>2042</v>
      </c>
      <c r="I1011" s="1" t="s">
        <v>71</v>
      </c>
      <c r="J1011" s="30">
        <v>182</v>
      </c>
      <c r="K1011" s="30">
        <v>17942</v>
      </c>
      <c r="L1011" s="31">
        <v>3265444</v>
      </c>
      <c r="M1011" s="1" t="s">
        <v>16</v>
      </c>
      <c r="N1011" s="1" t="s">
        <v>17</v>
      </c>
      <c r="O1011" s="1" t="s">
        <v>2057</v>
      </c>
      <c r="P1011" s="1" t="s">
        <v>2056</v>
      </c>
      <c r="Q1011" s="1" t="s">
        <v>2040</v>
      </c>
      <c r="R1011" s="1">
        <f t="shared" si="15"/>
        <v>1</v>
      </c>
      <c r="S1011" s="4">
        <f>J1011*K1011*M1011</f>
        <v>261235.52000000002</v>
      </c>
    </row>
    <row r="1012" spans="1:19" ht="43" customHeight="1">
      <c r="A1012" s="1" t="s">
        <v>2280</v>
      </c>
      <c r="B1012" s="1" t="s">
        <v>13</v>
      </c>
      <c r="C1012" s="29">
        <v>45776.499996342602</v>
      </c>
      <c r="D1012" s="1" t="s">
        <v>3052</v>
      </c>
      <c r="E1012" s="1" t="s">
        <v>3053</v>
      </c>
      <c r="F1012" s="1">
        <v>25</v>
      </c>
      <c r="H1012" s="1" t="s">
        <v>1939</v>
      </c>
      <c r="I1012" s="1" t="s">
        <v>15</v>
      </c>
      <c r="J1012" s="30">
        <v>5</v>
      </c>
      <c r="K1012" s="30">
        <v>15000</v>
      </c>
      <c r="L1012" s="31">
        <v>75000</v>
      </c>
      <c r="M1012" s="1" t="s">
        <v>16</v>
      </c>
      <c r="N1012" s="1" t="s">
        <v>17</v>
      </c>
      <c r="O1012" s="1" t="s">
        <v>2057</v>
      </c>
      <c r="P1012" s="1" t="s">
        <v>2056</v>
      </c>
      <c r="Q1012" s="1" t="s">
        <v>937</v>
      </c>
      <c r="R1012" s="1">
        <f t="shared" si="15"/>
        <v>2</v>
      </c>
      <c r="S1012" s="4">
        <f>J1012*K1012*M1012</f>
        <v>6000</v>
      </c>
    </row>
    <row r="1013" spans="1:19" ht="43" hidden="1" customHeight="1">
      <c r="A1013" s="1" t="s">
        <v>2280</v>
      </c>
      <c r="B1013" s="1" t="s">
        <v>1412</v>
      </c>
      <c r="C1013" s="29">
        <v>45898.896986157401</v>
      </c>
      <c r="D1013" s="1" t="s">
        <v>3052</v>
      </c>
      <c r="E1013" s="1" t="s">
        <v>3053</v>
      </c>
      <c r="F1013" s="1">
        <v>39</v>
      </c>
      <c r="G1013" s="12" t="s">
        <v>945</v>
      </c>
      <c r="H1013" s="1" t="s">
        <v>945</v>
      </c>
      <c r="I1013" s="1" t="s">
        <v>511</v>
      </c>
      <c r="J1013" s="30">
        <v>40</v>
      </c>
      <c r="K1013" s="30">
        <v>25000</v>
      </c>
      <c r="L1013" s="31">
        <v>1000000</v>
      </c>
      <c r="M1013" s="1" t="s">
        <v>16</v>
      </c>
      <c r="N1013" s="1" t="s">
        <v>17</v>
      </c>
      <c r="O1013" s="1" t="s">
        <v>2057</v>
      </c>
      <c r="P1013" s="1" t="s">
        <v>2056</v>
      </c>
      <c r="Q1013" s="1" t="s">
        <v>652</v>
      </c>
      <c r="R1013" s="1">
        <f t="shared" si="15"/>
        <v>3</v>
      </c>
      <c r="S1013" s="4">
        <f>J1013*K1013*M1013</f>
        <v>80000</v>
      </c>
    </row>
    <row r="1014" spans="1:19" ht="43" hidden="1" customHeight="1">
      <c r="A1014" s="1" t="s">
        <v>2280</v>
      </c>
      <c r="B1014" s="1" t="s">
        <v>1295</v>
      </c>
      <c r="C1014" s="29">
        <v>45807.7287575347</v>
      </c>
      <c r="D1014" s="1" t="s">
        <v>3052</v>
      </c>
      <c r="E1014" s="1" t="s">
        <v>3053</v>
      </c>
      <c r="F1014" s="1">
        <v>14</v>
      </c>
      <c r="G1014" s="12" t="s">
        <v>945</v>
      </c>
      <c r="H1014" s="1" t="s">
        <v>945</v>
      </c>
      <c r="I1014" s="1" t="s">
        <v>130</v>
      </c>
      <c r="J1014" s="30">
        <v>300</v>
      </c>
      <c r="K1014" s="30">
        <v>500</v>
      </c>
      <c r="L1014" s="31">
        <v>150000</v>
      </c>
      <c r="M1014" s="1" t="s">
        <v>16</v>
      </c>
      <c r="N1014" s="1" t="s">
        <v>17</v>
      </c>
      <c r="O1014" s="1" t="s">
        <v>2057</v>
      </c>
      <c r="P1014" s="1" t="s">
        <v>2056</v>
      </c>
      <c r="Q1014" s="1" t="s">
        <v>925</v>
      </c>
      <c r="R1014" s="1">
        <f t="shared" si="15"/>
        <v>2</v>
      </c>
      <c r="S1014" s="4">
        <f>J1014*K1014*M1014</f>
        <v>12000</v>
      </c>
    </row>
    <row r="1015" spans="1:19" ht="43" hidden="1" customHeight="1">
      <c r="A1015" s="1" t="s">
        <v>2280</v>
      </c>
      <c r="B1015" s="1" t="s">
        <v>13</v>
      </c>
      <c r="C1015" s="29">
        <v>45776.499996342602</v>
      </c>
      <c r="D1015" s="1" t="s">
        <v>3052</v>
      </c>
      <c r="E1015" s="1" t="s">
        <v>3053</v>
      </c>
      <c r="F1015" s="1">
        <v>48</v>
      </c>
      <c r="G1015" s="12" t="s">
        <v>89</v>
      </c>
      <c r="H1015" s="1" t="s">
        <v>1957</v>
      </c>
      <c r="I1015" s="1" t="s">
        <v>15</v>
      </c>
      <c r="J1015" s="30">
        <v>3</v>
      </c>
      <c r="K1015" s="30">
        <v>25000</v>
      </c>
      <c r="L1015" s="31">
        <v>75000</v>
      </c>
      <c r="M1015" s="1" t="s">
        <v>16</v>
      </c>
      <c r="N1015" s="1" t="s">
        <v>17</v>
      </c>
      <c r="O1015" s="1" t="s">
        <v>2057</v>
      </c>
      <c r="P1015" s="1" t="s">
        <v>2056</v>
      </c>
      <c r="Q1015" s="1" t="s">
        <v>937</v>
      </c>
      <c r="R1015" s="1">
        <f t="shared" si="15"/>
        <v>2</v>
      </c>
      <c r="S1015" s="4">
        <f>J1015*K1015*M1015</f>
        <v>6000</v>
      </c>
    </row>
    <row r="1016" spans="1:19" ht="43" hidden="1" customHeight="1">
      <c r="A1016" s="1" t="s">
        <v>2280</v>
      </c>
      <c r="B1016" s="1" t="s">
        <v>13</v>
      </c>
      <c r="C1016" s="29">
        <v>45776.499996342602</v>
      </c>
      <c r="D1016" s="1" t="s">
        <v>3052</v>
      </c>
      <c r="E1016" s="1" t="s">
        <v>3053</v>
      </c>
      <c r="F1016" s="1">
        <v>69</v>
      </c>
      <c r="G1016" s="12" t="s">
        <v>89</v>
      </c>
      <c r="H1016" s="1" t="s">
        <v>1957</v>
      </c>
      <c r="I1016" s="1" t="s">
        <v>133</v>
      </c>
      <c r="J1016" s="30">
        <v>65</v>
      </c>
      <c r="K1016" s="30">
        <v>10000</v>
      </c>
      <c r="L1016" s="31">
        <v>650000</v>
      </c>
      <c r="M1016" s="1" t="s">
        <v>16</v>
      </c>
      <c r="N1016" s="1" t="s">
        <v>17</v>
      </c>
      <c r="O1016" s="1" t="s">
        <v>2057</v>
      </c>
      <c r="P1016" s="1" t="s">
        <v>2056</v>
      </c>
      <c r="Q1016" s="1" t="s">
        <v>937</v>
      </c>
      <c r="R1016" s="1">
        <f t="shared" si="15"/>
        <v>2</v>
      </c>
      <c r="S1016" s="4">
        <f>J1016*K1016*M1016</f>
        <v>52000</v>
      </c>
    </row>
    <row r="1017" spans="1:19" ht="43" hidden="1" customHeight="1">
      <c r="A1017" s="1" t="s">
        <v>2280</v>
      </c>
      <c r="B1017" s="1" t="s">
        <v>152</v>
      </c>
      <c r="C1017" s="29">
        <v>45836.413450243097</v>
      </c>
      <c r="D1017" s="1" t="s">
        <v>3052</v>
      </c>
      <c r="E1017" s="1" t="s">
        <v>3053</v>
      </c>
      <c r="F1017" s="1">
        <v>13</v>
      </c>
      <c r="G1017" s="12" t="s">
        <v>88</v>
      </c>
      <c r="H1017" s="1" t="s">
        <v>88</v>
      </c>
      <c r="I1017" s="1" t="s">
        <v>71</v>
      </c>
      <c r="J1017" s="30">
        <v>18</v>
      </c>
      <c r="K1017" s="30">
        <v>20000</v>
      </c>
      <c r="L1017" s="31">
        <v>360000</v>
      </c>
      <c r="M1017" s="1" t="s">
        <v>16</v>
      </c>
      <c r="N1017" s="1" t="s">
        <v>17</v>
      </c>
      <c r="O1017" s="1" t="s">
        <v>2057</v>
      </c>
      <c r="P1017" s="1" t="s">
        <v>2056</v>
      </c>
      <c r="Q1017" s="1" t="s">
        <v>845</v>
      </c>
      <c r="R1017" s="1">
        <f t="shared" si="15"/>
        <v>2</v>
      </c>
      <c r="S1017" s="4">
        <f>J1017*K1017*M1017</f>
        <v>28800</v>
      </c>
    </row>
    <row r="1018" spans="1:19" ht="43" hidden="1" customHeight="1">
      <c r="A1018" s="1" t="s">
        <v>2280</v>
      </c>
      <c r="B1018" s="1" t="s">
        <v>1420</v>
      </c>
      <c r="C1018" s="29">
        <v>45866.7486208681</v>
      </c>
      <c r="D1018" s="1" t="s">
        <v>3052</v>
      </c>
      <c r="E1018" s="1" t="s">
        <v>3053</v>
      </c>
      <c r="F1018" s="1">
        <v>34</v>
      </c>
      <c r="G1018" s="12" t="s">
        <v>89</v>
      </c>
      <c r="H1018" s="1" t="s">
        <v>89</v>
      </c>
      <c r="I1018" s="1" t="s">
        <v>71</v>
      </c>
      <c r="J1018" s="30">
        <v>340</v>
      </c>
      <c r="K1018" s="30">
        <v>35000</v>
      </c>
      <c r="L1018" s="31">
        <v>11900000</v>
      </c>
      <c r="M1018" s="1" t="s">
        <v>16</v>
      </c>
      <c r="N1018" s="1" t="s">
        <v>17</v>
      </c>
      <c r="O1018" s="1" t="s">
        <v>2057</v>
      </c>
      <c r="P1018" s="1" t="s">
        <v>2056</v>
      </c>
      <c r="Q1018" s="1" t="s">
        <v>1763</v>
      </c>
      <c r="R1018" s="1">
        <f t="shared" si="15"/>
        <v>3</v>
      </c>
      <c r="S1018" s="4">
        <f>J1018*K1018*M1018</f>
        <v>952000</v>
      </c>
    </row>
    <row r="1019" spans="1:19" ht="43" hidden="1" customHeight="1">
      <c r="A1019" s="1" t="s">
        <v>2280</v>
      </c>
      <c r="B1019" s="1" t="s">
        <v>1295</v>
      </c>
      <c r="C1019" s="29">
        <v>45807.7287575347</v>
      </c>
      <c r="D1019" s="1" t="s">
        <v>3052</v>
      </c>
      <c r="E1019" s="1" t="s">
        <v>3053</v>
      </c>
      <c r="F1019" s="1">
        <v>11</v>
      </c>
      <c r="G1019" s="12" t="s">
        <v>89</v>
      </c>
      <c r="H1019" s="1" t="s">
        <v>89</v>
      </c>
      <c r="I1019" s="1" t="s">
        <v>133</v>
      </c>
      <c r="J1019" s="30">
        <v>94</v>
      </c>
      <c r="K1019" s="30">
        <v>18000</v>
      </c>
      <c r="L1019" s="31">
        <v>1692000</v>
      </c>
      <c r="M1019" s="1" t="s">
        <v>16</v>
      </c>
      <c r="N1019" s="1" t="s">
        <v>17</v>
      </c>
      <c r="O1019" s="1" t="s">
        <v>2057</v>
      </c>
      <c r="P1019" s="1" t="s">
        <v>2056</v>
      </c>
      <c r="Q1019" s="1" t="s">
        <v>925</v>
      </c>
      <c r="R1019" s="1">
        <f t="shared" si="15"/>
        <v>2</v>
      </c>
      <c r="S1019" s="4">
        <f>J1019*K1019*M1019</f>
        <v>135360</v>
      </c>
    </row>
    <row r="1020" spans="1:19" ht="43" customHeight="1">
      <c r="A1020" s="1" t="s">
        <v>2280</v>
      </c>
      <c r="B1020" s="1" t="s">
        <v>13</v>
      </c>
      <c r="C1020" s="29">
        <v>45776.499996342602</v>
      </c>
      <c r="D1020" s="1" t="s">
        <v>3052</v>
      </c>
      <c r="E1020" s="1" t="s">
        <v>3053</v>
      </c>
      <c r="F1020" s="1">
        <v>28</v>
      </c>
      <c r="H1020" s="1" t="s">
        <v>1942</v>
      </c>
      <c r="I1020" s="1" t="s">
        <v>47</v>
      </c>
      <c r="J1020" s="30">
        <v>20</v>
      </c>
      <c r="K1020" s="30">
        <v>5000</v>
      </c>
      <c r="L1020" s="31">
        <v>100000</v>
      </c>
      <c r="M1020" s="1" t="s">
        <v>16</v>
      </c>
      <c r="N1020" s="1" t="s">
        <v>17</v>
      </c>
      <c r="O1020" s="1" t="s">
        <v>2057</v>
      </c>
      <c r="P1020" s="1" t="s">
        <v>2056</v>
      </c>
      <c r="Q1020" s="1" t="s">
        <v>937</v>
      </c>
      <c r="R1020" s="1">
        <f t="shared" si="15"/>
        <v>2</v>
      </c>
      <c r="S1020" s="4">
        <f>J1020*K1020*M1020</f>
        <v>8000</v>
      </c>
    </row>
    <row r="1021" spans="1:19" ht="43" hidden="1" customHeight="1">
      <c r="A1021" s="1" t="s">
        <v>2280</v>
      </c>
      <c r="B1021" s="1" t="s">
        <v>1412</v>
      </c>
      <c r="C1021" s="29">
        <v>45898.896986157401</v>
      </c>
      <c r="D1021" s="1" t="s">
        <v>3052</v>
      </c>
      <c r="E1021" s="1" t="s">
        <v>3053</v>
      </c>
      <c r="F1021" s="1">
        <v>5</v>
      </c>
      <c r="G1021" s="12" t="s">
        <v>2835</v>
      </c>
      <c r="H1021" s="1" t="s">
        <v>1663</v>
      </c>
      <c r="I1021" s="1" t="s">
        <v>511</v>
      </c>
      <c r="J1021" s="30">
        <v>1</v>
      </c>
      <c r="K1021" s="30">
        <v>120000</v>
      </c>
      <c r="L1021" s="31">
        <v>120000</v>
      </c>
      <c r="M1021" s="1" t="s">
        <v>16</v>
      </c>
      <c r="N1021" s="1" t="s">
        <v>17</v>
      </c>
      <c r="O1021" s="1" t="s">
        <v>2057</v>
      </c>
      <c r="P1021" s="1" t="s">
        <v>2056</v>
      </c>
      <c r="Q1021" s="1" t="s">
        <v>652</v>
      </c>
      <c r="R1021" s="1">
        <f t="shared" si="15"/>
        <v>3</v>
      </c>
      <c r="S1021" s="4">
        <f>J1021*K1021*M1021</f>
        <v>9600</v>
      </c>
    </row>
    <row r="1022" spans="1:19" ht="43" hidden="1" customHeight="1">
      <c r="A1022" s="1" t="s">
        <v>2072</v>
      </c>
      <c r="B1022" s="1" t="s">
        <v>1294</v>
      </c>
      <c r="C1022" s="29">
        <v>46021.613942164397</v>
      </c>
      <c r="D1022" s="1" t="s">
        <v>3052</v>
      </c>
      <c r="E1022" s="1" t="s">
        <v>3053</v>
      </c>
      <c r="F1022" s="1">
        <v>25</v>
      </c>
      <c r="G1022" s="12" t="s">
        <v>1345</v>
      </c>
      <c r="H1022" s="1" t="s">
        <v>1345</v>
      </c>
      <c r="I1022" s="1" t="s">
        <v>71</v>
      </c>
      <c r="J1022" s="30">
        <v>50</v>
      </c>
      <c r="K1022" s="30">
        <v>50000</v>
      </c>
      <c r="L1022" s="31">
        <v>2500000</v>
      </c>
      <c r="M1022" s="1" t="s">
        <v>16</v>
      </c>
      <c r="N1022" s="1" t="s">
        <v>17</v>
      </c>
      <c r="O1022" s="1" t="s">
        <v>2057</v>
      </c>
      <c r="P1022" s="1" t="s">
        <v>2056</v>
      </c>
      <c r="Q1022" s="1" t="s">
        <v>1474</v>
      </c>
      <c r="R1022" s="1">
        <f t="shared" si="15"/>
        <v>4</v>
      </c>
      <c r="S1022" s="4">
        <f>J1022*K1022*M1022</f>
        <v>200000</v>
      </c>
    </row>
    <row r="1023" spans="1:19" ht="43" hidden="1" customHeight="1">
      <c r="A1023" s="1" t="s">
        <v>2072</v>
      </c>
      <c r="B1023" s="1" t="s">
        <v>1294</v>
      </c>
      <c r="C1023" s="29">
        <v>46021.613942164397</v>
      </c>
      <c r="D1023" s="1" t="s">
        <v>3052</v>
      </c>
      <c r="E1023" s="1" t="s">
        <v>3053</v>
      </c>
      <c r="F1023" s="1">
        <v>57</v>
      </c>
      <c r="G1023" s="12" t="s">
        <v>1345</v>
      </c>
      <c r="H1023" s="1" t="s">
        <v>1345</v>
      </c>
      <c r="I1023" s="1" t="s">
        <v>71</v>
      </c>
      <c r="J1023" s="30">
        <v>150</v>
      </c>
      <c r="K1023" s="30">
        <v>50000</v>
      </c>
      <c r="L1023" s="31">
        <v>7500000</v>
      </c>
      <c r="M1023" s="1" t="s">
        <v>16</v>
      </c>
      <c r="N1023" s="1" t="s">
        <v>17</v>
      </c>
      <c r="O1023" s="1" t="s">
        <v>2057</v>
      </c>
      <c r="P1023" s="1" t="s">
        <v>2056</v>
      </c>
      <c r="Q1023" s="1" t="s">
        <v>1474</v>
      </c>
      <c r="R1023" s="1">
        <f t="shared" si="15"/>
        <v>4</v>
      </c>
      <c r="S1023" s="4">
        <f>J1023*K1023*M1023</f>
        <v>600000</v>
      </c>
    </row>
    <row r="1024" spans="1:19" ht="43" hidden="1" customHeight="1">
      <c r="A1024" s="1" t="s">
        <v>2280</v>
      </c>
      <c r="B1024" s="1" t="s">
        <v>1400</v>
      </c>
      <c r="C1024" s="29">
        <v>45990.721094398097</v>
      </c>
      <c r="D1024" s="1" t="s">
        <v>3052</v>
      </c>
      <c r="E1024" s="1" t="s">
        <v>3053</v>
      </c>
      <c r="F1024" s="1">
        <v>2</v>
      </c>
      <c r="G1024" s="12" t="s">
        <v>1345</v>
      </c>
      <c r="H1024" s="1" t="s">
        <v>1345</v>
      </c>
      <c r="I1024" s="1" t="s">
        <v>71</v>
      </c>
      <c r="J1024" s="30">
        <v>100</v>
      </c>
      <c r="K1024" s="30">
        <v>35000</v>
      </c>
      <c r="L1024" s="31">
        <v>3500000</v>
      </c>
      <c r="M1024" s="1" t="s">
        <v>16</v>
      </c>
      <c r="N1024" s="1" t="s">
        <v>17</v>
      </c>
      <c r="O1024" s="1" t="s">
        <v>2057</v>
      </c>
      <c r="P1024" s="1" t="s">
        <v>2056</v>
      </c>
      <c r="Q1024" s="1" t="s">
        <v>1531</v>
      </c>
      <c r="R1024" s="1">
        <f t="shared" si="15"/>
        <v>4</v>
      </c>
      <c r="S1024" s="4">
        <f>J1024*K1024*M1024</f>
        <v>280000</v>
      </c>
    </row>
    <row r="1025" spans="1:19" ht="43" hidden="1" customHeight="1">
      <c r="A1025" s="1" t="s">
        <v>2280</v>
      </c>
      <c r="B1025" s="1" t="s">
        <v>326</v>
      </c>
      <c r="C1025" s="29">
        <v>45960.658345080999</v>
      </c>
      <c r="D1025" s="1" t="s">
        <v>3052</v>
      </c>
      <c r="E1025" s="1" t="s">
        <v>3053</v>
      </c>
      <c r="F1025" s="1">
        <v>1</v>
      </c>
      <c r="G1025" s="12" t="s">
        <v>1345</v>
      </c>
      <c r="H1025" s="1" t="s">
        <v>1345</v>
      </c>
      <c r="I1025" s="1" t="s">
        <v>71</v>
      </c>
      <c r="J1025" s="30">
        <v>100</v>
      </c>
      <c r="K1025" s="30">
        <v>35000</v>
      </c>
      <c r="L1025" s="31">
        <v>3500000</v>
      </c>
      <c r="M1025" s="1" t="s">
        <v>16</v>
      </c>
      <c r="N1025" s="1" t="s">
        <v>17</v>
      </c>
      <c r="O1025" s="1" t="s">
        <v>2057</v>
      </c>
      <c r="P1025" s="1" t="s">
        <v>2056</v>
      </c>
      <c r="Q1025" s="1" t="s">
        <v>533</v>
      </c>
      <c r="R1025" s="1">
        <f t="shared" si="15"/>
        <v>4</v>
      </c>
      <c r="S1025" s="4">
        <f>J1025*K1025*M1025</f>
        <v>280000</v>
      </c>
    </row>
    <row r="1026" spans="1:19" ht="43" hidden="1" customHeight="1">
      <c r="A1026" s="1" t="s">
        <v>2280</v>
      </c>
      <c r="B1026" s="1" t="s">
        <v>1462</v>
      </c>
      <c r="C1026" s="29">
        <v>45928.944135983802</v>
      </c>
      <c r="D1026" s="1" t="s">
        <v>3052</v>
      </c>
      <c r="E1026" s="1" t="s">
        <v>3053</v>
      </c>
      <c r="F1026" s="1">
        <v>2</v>
      </c>
      <c r="G1026" s="12" t="s">
        <v>1345</v>
      </c>
      <c r="H1026" s="1" t="s">
        <v>1345</v>
      </c>
      <c r="I1026" s="1" t="s">
        <v>71</v>
      </c>
      <c r="J1026" s="30">
        <v>200</v>
      </c>
      <c r="K1026" s="30">
        <v>35000</v>
      </c>
      <c r="L1026" s="31">
        <v>7000000</v>
      </c>
      <c r="M1026" s="1" t="s">
        <v>16</v>
      </c>
      <c r="N1026" s="1" t="s">
        <v>17</v>
      </c>
      <c r="O1026" s="1" t="s">
        <v>2057</v>
      </c>
      <c r="P1026" s="1" t="s">
        <v>2056</v>
      </c>
      <c r="Q1026" s="1" t="s">
        <v>546</v>
      </c>
      <c r="R1026" s="1">
        <f t="shared" si="15"/>
        <v>3</v>
      </c>
      <c r="S1026" s="4">
        <f>J1026*K1026*M1026</f>
        <v>560000</v>
      </c>
    </row>
    <row r="1027" spans="1:19" ht="43" hidden="1" customHeight="1">
      <c r="A1027" s="1" t="s">
        <v>2280</v>
      </c>
      <c r="B1027" s="1" t="s">
        <v>1462</v>
      </c>
      <c r="C1027" s="29">
        <v>45928.944135983802</v>
      </c>
      <c r="D1027" s="1" t="s">
        <v>3052</v>
      </c>
      <c r="E1027" s="1" t="s">
        <v>3053</v>
      </c>
      <c r="F1027" s="1">
        <v>59</v>
      </c>
      <c r="G1027" s="12" t="s">
        <v>1345</v>
      </c>
      <c r="H1027" s="1" t="s">
        <v>1345</v>
      </c>
      <c r="I1027" s="1" t="s">
        <v>71</v>
      </c>
      <c r="J1027" s="30">
        <v>3</v>
      </c>
      <c r="K1027" s="30">
        <v>65000</v>
      </c>
      <c r="L1027" s="31">
        <v>195000</v>
      </c>
      <c r="M1027" s="1" t="s">
        <v>16</v>
      </c>
      <c r="N1027" s="1" t="s">
        <v>17</v>
      </c>
      <c r="O1027" s="1" t="s">
        <v>2057</v>
      </c>
      <c r="P1027" s="1" t="s">
        <v>2056</v>
      </c>
      <c r="Q1027" s="1" t="s">
        <v>546</v>
      </c>
      <c r="R1027" s="1">
        <f t="shared" ref="R1027:R1090" si="16">ROUNDUP(MONTH(Q1027)/3,0)</f>
        <v>3</v>
      </c>
      <c r="S1027" s="4">
        <f>J1027*K1027*M1027</f>
        <v>15600</v>
      </c>
    </row>
    <row r="1028" spans="1:19" ht="43" hidden="1" customHeight="1">
      <c r="A1028" s="1" t="s">
        <v>2280</v>
      </c>
      <c r="B1028" s="1" t="s">
        <v>1467</v>
      </c>
      <c r="C1028" s="29">
        <v>45928.732318564798</v>
      </c>
      <c r="D1028" s="1" t="s">
        <v>3052</v>
      </c>
      <c r="E1028" s="1" t="s">
        <v>3053</v>
      </c>
      <c r="F1028" s="1">
        <v>38</v>
      </c>
      <c r="G1028" s="12" t="s">
        <v>1345</v>
      </c>
      <c r="H1028" s="1" t="s">
        <v>1345</v>
      </c>
      <c r="I1028" s="1" t="s">
        <v>71</v>
      </c>
      <c r="J1028" s="30">
        <v>32</v>
      </c>
      <c r="K1028" s="30">
        <v>112825</v>
      </c>
      <c r="L1028" s="31">
        <v>3610400</v>
      </c>
      <c r="M1028" s="1" t="s">
        <v>16</v>
      </c>
      <c r="N1028" s="1" t="s">
        <v>17</v>
      </c>
      <c r="O1028" s="1" t="s">
        <v>2057</v>
      </c>
      <c r="P1028" s="1" t="s">
        <v>2056</v>
      </c>
      <c r="Q1028" s="1" t="s">
        <v>546</v>
      </c>
      <c r="R1028" s="1">
        <f t="shared" si="16"/>
        <v>3</v>
      </c>
      <c r="S1028" s="4">
        <f>J1028*K1028*M1028</f>
        <v>288832</v>
      </c>
    </row>
    <row r="1029" spans="1:19" ht="43" hidden="1" customHeight="1">
      <c r="A1029" s="1" t="s">
        <v>2280</v>
      </c>
      <c r="B1029" s="1" t="s">
        <v>120</v>
      </c>
      <c r="C1029" s="29">
        <v>45838.621748888901</v>
      </c>
      <c r="D1029" s="1" t="s">
        <v>3052</v>
      </c>
      <c r="E1029" s="1" t="s">
        <v>3053</v>
      </c>
      <c r="F1029" s="1">
        <v>21</v>
      </c>
      <c r="G1029" s="12" t="s">
        <v>1345</v>
      </c>
      <c r="H1029" s="1" t="s">
        <v>1345</v>
      </c>
      <c r="I1029" s="1" t="s">
        <v>71</v>
      </c>
      <c r="J1029" s="30">
        <v>1</v>
      </c>
      <c r="K1029" s="30">
        <v>55000</v>
      </c>
      <c r="L1029" s="31">
        <v>55000</v>
      </c>
      <c r="M1029" s="1" t="s">
        <v>16</v>
      </c>
      <c r="N1029" s="1" t="s">
        <v>17</v>
      </c>
      <c r="O1029" s="1" t="s">
        <v>2057</v>
      </c>
      <c r="P1029" s="1" t="s">
        <v>2056</v>
      </c>
      <c r="Q1029" s="1" t="s">
        <v>828</v>
      </c>
      <c r="R1029" s="1">
        <f t="shared" si="16"/>
        <v>2</v>
      </c>
      <c r="S1029" s="4">
        <f>J1029*K1029*M1029</f>
        <v>4400</v>
      </c>
    </row>
    <row r="1030" spans="1:19" ht="43" hidden="1" customHeight="1">
      <c r="A1030" s="1" t="s">
        <v>2280</v>
      </c>
      <c r="B1030" s="1" t="s">
        <v>305</v>
      </c>
      <c r="C1030" s="29">
        <v>45709.705238449103</v>
      </c>
      <c r="D1030" s="1" t="s">
        <v>3052</v>
      </c>
      <c r="E1030" s="1" t="s">
        <v>3053</v>
      </c>
      <c r="F1030" s="1">
        <v>2</v>
      </c>
      <c r="G1030" s="12" t="s">
        <v>1345</v>
      </c>
      <c r="H1030" s="1" t="s">
        <v>1345</v>
      </c>
      <c r="I1030" s="1" t="s">
        <v>71</v>
      </c>
      <c r="J1030" s="30">
        <v>120</v>
      </c>
      <c r="K1030" s="30">
        <v>48800</v>
      </c>
      <c r="L1030" s="31">
        <v>5856000</v>
      </c>
      <c r="M1030" s="1" t="s">
        <v>16</v>
      </c>
      <c r="N1030" s="1" t="s">
        <v>17</v>
      </c>
      <c r="O1030" s="1" t="s">
        <v>2057</v>
      </c>
      <c r="P1030" s="1" t="s">
        <v>2056</v>
      </c>
      <c r="Q1030" s="1" t="s">
        <v>2040</v>
      </c>
      <c r="R1030" s="1">
        <f t="shared" si="16"/>
        <v>1</v>
      </c>
      <c r="S1030" s="4">
        <f>J1030*K1030*M1030</f>
        <v>468480</v>
      </c>
    </row>
    <row r="1031" spans="1:19" ht="43" hidden="1" customHeight="1">
      <c r="A1031" s="1" t="s">
        <v>2072</v>
      </c>
      <c r="B1031" s="1" t="s">
        <v>1245</v>
      </c>
      <c r="C1031" s="29">
        <v>46019.562386956</v>
      </c>
      <c r="F1031" s="1">
        <v>1</v>
      </c>
      <c r="G1031" s="12" t="s">
        <v>1282</v>
      </c>
      <c r="H1031" s="1" t="s">
        <v>1282</v>
      </c>
      <c r="I1031" s="1" t="s">
        <v>71</v>
      </c>
      <c r="J1031" s="30">
        <v>2</v>
      </c>
      <c r="K1031" s="30">
        <v>37037</v>
      </c>
      <c r="L1031" s="31">
        <v>74074</v>
      </c>
      <c r="M1031" s="1" t="s">
        <v>16</v>
      </c>
      <c r="N1031" s="1" t="s">
        <v>17</v>
      </c>
      <c r="O1031" s="1" t="s">
        <v>2057</v>
      </c>
      <c r="P1031" s="1" t="s">
        <v>2056</v>
      </c>
      <c r="Q1031" s="1" t="s">
        <v>260</v>
      </c>
      <c r="R1031" s="1">
        <f t="shared" si="16"/>
        <v>4</v>
      </c>
      <c r="S1031" s="4">
        <f>J1031*K1031*M1031</f>
        <v>5925.92</v>
      </c>
    </row>
    <row r="1032" spans="1:19" ht="43" hidden="1" customHeight="1">
      <c r="A1032" s="1" t="s">
        <v>2072</v>
      </c>
      <c r="B1032" s="1" t="s">
        <v>119</v>
      </c>
      <c r="C1032" s="29">
        <v>46013.8471471296</v>
      </c>
      <c r="F1032" s="1">
        <v>1</v>
      </c>
      <c r="G1032" s="12" t="s">
        <v>1282</v>
      </c>
      <c r="H1032" s="1" t="s">
        <v>1282</v>
      </c>
      <c r="I1032" s="1" t="s">
        <v>71</v>
      </c>
      <c r="J1032" s="30">
        <v>4</v>
      </c>
      <c r="K1032" s="30">
        <v>39351.800000000003</v>
      </c>
      <c r="L1032" s="31">
        <v>157407.20000000001</v>
      </c>
      <c r="M1032" s="1" t="s">
        <v>16</v>
      </c>
      <c r="N1032" s="1" t="s">
        <v>17</v>
      </c>
      <c r="O1032" s="1" t="s">
        <v>2057</v>
      </c>
      <c r="P1032" s="1" t="s">
        <v>2056</v>
      </c>
      <c r="Q1032" s="1" t="s">
        <v>1508</v>
      </c>
      <c r="R1032" s="1">
        <f t="shared" si="16"/>
        <v>4</v>
      </c>
      <c r="S1032" s="4">
        <f>J1032*K1032*M1032</f>
        <v>12592.576000000001</v>
      </c>
    </row>
    <row r="1033" spans="1:19" ht="43" hidden="1" customHeight="1">
      <c r="A1033" s="1" t="s">
        <v>2280</v>
      </c>
      <c r="B1033" s="1" t="s">
        <v>326</v>
      </c>
      <c r="C1033" s="29">
        <v>45960.658345080999</v>
      </c>
      <c r="D1033" s="1" t="s">
        <v>3052</v>
      </c>
      <c r="E1033" s="1" t="s">
        <v>3053</v>
      </c>
      <c r="F1033" s="1">
        <v>19</v>
      </c>
      <c r="G1033" s="12" t="s">
        <v>1282</v>
      </c>
      <c r="H1033" s="1" t="s">
        <v>1282</v>
      </c>
      <c r="I1033" s="1" t="s">
        <v>511</v>
      </c>
      <c r="J1033" s="30">
        <v>1</v>
      </c>
      <c r="K1033" s="30">
        <v>240000</v>
      </c>
      <c r="L1033" s="31">
        <v>240000</v>
      </c>
      <c r="M1033" s="1" t="s">
        <v>16</v>
      </c>
      <c r="N1033" s="1" t="s">
        <v>17</v>
      </c>
      <c r="O1033" s="1" t="s">
        <v>2057</v>
      </c>
      <c r="P1033" s="1" t="s">
        <v>2056</v>
      </c>
      <c r="Q1033" s="1" t="s">
        <v>533</v>
      </c>
      <c r="R1033" s="1">
        <f t="shared" si="16"/>
        <v>4</v>
      </c>
      <c r="S1033" s="4">
        <f>J1033*K1033*M1033</f>
        <v>19200</v>
      </c>
    </row>
    <row r="1034" spans="1:19" ht="43" hidden="1" customHeight="1">
      <c r="A1034" s="1" t="s">
        <v>2280</v>
      </c>
      <c r="B1034" s="1" t="s">
        <v>1462</v>
      </c>
      <c r="C1034" s="29">
        <v>45928.944135983802</v>
      </c>
      <c r="D1034" s="1" t="s">
        <v>3052</v>
      </c>
      <c r="E1034" s="1" t="s">
        <v>3053</v>
      </c>
      <c r="F1034" s="1">
        <v>28</v>
      </c>
      <c r="G1034" s="12" t="s">
        <v>1282</v>
      </c>
      <c r="H1034" s="1" t="s">
        <v>1282</v>
      </c>
      <c r="I1034" s="1" t="s">
        <v>130</v>
      </c>
      <c r="J1034" s="30">
        <v>2</v>
      </c>
      <c r="K1034" s="30">
        <v>240000</v>
      </c>
      <c r="L1034" s="31">
        <v>480000</v>
      </c>
      <c r="M1034" s="1" t="s">
        <v>16</v>
      </c>
      <c r="N1034" s="1" t="s">
        <v>17</v>
      </c>
      <c r="O1034" s="1" t="s">
        <v>2057</v>
      </c>
      <c r="P1034" s="1" t="s">
        <v>2056</v>
      </c>
      <c r="Q1034" s="1" t="s">
        <v>546</v>
      </c>
      <c r="R1034" s="1">
        <f t="shared" si="16"/>
        <v>3</v>
      </c>
      <c r="S1034" s="4">
        <f>J1034*K1034*M1034</f>
        <v>38400</v>
      </c>
    </row>
    <row r="1035" spans="1:19" ht="43" hidden="1" customHeight="1">
      <c r="A1035" s="1" t="s">
        <v>2280</v>
      </c>
      <c r="B1035" s="1" t="s">
        <v>152</v>
      </c>
      <c r="C1035" s="29">
        <v>45836.413450243097</v>
      </c>
      <c r="D1035" s="1" t="s">
        <v>3052</v>
      </c>
      <c r="E1035" s="1" t="s">
        <v>3053</v>
      </c>
      <c r="F1035" s="1">
        <v>4</v>
      </c>
      <c r="G1035" s="12" t="s">
        <v>1282</v>
      </c>
      <c r="H1035" s="1" t="s">
        <v>1282</v>
      </c>
      <c r="I1035" s="1" t="s">
        <v>71</v>
      </c>
      <c r="J1035" s="30">
        <v>5</v>
      </c>
      <c r="K1035" s="30">
        <v>40000</v>
      </c>
      <c r="L1035" s="31">
        <v>200000</v>
      </c>
      <c r="M1035" s="1" t="s">
        <v>16</v>
      </c>
      <c r="N1035" s="1" t="s">
        <v>17</v>
      </c>
      <c r="O1035" s="1" t="s">
        <v>2057</v>
      </c>
      <c r="P1035" s="1" t="s">
        <v>2056</v>
      </c>
      <c r="Q1035" s="1" t="s">
        <v>845</v>
      </c>
      <c r="R1035" s="1">
        <f t="shared" si="16"/>
        <v>2</v>
      </c>
      <c r="S1035" s="4">
        <f>J1035*K1035*M1035</f>
        <v>16000</v>
      </c>
    </row>
    <row r="1036" spans="1:19" ht="43" hidden="1" customHeight="1">
      <c r="A1036" s="1" t="s">
        <v>2280</v>
      </c>
      <c r="B1036" s="1" t="s">
        <v>305</v>
      </c>
      <c r="C1036" s="29">
        <v>45709.705238449103</v>
      </c>
      <c r="D1036" s="1" t="s">
        <v>3052</v>
      </c>
      <c r="E1036" s="1" t="s">
        <v>3053</v>
      </c>
      <c r="F1036" s="1">
        <v>3</v>
      </c>
      <c r="G1036" s="12" t="s">
        <v>1282</v>
      </c>
      <c r="H1036" s="1" t="s">
        <v>1282</v>
      </c>
      <c r="I1036" s="1" t="s">
        <v>71</v>
      </c>
      <c r="J1036" s="30">
        <v>130</v>
      </c>
      <c r="K1036" s="30">
        <v>38000</v>
      </c>
      <c r="L1036" s="31">
        <v>4940000</v>
      </c>
      <c r="M1036" s="1" t="s">
        <v>16</v>
      </c>
      <c r="N1036" s="1" t="s">
        <v>17</v>
      </c>
      <c r="O1036" s="1" t="s">
        <v>2057</v>
      </c>
      <c r="P1036" s="1" t="s">
        <v>2056</v>
      </c>
      <c r="Q1036" s="1" t="s">
        <v>2040</v>
      </c>
      <c r="R1036" s="1">
        <f t="shared" si="16"/>
        <v>1</v>
      </c>
      <c r="S1036" s="4">
        <f>J1036*K1036*M1036</f>
        <v>395200</v>
      </c>
    </row>
    <row r="1037" spans="1:19" ht="43" hidden="1" customHeight="1">
      <c r="A1037" s="1" t="s">
        <v>2280</v>
      </c>
      <c r="B1037" s="1" t="s">
        <v>13</v>
      </c>
      <c r="C1037" s="29">
        <v>45776.499996342602</v>
      </c>
      <c r="D1037" s="1" t="s">
        <v>3052</v>
      </c>
      <c r="E1037" s="1" t="s">
        <v>3053</v>
      </c>
      <c r="F1037" s="1">
        <v>78</v>
      </c>
      <c r="G1037" s="12" t="s">
        <v>2835</v>
      </c>
      <c r="H1037" s="1" t="s">
        <v>1977</v>
      </c>
      <c r="I1037" s="1" t="s">
        <v>130</v>
      </c>
      <c r="J1037" s="30">
        <v>5</v>
      </c>
      <c r="K1037" s="30">
        <v>85000</v>
      </c>
      <c r="L1037" s="31">
        <v>425000</v>
      </c>
      <c r="M1037" s="1" t="s">
        <v>16</v>
      </c>
      <c r="N1037" s="1" t="s">
        <v>17</v>
      </c>
      <c r="O1037" s="1" t="s">
        <v>2057</v>
      </c>
      <c r="P1037" s="1" t="s">
        <v>2056</v>
      </c>
      <c r="Q1037" s="1" t="s">
        <v>937</v>
      </c>
      <c r="R1037" s="1">
        <f t="shared" si="16"/>
        <v>2</v>
      </c>
      <c r="S1037" s="4">
        <f>J1037*K1037*M1037</f>
        <v>34000</v>
      </c>
    </row>
    <row r="1038" spans="1:19" ht="43" customHeight="1">
      <c r="A1038" s="1" t="s">
        <v>2280</v>
      </c>
      <c r="B1038" s="1" t="s">
        <v>13</v>
      </c>
      <c r="C1038" s="29">
        <v>45776.499996342602</v>
      </c>
      <c r="D1038" s="1" t="s">
        <v>3052</v>
      </c>
      <c r="E1038" s="1" t="s">
        <v>3053</v>
      </c>
      <c r="F1038" s="1">
        <v>50</v>
      </c>
      <c r="H1038" s="1" t="s">
        <v>1958</v>
      </c>
      <c r="I1038" s="1" t="s">
        <v>47</v>
      </c>
      <c r="J1038" s="30">
        <v>100</v>
      </c>
      <c r="K1038" s="30">
        <v>33000</v>
      </c>
      <c r="L1038" s="31">
        <v>3300000</v>
      </c>
      <c r="M1038" s="1" t="s">
        <v>16</v>
      </c>
      <c r="N1038" s="1" t="s">
        <v>17</v>
      </c>
      <c r="O1038" s="1" t="s">
        <v>2057</v>
      </c>
      <c r="P1038" s="1" t="s">
        <v>2056</v>
      </c>
      <c r="Q1038" s="1" t="s">
        <v>937</v>
      </c>
      <c r="R1038" s="1">
        <f t="shared" si="16"/>
        <v>2</v>
      </c>
      <c r="S1038" s="4">
        <f>J1038*K1038*M1038</f>
        <v>264000</v>
      </c>
    </row>
    <row r="1039" spans="1:19" ht="43" customHeight="1">
      <c r="A1039" s="1" t="s">
        <v>2280</v>
      </c>
      <c r="B1039" s="1" t="s">
        <v>1412</v>
      </c>
      <c r="C1039" s="29">
        <v>45898.896986157401</v>
      </c>
      <c r="D1039" s="1" t="s">
        <v>3052</v>
      </c>
      <c r="E1039" s="1" t="s">
        <v>3053</v>
      </c>
      <c r="F1039" s="1">
        <v>13</v>
      </c>
      <c r="H1039" s="1" t="s">
        <v>1668</v>
      </c>
      <c r="I1039" s="1" t="s">
        <v>511</v>
      </c>
      <c r="J1039" s="30">
        <v>1</v>
      </c>
      <c r="K1039" s="30">
        <v>50000</v>
      </c>
      <c r="L1039" s="31">
        <v>50000</v>
      </c>
      <c r="M1039" s="1" t="s">
        <v>16</v>
      </c>
      <c r="N1039" s="1" t="s">
        <v>17</v>
      </c>
      <c r="O1039" s="1" t="s">
        <v>2057</v>
      </c>
      <c r="P1039" s="1" t="s">
        <v>2056</v>
      </c>
      <c r="Q1039" s="1" t="s">
        <v>652</v>
      </c>
      <c r="R1039" s="1">
        <f t="shared" si="16"/>
        <v>3</v>
      </c>
      <c r="S1039" s="4">
        <f>J1039*K1039*M1039</f>
        <v>4000</v>
      </c>
    </row>
    <row r="1040" spans="1:19" ht="43" hidden="1" customHeight="1">
      <c r="A1040" s="1" t="s">
        <v>2280</v>
      </c>
      <c r="B1040" s="1" t="s">
        <v>1412</v>
      </c>
      <c r="C1040" s="29">
        <v>45898.896986157401</v>
      </c>
      <c r="D1040" s="1" t="s">
        <v>3052</v>
      </c>
      <c r="E1040" s="1" t="s">
        <v>3053</v>
      </c>
      <c r="F1040" s="1">
        <v>14</v>
      </c>
      <c r="G1040" s="12" t="s">
        <v>2839</v>
      </c>
      <c r="H1040" s="1" t="s">
        <v>1669</v>
      </c>
      <c r="I1040" s="1" t="s">
        <v>71</v>
      </c>
      <c r="J1040" s="30">
        <v>2</v>
      </c>
      <c r="K1040" s="30">
        <v>60000</v>
      </c>
      <c r="L1040" s="31">
        <v>120000</v>
      </c>
      <c r="M1040" s="1" t="s">
        <v>16</v>
      </c>
      <c r="N1040" s="1" t="s">
        <v>17</v>
      </c>
      <c r="O1040" s="1" t="s">
        <v>2057</v>
      </c>
      <c r="P1040" s="1" t="s">
        <v>2056</v>
      </c>
      <c r="Q1040" s="1" t="s">
        <v>652</v>
      </c>
      <c r="R1040" s="1">
        <f t="shared" si="16"/>
        <v>3</v>
      </c>
      <c r="S1040" s="4">
        <f>J1040*K1040*M1040</f>
        <v>9600</v>
      </c>
    </row>
    <row r="1041" spans="1:19" ht="43" hidden="1" customHeight="1">
      <c r="A1041" s="1" t="s">
        <v>2280</v>
      </c>
      <c r="B1041" s="1" t="s">
        <v>120</v>
      </c>
      <c r="C1041" s="29">
        <v>45838.621748888901</v>
      </c>
      <c r="D1041" s="1" t="s">
        <v>3052</v>
      </c>
      <c r="E1041" s="1" t="s">
        <v>3053</v>
      </c>
      <c r="F1041" s="1">
        <v>6</v>
      </c>
      <c r="G1041" s="12" t="s">
        <v>1312</v>
      </c>
      <c r="H1041" s="1" t="s">
        <v>1822</v>
      </c>
      <c r="I1041" s="1" t="s">
        <v>71</v>
      </c>
      <c r="J1041" s="30">
        <v>10</v>
      </c>
      <c r="K1041" s="30">
        <v>30000</v>
      </c>
      <c r="L1041" s="31">
        <v>300000</v>
      </c>
      <c r="M1041" s="1" t="s">
        <v>16</v>
      </c>
      <c r="N1041" s="1" t="s">
        <v>17</v>
      </c>
      <c r="O1041" s="1" t="s">
        <v>2057</v>
      </c>
      <c r="P1041" s="1" t="s">
        <v>2056</v>
      </c>
      <c r="Q1041" s="1" t="s">
        <v>828</v>
      </c>
      <c r="R1041" s="1">
        <f t="shared" si="16"/>
        <v>2</v>
      </c>
      <c r="S1041" s="4">
        <f>J1041*K1041*M1041</f>
        <v>24000</v>
      </c>
    </row>
    <row r="1042" spans="1:19" ht="43" customHeight="1">
      <c r="A1042" s="1" t="s">
        <v>2280</v>
      </c>
      <c r="B1042" s="1" t="s">
        <v>1412</v>
      </c>
      <c r="C1042" s="29">
        <v>45898.896986157401</v>
      </c>
      <c r="D1042" s="1" t="s">
        <v>3052</v>
      </c>
      <c r="E1042" s="1" t="s">
        <v>3053</v>
      </c>
      <c r="F1042" s="1">
        <v>33</v>
      </c>
      <c r="H1042" s="1" t="s">
        <v>1687</v>
      </c>
      <c r="I1042" s="1" t="s">
        <v>511</v>
      </c>
      <c r="J1042" s="30">
        <v>3</v>
      </c>
      <c r="K1042" s="30">
        <v>65000</v>
      </c>
      <c r="L1042" s="31">
        <v>195000</v>
      </c>
      <c r="M1042" s="1" t="s">
        <v>16</v>
      </c>
      <c r="N1042" s="1" t="s">
        <v>17</v>
      </c>
      <c r="O1042" s="1" t="s">
        <v>2057</v>
      </c>
      <c r="P1042" s="1" t="s">
        <v>2056</v>
      </c>
      <c r="Q1042" s="1" t="s">
        <v>652</v>
      </c>
      <c r="R1042" s="1">
        <f t="shared" si="16"/>
        <v>3</v>
      </c>
      <c r="S1042" s="4">
        <f>J1042*K1042*M1042</f>
        <v>15600</v>
      </c>
    </row>
    <row r="1043" spans="1:19" ht="43" hidden="1" customHeight="1">
      <c r="A1043" s="1" t="s">
        <v>2280</v>
      </c>
      <c r="B1043" s="1" t="s">
        <v>13</v>
      </c>
      <c r="C1043" s="29">
        <v>45776.499996342602</v>
      </c>
      <c r="D1043" s="1" t="s">
        <v>3052</v>
      </c>
      <c r="E1043" s="1" t="s">
        <v>3053</v>
      </c>
      <c r="F1043" s="1">
        <v>45</v>
      </c>
      <c r="G1043" s="12" t="s">
        <v>2836</v>
      </c>
      <c r="H1043" s="1" t="s">
        <v>1954</v>
      </c>
      <c r="I1043" s="1" t="s">
        <v>133</v>
      </c>
      <c r="J1043" s="30">
        <v>12</v>
      </c>
      <c r="K1043" s="30">
        <v>45000</v>
      </c>
      <c r="L1043" s="31">
        <v>540000</v>
      </c>
      <c r="M1043" s="1" t="s">
        <v>16</v>
      </c>
      <c r="N1043" s="1" t="s">
        <v>17</v>
      </c>
      <c r="O1043" s="1" t="s">
        <v>2057</v>
      </c>
      <c r="P1043" s="1" t="s">
        <v>2056</v>
      </c>
      <c r="Q1043" s="1" t="s">
        <v>937</v>
      </c>
      <c r="R1043" s="1">
        <f t="shared" si="16"/>
        <v>2</v>
      </c>
      <c r="S1043" s="4">
        <f>J1043*K1043*M1043</f>
        <v>43200</v>
      </c>
    </row>
    <row r="1044" spans="1:19" ht="43" hidden="1" customHeight="1">
      <c r="A1044" s="1" t="s">
        <v>2280</v>
      </c>
      <c r="B1044" s="1" t="s">
        <v>13</v>
      </c>
      <c r="C1044" s="29">
        <v>45776.499996342602</v>
      </c>
      <c r="D1044" s="1" t="s">
        <v>3052</v>
      </c>
      <c r="E1044" s="1" t="s">
        <v>3053</v>
      </c>
      <c r="F1044" s="1">
        <v>34</v>
      </c>
      <c r="G1044" s="12" t="s">
        <v>2838</v>
      </c>
      <c r="H1044" s="1" t="s">
        <v>1947</v>
      </c>
      <c r="I1044" s="1" t="s">
        <v>130</v>
      </c>
      <c r="J1044" s="30">
        <v>10</v>
      </c>
      <c r="K1044" s="30">
        <v>20000</v>
      </c>
      <c r="L1044" s="31">
        <v>200000</v>
      </c>
      <c r="M1044" s="1" t="s">
        <v>16</v>
      </c>
      <c r="N1044" s="1" t="s">
        <v>17</v>
      </c>
      <c r="O1044" s="1" t="s">
        <v>2057</v>
      </c>
      <c r="P1044" s="1" t="s">
        <v>2056</v>
      </c>
      <c r="Q1044" s="1" t="s">
        <v>937</v>
      </c>
      <c r="R1044" s="1">
        <f t="shared" si="16"/>
        <v>2</v>
      </c>
      <c r="S1044" s="4">
        <f>J1044*K1044*M1044</f>
        <v>16000</v>
      </c>
    </row>
    <row r="1045" spans="1:19" ht="43" hidden="1" customHeight="1">
      <c r="A1045" s="1" t="s">
        <v>2280</v>
      </c>
      <c r="B1045" s="1" t="s">
        <v>1400</v>
      </c>
      <c r="C1045" s="29">
        <v>45990.721094398097</v>
      </c>
      <c r="D1045" s="1" t="s">
        <v>3052</v>
      </c>
      <c r="E1045" s="1" t="s">
        <v>3053</v>
      </c>
      <c r="F1045" s="1">
        <v>10</v>
      </c>
      <c r="G1045" s="12" t="s">
        <v>2835</v>
      </c>
      <c r="H1045" s="1" t="s">
        <v>1384</v>
      </c>
      <c r="I1045" s="1" t="s">
        <v>511</v>
      </c>
      <c r="J1045" s="30">
        <v>1</v>
      </c>
      <c r="K1045" s="30">
        <v>320000</v>
      </c>
      <c r="L1045" s="31">
        <v>320000</v>
      </c>
      <c r="M1045" s="1" t="s">
        <v>16</v>
      </c>
      <c r="N1045" s="1" t="s">
        <v>17</v>
      </c>
      <c r="O1045" s="1" t="s">
        <v>2057</v>
      </c>
      <c r="P1045" s="1" t="s">
        <v>2056</v>
      </c>
      <c r="Q1045" s="1" t="s">
        <v>1531</v>
      </c>
      <c r="R1045" s="1">
        <f t="shared" si="16"/>
        <v>4</v>
      </c>
      <c r="S1045" s="4">
        <f>J1045*K1045*M1045</f>
        <v>25600</v>
      </c>
    </row>
    <row r="1046" spans="1:19" ht="43" hidden="1" customHeight="1">
      <c r="A1046" s="1" t="s">
        <v>2280</v>
      </c>
      <c r="B1046" s="1" t="s">
        <v>1158</v>
      </c>
      <c r="C1046" s="29">
        <v>45868.606624756903</v>
      </c>
      <c r="D1046" s="1" t="s">
        <v>3052</v>
      </c>
      <c r="E1046" s="1" t="s">
        <v>3053</v>
      </c>
      <c r="F1046" s="1">
        <v>14</v>
      </c>
      <c r="G1046" s="12" t="s">
        <v>2835</v>
      </c>
      <c r="H1046" s="1" t="s">
        <v>1384</v>
      </c>
      <c r="I1046" s="1" t="s">
        <v>1342</v>
      </c>
      <c r="J1046" s="30">
        <v>1</v>
      </c>
      <c r="K1046" s="30">
        <v>220000</v>
      </c>
      <c r="L1046" s="31">
        <v>220000</v>
      </c>
      <c r="M1046" s="1" t="s">
        <v>16</v>
      </c>
      <c r="N1046" s="1" t="s">
        <v>17</v>
      </c>
      <c r="O1046" s="1" t="s">
        <v>2057</v>
      </c>
      <c r="P1046" s="1" t="s">
        <v>2056</v>
      </c>
      <c r="Q1046" s="1" t="s">
        <v>800</v>
      </c>
      <c r="R1046" s="1">
        <f t="shared" si="16"/>
        <v>3</v>
      </c>
      <c r="S1046" s="4">
        <f>J1046*K1046*M1046</f>
        <v>17600</v>
      </c>
    </row>
    <row r="1047" spans="1:19" ht="43" hidden="1" customHeight="1">
      <c r="A1047" s="1" t="s">
        <v>2280</v>
      </c>
      <c r="B1047" s="1" t="s">
        <v>1462</v>
      </c>
      <c r="C1047" s="29">
        <v>45928.944135983802</v>
      </c>
      <c r="D1047" s="1" t="s">
        <v>3052</v>
      </c>
      <c r="E1047" s="1" t="s">
        <v>3053</v>
      </c>
      <c r="F1047" s="1">
        <v>27</v>
      </c>
      <c r="G1047" s="12" t="s">
        <v>1312</v>
      </c>
      <c r="H1047" s="1" t="s">
        <v>1312</v>
      </c>
      <c r="I1047" s="1" t="s">
        <v>130</v>
      </c>
      <c r="J1047" s="30">
        <v>1</v>
      </c>
      <c r="K1047" s="30">
        <v>35000</v>
      </c>
      <c r="L1047" s="31">
        <v>35000</v>
      </c>
      <c r="M1047" s="1" t="s">
        <v>16</v>
      </c>
      <c r="N1047" s="1" t="s">
        <v>17</v>
      </c>
      <c r="O1047" s="1" t="s">
        <v>2057</v>
      </c>
      <c r="P1047" s="1" t="s">
        <v>2056</v>
      </c>
      <c r="Q1047" s="1" t="s">
        <v>546</v>
      </c>
      <c r="R1047" s="1">
        <f t="shared" si="16"/>
        <v>3</v>
      </c>
      <c r="S1047" s="4">
        <f>J1047*K1047*M1047</f>
        <v>2800</v>
      </c>
    </row>
    <row r="1048" spans="1:19" ht="43" customHeight="1">
      <c r="A1048" s="1" t="s">
        <v>2280</v>
      </c>
      <c r="B1048" s="1" t="s">
        <v>1412</v>
      </c>
      <c r="C1048" s="29">
        <v>45898.896986157401</v>
      </c>
      <c r="D1048" s="1" t="s">
        <v>3052</v>
      </c>
      <c r="E1048" s="1" t="s">
        <v>3053</v>
      </c>
      <c r="F1048" s="1">
        <v>12</v>
      </c>
      <c r="H1048" s="1" t="s">
        <v>1667</v>
      </c>
      <c r="I1048" s="1" t="s">
        <v>71</v>
      </c>
      <c r="J1048" s="30">
        <v>10</v>
      </c>
      <c r="K1048" s="30">
        <v>10000</v>
      </c>
      <c r="L1048" s="31">
        <v>100000</v>
      </c>
      <c r="M1048" s="1" t="s">
        <v>16</v>
      </c>
      <c r="N1048" s="1" t="s">
        <v>17</v>
      </c>
      <c r="O1048" s="1" t="s">
        <v>2057</v>
      </c>
      <c r="P1048" s="1" t="s">
        <v>2056</v>
      </c>
      <c r="Q1048" s="1" t="s">
        <v>652</v>
      </c>
      <c r="R1048" s="1">
        <f t="shared" si="16"/>
        <v>3</v>
      </c>
      <c r="S1048" s="4">
        <f>J1048*K1048*M1048</f>
        <v>8000</v>
      </c>
    </row>
    <row r="1049" spans="1:19" ht="43" customHeight="1">
      <c r="A1049" s="1" t="s">
        <v>2072</v>
      </c>
      <c r="B1049" s="1" t="s">
        <v>1005</v>
      </c>
      <c r="C1049" s="29">
        <v>46018.663558414402</v>
      </c>
      <c r="D1049" s="1" t="s">
        <v>3063</v>
      </c>
      <c r="E1049" s="1" t="s">
        <v>3062</v>
      </c>
      <c r="F1049" s="1">
        <v>3</v>
      </c>
      <c r="H1049" s="1" t="s">
        <v>211</v>
      </c>
      <c r="I1049" s="1" t="s">
        <v>47</v>
      </c>
      <c r="J1049" s="30">
        <v>400</v>
      </c>
      <c r="K1049" s="30">
        <v>5210</v>
      </c>
      <c r="L1049" s="31">
        <v>2084000</v>
      </c>
      <c r="M1049" s="1" t="s">
        <v>16</v>
      </c>
      <c r="N1049" s="1" t="s">
        <v>17</v>
      </c>
      <c r="O1049" s="1" t="s">
        <v>2057</v>
      </c>
      <c r="P1049" s="1" t="s">
        <v>2056</v>
      </c>
      <c r="Q1049" s="1" t="s">
        <v>293</v>
      </c>
      <c r="R1049" s="1">
        <f t="shared" si="16"/>
        <v>4</v>
      </c>
      <c r="S1049" s="4">
        <f>J1049*K1049*M1049</f>
        <v>166720</v>
      </c>
    </row>
    <row r="1050" spans="1:19" ht="43" customHeight="1">
      <c r="A1050" s="1" t="s">
        <v>2280</v>
      </c>
      <c r="B1050" s="1" t="s">
        <v>206</v>
      </c>
      <c r="C1050" s="29">
        <v>45892.673756828699</v>
      </c>
      <c r="D1050" s="1" t="s">
        <v>3060</v>
      </c>
      <c r="E1050" s="1" t="s">
        <v>3049</v>
      </c>
      <c r="F1050" s="1">
        <v>3</v>
      </c>
      <c r="G1050" s="32"/>
      <c r="H1050" s="1" t="s">
        <v>1732</v>
      </c>
      <c r="I1050" s="1" t="s">
        <v>62</v>
      </c>
      <c r="J1050" s="30">
        <v>568.1</v>
      </c>
      <c r="K1050" s="30">
        <v>17457.6659</v>
      </c>
      <c r="L1050" s="31">
        <v>9917700</v>
      </c>
      <c r="M1050" s="1" t="s">
        <v>30</v>
      </c>
      <c r="N1050" s="1" t="s">
        <v>17</v>
      </c>
      <c r="O1050" s="1" t="s">
        <v>2057</v>
      </c>
      <c r="P1050" s="1" t="s">
        <v>2056</v>
      </c>
      <c r="Q1050" s="1" t="s">
        <v>686</v>
      </c>
      <c r="R1050" s="1">
        <f t="shared" si="16"/>
        <v>3</v>
      </c>
      <c r="S1050" s="4">
        <f>J1050*K1050*M1050</f>
        <v>991769.99977899995</v>
      </c>
    </row>
    <row r="1051" spans="1:19" ht="43" customHeight="1">
      <c r="A1051" s="1" t="s">
        <v>2280</v>
      </c>
      <c r="B1051" s="1" t="s">
        <v>82</v>
      </c>
      <c r="C1051" s="29">
        <v>45960.657712604203</v>
      </c>
      <c r="D1051" s="1" t="s">
        <v>3056</v>
      </c>
      <c r="E1051" s="1" t="s">
        <v>3057</v>
      </c>
      <c r="F1051" s="1">
        <v>2</v>
      </c>
      <c r="H1051" s="1" t="s">
        <v>1576</v>
      </c>
      <c r="I1051" s="1" t="s">
        <v>62</v>
      </c>
      <c r="J1051" s="30">
        <v>42.25</v>
      </c>
      <c r="K1051" s="30">
        <v>18500</v>
      </c>
      <c r="L1051" s="31">
        <v>781625</v>
      </c>
      <c r="M1051" s="1" t="s">
        <v>30</v>
      </c>
      <c r="N1051" s="1" t="s">
        <v>17</v>
      </c>
      <c r="O1051" s="1" t="s">
        <v>2057</v>
      </c>
      <c r="P1051" s="1" t="s">
        <v>2056</v>
      </c>
      <c r="Q1051" s="1" t="s">
        <v>533</v>
      </c>
      <c r="R1051" s="1">
        <f t="shared" si="16"/>
        <v>4</v>
      </c>
      <c r="S1051" s="4">
        <f>J1051*K1051*M1051</f>
        <v>78162.5</v>
      </c>
    </row>
    <row r="1052" spans="1:19" ht="43" customHeight="1">
      <c r="A1052" s="1" t="s">
        <v>2072</v>
      </c>
      <c r="B1052" s="1" t="s">
        <v>194</v>
      </c>
      <c r="C1052" s="29">
        <v>46013.422271064803</v>
      </c>
      <c r="D1052" s="1" t="s">
        <v>3077</v>
      </c>
      <c r="E1052" s="1" t="s">
        <v>3078</v>
      </c>
      <c r="F1052" s="1">
        <v>1</v>
      </c>
      <c r="H1052" s="1" t="s">
        <v>1509</v>
      </c>
      <c r="I1052" s="1" t="s">
        <v>62</v>
      </c>
      <c r="J1052" s="30">
        <v>370.6</v>
      </c>
      <c r="K1052" s="30">
        <v>20000</v>
      </c>
      <c r="L1052" s="31">
        <v>7412000</v>
      </c>
      <c r="M1052" s="1" t="s">
        <v>30</v>
      </c>
      <c r="N1052" s="1" t="s">
        <v>17</v>
      </c>
      <c r="O1052" s="1" t="s">
        <v>2057</v>
      </c>
      <c r="P1052" s="1" t="s">
        <v>2056</v>
      </c>
      <c r="Q1052" s="1" t="s">
        <v>1508</v>
      </c>
      <c r="R1052" s="1">
        <f t="shared" si="16"/>
        <v>4</v>
      </c>
      <c r="S1052" s="4">
        <f>J1052*K1052*M1052</f>
        <v>741200</v>
      </c>
    </row>
    <row r="1053" spans="1:19" ht="43" customHeight="1">
      <c r="A1053" s="1" t="s">
        <v>2280</v>
      </c>
      <c r="B1053" s="1" t="s">
        <v>137</v>
      </c>
      <c r="C1053" s="29">
        <v>45868.572525138901</v>
      </c>
      <c r="D1053" s="1" t="s">
        <v>3056</v>
      </c>
      <c r="E1053" s="1" t="s">
        <v>3057</v>
      </c>
      <c r="F1053" s="1">
        <v>1</v>
      </c>
      <c r="H1053" s="1" t="s">
        <v>1757</v>
      </c>
      <c r="I1053" s="1" t="s">
        <v>62</v>
      </c>
      <c r="J1053" s="30">
        <v>46.06</v>
      </c>
      <c r="K1053" s="30">
        <v>18500</v>
      </c>
      <c r="L1053" s="31">
        <v>852000</v>
      </c>
      <c r="M1053" s="1" t="s">
        <v>30</v>
      </c>
      <c r="N1053" s="1" t="s">
        <v>17</v>
      </c>
      <c r="O1053" s="1" t="s">
        <v>2057</v>
      </c>
      <c r="P1053" s="1" t="s">
        <v>2056</v>
      </c>
      <c r="Q1053" s="1" t="s">
        <v>800</v>
      </c>
      <c r="R1053" s="1">
        <f t="shared" si="16"/>
        <v>3</v>
      </c>
      <c r="S1053" s="4">
        <f>J1053*K1053*M1053</f>
        <v>85211</v>
      </c>
    </row>
    <row r="1054" spans="1:19" ht="43" hidden="1" customHeight="1">
      <c r="A1054" s="1" t="s">
        <v>2072</v>
      </c>
      <c r="B1054" s="1" t="s">
        <v>1294</v>
      </c>
      <c r="C1054" s="29">
        <v>46021.613942164397</v>
      </c>
      <c r="D1054" s="1" t="s">
        <v>3052</v>
      </c>
      <c r="E1054" s="1" t="s">
        <v>3053</v>
      </c>
      <c r="F1054" s="1">
        <v>55</v>
      </c>
      <c r="G1054" s="12" t="s">
        <v>830</v>
      </c>
      <c r="H1054" s="1" t="s">
        <v>830</v>
      </c>
      <c r="I1054" s="1" t="s">
        <v>638</v>
      </c>
      <c r="J1054" s="30">
        <v>1</v>
      </c>
      <c r="K1054" s="30">
        <v>70000</v>
      </c>
      <c r="L1054" s="31">
        <v>70000</v>
      </c>
      <c r="M1054" s="1" t="s">
        <v>16</v>
      </c>
      <c r="N1054" s="1" t="s">
        <v>17</v>
      </c>
      <c r="O1054" s="1" t="s">
        <v>2057</v>
      </c>
      <c r="P1054" s="1" t="s">
        <v>2056</v>
      </c>
      <c r="Q1054" s="1" t="s">
        <v>1474</v>
      </c>
      <c r="R1054" s="1">
        <f t="shared" si="16"/>
        <v>4</v>
      </c>
      <c r="S1054" s="4">
        <f>J1054*K1054*M1054</f>
        <v>5600</v>
      </c>
    </row>
    <row r="1055" spans="1:19" ht="43" hidden="1" customHeight="1">
      <c r="A1055" s="1" t="s">
        <v>2072</v>
      </c>
      <c r="B1055" s="1" t="s">
        <v>146</v>
      </c>
      <c r="C1055" s="29">
        <v>46020.386763703696</v>
      </c>
      <c r="D1055" s="1" t="s">
        <v>3052</v>
      </c>
      <c r="E1055" s="1" t="s">
        <v>3053</v>
      </c>
      <c r="F1055" s="1">
        <v>16</v>
      </c>
      <c r="G1055" s="12" t="s">
        <v>830</v>
      </c>
      <c r="H1055" s="1" t="s">
        <v>830</v>
      </c>
      <c r="I1055" s="1" t="s">
        <v>638</v>
      </c>
      <c r="J1055" s="30">
        <v>2</v>
      </c>
      <c r="K1055" s="30">
        <v>60000</v>
      </c>
      <c r="L1055" s="31">
        <v>120000</v>
      </c>
      <c r="M1055" s="1" t="s">
        <v>16</v>
      </c>
      <c r="N1055" s="1" t="s">
        <v>17</v>
      </c>
      <c r="O1055" s="1" t="s">
        <v>2057</v>
      </c>
      <c r="P1055" s="1" t="s">
        <v>2056</v>
      </c>
      <c r="Q1055" s="1" t="s">
        <v>275</v>
      </c>
      <c r="R1055" s="1">
        <f t="shared" si="16"/>
        <v>4</v>
      </c>
      <c r="S1055" s="4">
        <f>J1055*K1055*M1055</f>
        <v>9600</v>
      </c>
    </row>
    <row r="1056" spans="1:19" ht="43" hidden="1" customHeight="1">
      <c r="A1056" s="1" t="s">
        <v>2280</v>
      </c>
      <c r="B1056" s="1" t="s">
        <v>1400</v>
      </c>
      <c r="C1056" s="29">
        <v>45990.721094398097</v>
      </c>
      <c r="D1056" s="1" t="s">
        <v>3052</v>
      </c>
      <c r="E1056" s="1" t="s">
        <v>3053</v>
      </c>
      <c r="F1056" s="1">
        <v>56</v>
      </c>
      <c r="G1056" s="12" t="s">
        <v>830</v>
      </c>
      <c r="H1056" s="1" t="s">
        <v>830</v>
      </c>
      <c r="I1056" s="1" t="s">
        <v>638</v>
      </c>
      <c r="J1056" s="30">
        <v>2</v>
      </c>
      <c r="K1056" s="30">
        <v>90000</v>
      </c>
      <c r="L1056" s="31">
        <v>180000</v>
      </c>
      <c r="M1056" s="1" t="s">
        <v>16</v>
      </c>
      <c r="N1056" s="1" t="s">
        <v>17</v>
      </c>
      <c r="O1056" s="1" t="s">
        <v>2057</v>
      </c>
      <c r="P1056" s="1" t="s">
        <v>2056</v>
      </c>
      <c r="Q1056" s="1" t="s">
        <v>1531</v>
      </c>
      <c r="R1056" s="1">
        <f t="shared" si="16"/>
        <v>4</v>
      </c>
      <c r="S1056" s="4">
        <f>J1056*K1056*M1056</f>
        <v>14400</v>
      </c>
    </row>
    <row r="1057" spans="1:19" ht="43" hidden="1" customHeight="1">
      <c r="A1057" s="1" t="s">
        <v>2280</v>
      </c>
      <c r="B1057" s="1" t="s">
        <v>1462</v>
      </c>
      <c r="C1057" s="29">
        <v>45928.944135983802</v>
      </c>
      <c r="D1057" s="1" t="s">
        <v>3052</v>
      </c>
      <c r="E1057" s="1" t="s">
        <v>3053</v>
      </c>
      <c r="F1057" s="1">
        <v>46</v>
      </c>
      <c r="G1057" s="12" t="s">
        <v>830</v>
      </c>
      <c r="H1057" s="1" t="s">
        <v>830</v>
      </c>
      <c r="I1057" s="1" t="s">
        <v>638</v>
      </c>
      <c r="J1057" s="30">
        <v>1</v>
      </c>
      <c r="K1057" s="30">
        <v>75000</v>
      </c>
      <c r="L1057" s="31">
        <v>75000</v>
      </c>
      <c r="M1057" s="1" t="s">
        <v>16</v>
      </c>
      <c r="N1057" s="1" t="s">
        <v>17</v>
      </c>
      <c r="O1057" s="1" t="s">
        <v>2057</v>
      </c>
      <c r="P1057" s="1" t="s">
        <v>2056</v>
      </c>
      <c r="Q1057" s="1" t="s">
        <v>546</v>
      </c>
      <c r="R1057" s="1">
        <f t="shared" si="16"/>
        <v>3</v>
      </c>
      <c r="S1057" s="4">
        <f>J1057*K1057*M1057</f>
        <v>6000</v>
      </c>
    </row>
    <row r="1058" spans="1:19" ht="43" hidden="1" customHeight="1">
      <c r="A1058" s="1" t="s">
        <v>2280</v>
      </c>
      <c r="B1058" s="1" t="s">
        <v>1158</v>
      </c>
      <c r="C1058" s="29">
        <v>45868.606624756903</v>
      </c>
      <c r="D1058" s="1" t="s">
        <v>3052</v>
      </c>
      <c r="E1058" s="1" t="s">
        <v>3053</v>
      </c>
      <c r="F1058" s="1">
        <v>25</v>
      </c>
      <c r="G1058" s="12" t="s">
        <v>830</v>
      </c>
      <c r="H1058" s="1" t="s">
        <v>830</v>
      </c>
      <c r="I1058" s="1" t="s">
        <v>638</v>
      </c>
      <c r="J1058" s="30">
        <v>5</v>
      </c>
      <c r="K1058" s="30">
        <v>40000</v>
      </c>
      <c r="L1058" s="31">
        <v>200000</v>
      </c>
      <c r="M1058" s="1" t="s">
        <v>16</v>
      </c>
      <c r="N1058" s="1" t="s">
        <v>17</v>
      </c>
      <c r="O1058" s="1" t="s">
        <v>2057</v>
      </c>
      <c r="P1058" s="1" t="s">
        <v>2056</v>
      </c>
      <c r="Q1058" s="1" t="s">
        <v>800</v>
      </c>
      <c r="R1058" s="1">
        <f t="shared" si="16"/>
        <v>3</v>
      </c>
      <c r="S1058" s="4">
        <f>J1058*K1058*M1058</f>
        <v>16000</v>
      </c>
    </row>
    <row r="1059" spans="1:19" ht="43" customHeight="1">
      <c r="A1059" s="1" t="s">
        <v>2280</v>
      </c>
      <c r="B1059" s="1" t="s">
        <v>1457</v>
      </c>
      <c r="C1059" s="29">
        <v>45937.407710069398</v>
      </c>
      <c r="D1059" s="1" t="s">
        <v>3083</v>
      </c>
      <c r="E1059" s="1" t="s">
        <v>3084</v>
      </c>
      <c r="F1059" s="1">
        <v>3</v>
      </c>
      <c r="H1059" s="1" t="s">
        <v>797</v>
      </c>
      <c r="I1059" s="1" t="s">
        <v>62</v>
      </c>
      <c r="J1059" s="30">
        <v>2.4</v>
      </c>
      <c r="K1059" s="30">
        <v>25000</v>
      </c>
      <c r="L1059" s="31">
        <v>60000</v>
      </c>
      <c r="M1059" s="1" t="s">
        <v>30</v>
      </c>
      <c r="N1059" s="1" t="s">
        <v>17</v>
      </c>
      <c r="O1059" s="1" t="s">
        <v>2057</v>
      </c>
      <c r="P1059" s="1" t="s">
        <v>2056</v>
      </c>
      <c r="Q1059" s="1" t="s">
        <v>1587</v>
      </c>
      <c r="R1059" s="1">
        <f t="shared" si="16"/>
        <v>4</v>
      </c>
      <c r="S1059" s="4">
        <f>J1059*K1059*M1059</f>
        <v>6000</v>
      </c>
    </row>
    <row r="1060" spans="1:19" ht="43" customHeight="1">
      <c r="A1060" s="1" t="s">
        <v>2072</v>
      </c>
      <c r="B1060" s="1" t="s">
        <v>1005</v>
      </c>
      <c r="C1060" s="29">
        <v>46018.663558414402</v>
      </c>
      <c r="D1060" s="1" t="s">
        <v>3063</v>
      </c>
      <c r="E1060" s="1" t="s">
        <v>3062</v>
      </c>
      <c r="F1060" s="1">
        <v>1</v>
      </c>
      <c r="H1060" s="1" t="s">
        <v>87</v>
      </c>
      <c r="I1060" s="1" t="s">
        <v>47</v>
      </c>
      <c r="J1060" s="30">
        <v>479</v>
      </c>
      <c r="K1060" s="30">
        <v>87300</v>
      </c>
      <c r="L1060" s="31">
        <v>41816700</v>
      </c>
      <c r="M1060" s="1" t="s">
        <v>16</v>
      </c>
      <c r="N1060" s="1" t="s">
        <v>17</v>
      </c>
      <c r="O1060" s="1" t="s">
        <v>2057</v>
      </c>
      <c r="P1060" s="1" t="s">
        <v>2056</v>
      </c>
      <c r="Q1060" s="1" t="s">
        <v>293</v>
      </c>
      <c r="R1060" s="1">
        <f t="shared" si="16"/>
        <v>4</v>
      </c>
      <c r="S1060" s="4">
        <f>J1060*K1060*M1060</f>
        <v>3345336</v>
      </c>
    </row>
    <row r="1061" spans="1:19" ht="43" customHeight="1">
      <c r="A1061" s="1" t="s">
        <v>2072</v>
      </c>
      <c r="B1061" s="1" t="s">
        <v>1005</v>
      </c>
      <c r="C1061" s="29">
        <v>46018.663558414402</v>
      </c>
      <c r="D1061" s="1" t="s">
        <v>3063</v>
      </c>
      <c r="E1061" s="1" t="s">
        <v>3062</v>
      </c>
      <c r="F1061" s="1">
        <v>2</v>
      </c>
      <c r="H1061" s="1" t="s">
        <v>48</v>
      </c>
      <c r="I1061" s="1" t="s">
        <v>47</v>
      </c>
      <c r="J1061" s="30">
        <v>400</v>
      </c>
      <c r="K1061" s="30">
        <v>49500</v>
      </c>
      <c r="L1061" s="31">
        <v>19800000</v>
      </c>
      <c r="M1061" s="1" t="s">
        <v>16</v>
      </c>
      <c r="N1061" s="1" t="s">
        <v>17</v>
      </c>
      <c r="O1061" s="1" t="s">
        <v>2057</v>
      </c>
      <c r="P1061" s="1" t="s">
        <v>2056</v>
      </c>
      <c r="Q1061" s="1" t="s">
        <v>293</v>
      </c>
      <c r="R1061" s="1">
        <f t="shared" si="16"/>
        <v>4</v>
      </c>
      <c r="S1061" s="4">
        <f>J1061*K1061*M1061</f>
        <v>1584000</v>
      </c>
    </row>
    <row r="1062" spans="1:19" ht="43" hidden="1" customHeight="1">
      <c r="A1062" s="1" t="s">
        <v>2280</v>
      </c>
      <c r="B1062" s="1" t="s">
        <v>1467</v>
      </c>
      <c r="C1062" s="29">
        <v>45928.732318564798</v>
      </c>
      <c r="D1062" s="1" t="s">
        <v>3052</v>
      </c>
      <c r="E1062" s="1" t="s">
        <v>3053</v>
      </c>
      <c r="F1062" s="1">
        <v>35</v>
      </c>
      <c r="G1062" s="12" t="s">
        <v>1255</v>
      </c>
      <c r="H1062" s="1" t="s">
        <v>1255</v>
      </c>
      <c r="I1062" s="1" t="s">
        <v>71</v>
      </c>
      <c r="J1062" s="30">
        <v>20</v>
      </c>
      <c r="K1062" s="30">
        <v>44000</v>
      </c>
      <c r="L1062" s="31">
        <v>880000</v>
      </c>
      <c r="M1062" s="1" t="s">
        <v>16</v>
      </c>
      <c r="N1062" s="1" t="s">
        <v>17</v>
      </c>
      <c r="O1062" s="1" t="s">
        <v>2057</v>
      </c>
      <c r="P1062" s="1" t="s">
        <v>2056</v>
      </c>
      <c r="Q1062" s="1" t="s">
        <v>546</v>
      </c>
      <c r="R1062" s="1">
        <f t="shared" si="16"/>
        <v>3</v>
      </c>
      <c r="S1062" s="4">
        <f>J1062*K1062*M1062</f>
        <v>70400</v>
      </c>
    </row>
    <row r="1063" spans="1:19" ht="43" hidden="1" customHeight="1">
      <c r="A1063" s="1" t="s">
        <v>2280</v>
      </c>
      <c r="B1063" s="1" t="s">
        <v>1420</v>
      </c>
      <c r="C1063" s="29">
        <v>45866.7486208681</v>
      </c>
      <c r="D1063" s="1" t="s">
        <v>3052</v>
      </c>
      <c r="E1063" s="1" t="s">
        <v>3053</v>
      </c>
      <c r="F1063" s="1">
        <v>28</v>
      </c>
      <c r="G1063" s="12" t="s">
        <v>1255</v>
      </c>
      <c r="H1063" s="1" t="s">
        <v>1255</v>
      </c>
      <c r="I1063" s="1" t="s">
        <v>511</v>
      </c>
      <c r="J1063" s="30">
        <v>5</v>
      </c>
      <c r="K1063" s="30">
        <v>50000</v>
      </c>
      <c r="L1063" s="31">
        <v>250000</v>
      </c>
      <c r="M1063" s="1" t="s">
        <v>16</v>
      </c>
      <c r="N1063" s="1" t="s">
        <v>17</v>
      </c>
      <c r="O1063" s="1" t="s">
        <v>2057</v>
      </c>
      <c r="P1063" s="1" t="s">
        <v>2056</v>
      </c>
      <c r="Q1063" s="1" t="s">
        <v>1763</v>
      </c>
      <c r="R1063" s="1">
        <f t="shared" si="16"/>
        <v>3</v>
      </c>
      <c r="S1063" s="4">
        <f>J1063*K1063*M1063</f>
        <v>20000</v>
      </c>
    </row>
    <row r="1064" spans="1:19" ht="43" hidden="1" customHeight="1">
      <c r="A1064" s="1" t="s">
        <v>2280</v>
      </c>
      <c r="B1064" s="1" t="s">
        <v>305</v>
      </c>
      <c r="C1064" s="29">
        <v>45709.705238449103</v>
      </c>
      <c r="D1064" s="1" t="s">
        <v>3052</v>
      </c>
      <c r="E1064" s="1" t="s">
        <v>3053</v>
      </c>
      <c r="F1064" s="1">
        <v>8</v>
      </c>
      <c r="G1064" s="12" t="s">
        <v>1255</v>
      </c>
      <c r="H1064" s="1" t="s">
        <v>1255</v>
      </c>
      <c r="I1064" s="1" t="s">
        <v>71</v>
      </c>
      <c r="J1064" s="30">
        <v>150</v>
      </c>
      <c r="K1064" s="30">
        <v>10800</v>
      </c>
      <c r="L1064" s="31">
        <v>1620000</v>
      </c>
      <c r="M1064" s="1" t="s">
        <v>16</v>
      </c>
      <c r="N1064" s="1" t="s">
        <v>17</v>
      </c>
      <c r="O1064" s="1" t="s">
        <v>2057</v>
      </c>
      <c r="P1064" s="1" t="s">
        <v>2056</v>
      </c>
      <c r="Q1064" s="1" t="s">
        <v>2040</v>
      </c>
      <c r="R1064" s="1">
        <f t="shared" si="16"/>
        <v>1</v>
      </c>
      <c r="S1064" s="4">
        <f>J1064*K1064*M1064</f>
        <v>129600</v>
      </c>
    </row>
    <row r="1065" spans="1:19" ht="43" hidden="1" customHeight="1">
      <c r="A1065" s="1" t="s">
        <v>2280</v>
      </c>
      <c r="B1065" s="1" t="s">
        <v>13</v>
      </c>
      <c r="C1065" s="29">
        <v>45776.499996342602</v>
      </c>
      <c r="D1065" s="1" t="s">
        <v>3052</v>
      </c>
      <c r="E1065" s="1" t="s">
        <v>3053</v>
      </c>
      <c r="F1065" s="1">
        <v>31</v>
      </c>
      <c r="G1065" s="12" t="s">
        <v>1255</v>
      </c>
      <c r="H1065" s="1" t="s">
        <v>1944</v>
      </c>
      <c r="I1065" s="1" t="s">
        <v>133</v>
      </c>
      <c r="J1065" s="30">
        <v>1.5</v>
      </c>
      <c r="K1065" s="30">
        <v>20000</v>
      </c>
      <c r="L1065" s="31">
        <v>30000</v>
      </c>
      <c r="M1065" s="1" t="s">
        <v>16</v>
      </c>
      <c r="N1065" s="1" t="s">
        <v>17</v>
      </c>
      <c r="O1065" s="1" t="s">
        <v>2057</v>
      </c>
      <c r="P1065" s="1" t="s">
        <v>2056</v>
      </c>
      <c r="Q1065" s="1" t="s">
        <v>937</v>
      </c>
      <c r="R1065" s="1">
        <f t="shared" si="16"/>
        <v>2</v>
      </c>
      <c r="S1065" s="4">
        <f>J1065*K1065*M1065</f>
        <v>2400</v>
      </c>
    </row>
    <row r="1066" spans="1:19" ht="43" hidden="1" customHeight="1">
      <c r="A1066" s="1" t="s">
        <v>2280</v>
      </c>
      <c r="B1066" s="1" t="s">
        <v>13</v>
      </c>
      <c r="C1066" s="29">
        <v>45776.499996342602</v>
      </c>
      <c r="D1066" s="1" t="s">
        <v>3052</v>
      </c>
      <c r="E1066" s="1" t="s">
        <v>3053</v>
      </c>
      <c r="F1066" s="1">
        <v>46</v>
      </c>
      <c r="G1066" s="12" t="s">
        <v>2088</v>
      </c>
      <c r="H1066" s="1" t="s">
        <v>1955</v>
      </c>
      <c r="I1066" s="1" t="s">
        <v>133</v>
      </c>
      <c r="J1066" s="30">
        <v>500</v>
      </c>
      <c r="K1066" s="30">
        <v>13000</v>
      </c>
      <c r="L1066" s="31">
        <v>6500000</v>
      </c>
      <c r="M1066" s="1" t="s">
        <v>16</v>
      </c>
      <c r="N1066" s="1" t="s">
        <v>17</v>
      </c>
      <c r="O1066" s="1" t="s">
        <v>2057</v>
      </c>
      <c r="P1066" s="1" t="s">
        <v>2056</v>
      </c>
      <c r="Q1066" s="1" t="s">
        <v>937</v>
      </c>
      <c r="R1066" s="1">
        <f t="shared" si="16"/>
        <v>2</v>
      </c>
      <c r="S1066" s="4">
        <f>J1066*K1066*M1066</f>
        <v>520000</v>
      </c>
    </row>
    <row r="1067" spans="1:19" ht="43" hidden="1" customHeight="1">
      <c r="A1067" s="1" t="s">
        <v>2280</v>
      </c>
      <c r="B1067" s="1" t="s">
        <v>1412</v>
      </c>
      <c r="C1067" s="29">
        <v>45898.896986157401</v>
      </c>
      <c r="D1067" s="1" t="s">
        <v>3052</v>
      </c>
      <c r="E1067" s="1" t="s">
        <v>3053</v>
      </c>
      <c r="F1067" s="1">
        <v>31</v>
      </c>
      <c r="G1067" s="12" t="s">
        <v>1255</v>
      </c>
      <c r="H1067" s="1" t="s">
        <v>1685</v>
      </c>
      <c r="I1067" s="1" t="s">
        <v>71</v>
      </c>
      <c r="J1067" s="30">
        <v>200</v>
      </c>
      <c r="K1067" s="30">
        <v>15000</v>
      </c>
      <c r="L1067" s="31">
        <v>3000000</v>
      </c>
      <c r="M1067" s="1" t="s">
        <v>16</v>
      </c>
      <c r="N1067" s="1" t="s">
        <v>17</v>
      </c>
      <c r="O1067" s="1" t="s">
        <v>2057</v>
      </c>
      <c r="P1067" s="1" t="s">
        <v>2056</v>
      </c>
      <c r="Q1067" s="1" t="s">
        <v>652</v>
      </c>
      <c r="R1067" s="1">
        <f t="shared" si="16"/>
        <v>3</v>
      </c>
      <c r="S1067" s="4">
        <f>J1067*K1067*M1067</f>
        <v>240000</v>
      </c>
    </row>
    <row r="1068" spans="1:19" ht="43" hidden="1" customHeight="1">
      <c r="A1068" s="1" t="s">
        <v>2280</v>
      </c>
      <c r="B1068" s="1" t="s">
        <v>13</v>
      </c>
      <c r="C1068" s="29">
        <v>45776.499996342602</v>
      </c>
      <c r="D1068" s="1" t="s">
        <v>3052</v>
      </c>
      <c r="E1068" s="1" t="s">
        <v>3053</v>
      </c>
      <c r="F1068" s="1">
        <v>56</v>
      </c>
      <c r="G1068" s="12" t="s">
        <v>1255</v>
      </c>
      <c r="H1068" s="1" t="s">
        <v>1685</v>
      </c>
      <c r="I1068" s="1" t="s">
        <v>133</v>
      </c>
      <c r="J1068" s="30">
        <v>80</v>
      </c>
      <c r="K1068" s="30">
        <v>10000</v>
      </c>
      <c r="L1068" s="31">
        <v>800000</v>
      </c>
      <c r="M1068" s="1" t="s">
        <v>16</v>
      </c>
      <c r="N1068" s="1" t="s">
        <v>17</v>
      </c>
      <c r="O1068" s="1" t="s">
        <v>2057</v>
      </c>
      <c r="P1068" s="1" t="s">
        <v>2056</v>
      </c>
      <c r="Q1068" s="1" t="s">
        <v>937</v>
      </c>
      <c r="R1068" s="1">
        <f t="shared" si="16"/>
        <v>2</v>
      </c>
      <c r="S1068" s="4">
        <f>J1068*K1068*M1068</f>
        <v>64000</v>
      </c>
    </row>
    <row r="1069" spans="1:19" ht="43" hidden="1" customHeight="1">
      <c r="A1069" s="1" t="s">
        <v>2280</v>
      </c>
      <c r="B1069" s="1" t="s">
        <v>1400</v>
      </c>
      <c r="C1069" s="29">
        <v>45990.721094398097</v>
      </c>
      <c r="D1069" s="1" t="s">
        <v>3052</v>
      </c>
      <c r="E1069" s="1" t="s">
        <v>3053</v>
      </c>
      <c r="F1069" s="1">
        <v>39</v>
      </c>
      <c r="G1069" s="12" t="s">
        <v>1296</v>
      </c>
      <c r="H1069" s="1" t="s">
        <v>1296</v>
      </c>
      <c r="I1069" s="1" t="s">
        <v>71</v>
      </c>
      <c r="J1069" s="30">
        <v>235</v>
      </c>
      <c r="K1069" s="30">
        <v>21000</v>
      </c>
      <c r="L1069" s="31">
        <v>4935000</v>
      </c>
      <c r="M1069" s="1" t="s">
        <v>16</v>
      </c>
      <c r="N1069" s="1" t="s">
        <v>17</v>
      </c>
      <c r="O1069" s="1" t="s">
        <v>2057</v>
      </c>
      <c r="P1069" s="1" t="s">
        <v>2056</v>
      </c>
      <c r="Q1069" s="1" t="s">
        <v>1531</v>
      </c>
      <c r="R1069" s="1">
        <f t="shared" si="16"/>
        <v>4</v>
      </c>
      <c r="S1069" s="4">
        <f>J1069*K1069*M1069</f>
        <v>394800</v>
      </c>
    </row>
    <row r="1070" spans="1:19" ht="43" hidden="1" customHeight="1">
      <c r="A1070" s="1" t="s">
        <v>2280</v>
      </c>
      <c r="B1070" s="1" t="s">
        <v>1400</v>
      </c>
      <c r="C1070" s="29">
        <v>45990.721094398097</v>
      </c>
      <c r="D1070" s="1" t="s">
        <v>3052</v>
      </c>
      <c r="E1070" s="1" t="s">
        <v>3053</v>
      </c>
      <c r="F1070" s="1">
        <v>57</v>
      </c>
      <c r="G1070" s="12" t="s">
        <v>1296</v>
      </c>
      <c r="H1070" s="1" t="s">
        <v>1296</v>
      </c>
      <c r="I1070" s="1" t="s">
        <v>511</v>
      </c>
      <c r="J1070" s="30">
        <v>70</v>
      </c>
      <c r="K1070" s="30">
        <v>25000</v>
      </c>
      <c r="L1070" s="31">
        <v>1750000</v>
      </c>
      <c r="M1070" s="1" t="s">
        <v>16</v>
      </c>
      <c r="N1070" s="1" t="s">
        <v>17</v>
      </c>
      <c r="O1070" s="1" t="s">
        <v>2057</v>
      </c>
      <c r="P1070" s="1" t="s">
        <v>2056</v>
      </c>
      <c r="Q1070" s="1" t="s">
        <v>1531</v>
      </c>
      <c r="R1070" s="1">
        <f t="shared" si="16"/>
        <v>4</v>
      </c>
      <c r="S1070" s="4">
        <f>J1070*K1070*M1070</f>
        <v>140000</v>
      </c>
    </row>
    <row r="1071" spans="1:19" ht="43" hidden="1" customHeight="1">
      <c r="A1071" s="1" t="s">
        <v>2280</v>
      </c>
      <c r="B1071" s="1" t="s">
        <v>152</v>
      </c>
      <c r="C1071" s="29">
        <v>45836.413450243097</v>
      </c>
      <c r="D1071" s="1" t="s">
        <v>3052</v>
      </c>
      <c r="E1071" s="1" t="s">
        <v>3053</v>
      </c>
      <c r="F1071" s="1">
        <v>11</v>
      </c>
      <c r="G1071" s="12" t="s">
        <v>1296</v>
      </c>
      <c r="H1071" s="1" t="s">
        <v>1296</v>
      </c>
      <c r="I1071" s="1" t="s">
        <v>71</v>
      </c>
      <c r="J1071" s="30">
        <v>200</v>
      </c>
      <c r="K1071" s="30">
        <v>12000</v>
      </c>
      <c r="L1071" s="31">
        <v>2400000</v>
      </c>
      <c r="M1071" s="1" t="s">
        <v>16</v>
      </c>
      <c r="N1071" s="1" t="s">
        <v>17</v>
      </c>
      <c r="O1071" s="1" t="s">
        <v>2057</v>
      </c>
      <c r="P1071" s="1" t="s">
        <v>2056</v>
      </c>
      <c r="Q1071" s="1" t="s">
        <v>845</v>
      </c>
      <c r="R1071" s="1">
        <f t="shared" si="16"/>
        <v>2</v>
      </c>
      <c r="S1071" s="4">
        <f>J1071*K1071*M1071</f>
        <v>192000</v>
      </c>
    </row>
    <row r="1072" spans="1:19" ht="43" hidden="1" customHeight="1">
      <c r="A1072" s="1" t="s">
        <v>2280</v>
      </c>
      <c r="B1072" s="1" t="s">
        <v>13</v>
      </c>
      <c r="C1072" s="29">
        <v>45776.499996342602</v>
      </c>
      <c r="D1072" s="1" t="s">
        <v>3052</v>
      </c>
      <c r="E1072" s="1" t="s">
        <v>3053</v>
      </c>
      <c r="F1072" s="1">
        <v>35</v>
      </c>
      <c r="G1072" s="12" t="s">
        <v>1280</v>
      </c>
      <c r="H1072" s="1" t="s">
        <v>1948</v>
      </c>
      <c r="I1072" s="1" t="s">
        <v>15</v>
      </c>
      <c r="J1072" s="30">
        <v>150</v>
      </c>
      <c r="K1072" s="30">
        <v>8000</v>
      </c>
      <c r="L1072" s="31">
        <v>1200000</v>
      </c>
      <c r="M1072" s="1" t="s">
        <v>16</v>
      </c>
      <c r="N1072" s="1" t="s">
        <v>17</v>
      </c>
      <c r="O1072" s="1" t="s">
        <v>2057</v>
      </c>
      <c r="P1072" s="1" t="s">
        <v>2056</v>
      </c>
      <c r="Q1072" s="1" t="s">
        <v>937</v>
      </c>
      <c r="R1072" s="1">
        <f t="shared" si="16"/>
        <v>2</v>
      </c>
      <c r="S1072" s="4">
        <f>J1072*K1072*M1072</f>
        <v>96000</v>
      </c>
    </row>
    <row r="1073" spans="1:19" ht="43" hidden="1" customHeight="1">
      <c r="A1073" s="1" t="s">
        <v>2280</v>
      </c>
      <c r="B1073" s="1" t="s">
        <v>1467</v>
      </c>
      <c r="C1073" s="29">
        <v>45928.732318564798</v>
      </c>
      <c r="D1073" s="1" t="s">
        <v>3052</v>
      </c>
      <c r="E1073" s="1" t="s">
        <v>3053</v>
      </c>
      <c r="F1073" s="1">
        <v>65</v>
      </c>
      <c r="G1073" s="12" t="s">
        <v>1280</v>
      </c>
      <c r="H1073" s="1" t="s">
        <v>1280</v>
      </c>
      <c r="I1073" s="1" t="s">
        <v>71</v>
      </c>
      <c r="J1073" s="30">
        <v>16</v>
      </c>
      <c r="K1073" s="30">
        <v>55000</v>
      </c>
      <c r="L1073" s="31">
        <v>880000</v>
      </c>
      <c r="M1073" s="1" t="s">
        <v>16</v>
      </c>
      <c r="N1073" s="1" t="s">
        <v>17</v>
      </c>
      <c r="O1073" s="1" t="s">
        <v>2057</v>
      </c>
      <c r="P1073" s="1" t="s">
        <v>2056</v>
      </c>
      <c r="Q1073" s="1" t="s">
        <v>546</v>
      </c>
      <c r="R1073" s="1">
        <f t="shared" si="16"/>
        <v>3</v>
      </c>
      <c r="S1073" s="4">
        <f>J1073*K1073*M1073</f>
        <v>70400</v>
      </c>
    </row>
    <row r="1074" spans="1:19" ht="43" hidden="1" customHeight="1">
      <c r="A1074" s="1" t="s">
        <v>2280</v>
      </c>
      <c r="B1074" s="1" t="s">
        <v>1158</v>
      </c>
      <c r="C1074" s="29">
        <v>45868.606624756903</v>
      </c>
      <c r="D1074" s="1" t="s">
        <v>3052</v>
      </c>
      <c r="E1074" s="1" t="s">
        <v>3053</v>
      </c>
      <c r="F1074" s="1">
        <v>13</v>
      </c>
      <c r="G1074" s="12" t="s">
        <v>1280</v>
      </c>
      <c r="H1074" s="1" t="s">
        <v>1280</v>
      </c>
      <c r="I1074" s="1" t="s">
        <v>1342</v>
      </c>
      <c r="J1074" s="30">
        <v>1.6</v>
      </c>
      <c r="K1074" s="30">
        <v>25000</v>
      </c>
      <c r="L1074" s="31">
        <v>40000</v>
      </c>
      <c r="M1074" s="1" t="s">
        <v>16</v>
      </c>
      <c r="N1074" s="1" t="s">
        <v>17</v>
      </c>
      <c r="O1074" s="1" t="s">
        <v>2057</v>
      </c>
      <c r="P1074" s="1" t="s">
        <v>2056</v>
      </c>
      <c r="Q1074" s="1" t="s">
        <v>800</v>
      </c>
      <c r="R1074" s="1">
        <f t="shared" si="16"/>
        <v>3</v>
      </c>
      <c r="S1074" s="4">
        <f>J1074*K1074*M1074</f>
        <v>3200</v>
      </c>
    </row>
    <row r="1075" spans="1:19" ht="43" hidden="1" customHeight="1">
      <c r="A1075" s="1" t="s">
        <v>2280</v>
      </c>
      <c r="B1075" s="1" t="s">
        <v>1467</v>
      </c>
      <c r="C1075" s="29">
        <v>45928.732318564798</v>
      </c>
      <c r="D1075" s="1" t="s">
        <v>3052</v>
      </c>
      <c r="E1075" s="1" t="s">
        <v>3053</v>
      </c>
      <c r="F1075" s="1">
        <v>79</v>
      </c>
      <c r="G1075" s="12" t="s">
        <v>1280</v>
      </c>
      <c r="H1075" s="1" t="s">
        <v>1634</v>
      </c>
      <c r="I1075" s="1" t="s">
        <v>71</v>
      </c>
      <c r="J1075" s="30">
        <v>140</v>
      </c>
      <c r="K1075" s="30">
        <v>45000</v>
      </c>
      <c r="L1075" s="31">
        <v>6300000</v>
      </c>
      <c r="M1075" s="1" t="s">
        <v>16</v>
      </c>
      <c r="N1075" s="1" t="s">
        <v>17</v>
      </c>
      <c r="O1075" s="1" t="s">
        <v>2057</v>
      </c>
      <c r="P1075" s="1" t="s">
        <v>2056</v>
      </c>
      <c r="Q1075" s="1" t="s">
        <v>546</v>
      </c>
      <c r="R1075" s="1">
        <f t="shared" si="16"/>
        <v>3</v>
      </c>
      <c r="S1075" s="4">
        <f>J1075*K1075*M1075</f>
        <v>504000</v>
      </c>
    </row>
    <row r="1076" spans="1:19" ht="43" hidden="1" customHeight="1">
      <c r="A1076" s="1" t="s">
        <v>2280</v>
      </c>
      <c r="B1076" s="1" t="s">
        <v>13</v>
      </c>
      <c r="C1076" s="29">
        <v>45776.499996342602</v>
      </c>
      <c r="D1076" s="1" t="s">
        <v>3052</v>
      </c>
      <c r="E1076" s="1" t="s">
        <v>3053</v>
      </c>
      <c r="F1076" s="1">
        <v>18</v>
      </c>
      <c r="G1076" s="12" t="s">
        <v>1270</v>
      </c>
      <c r="H1076" s="1" t="s">
        <v>1933</v>
      </c>
      <c r="I1076" s="1" t="s">
        <v>133</v>
      </c>
      <c r="J1076" s="30">
        <v>100</v>
      </c>
      <c r="K1076" s="30">
        <v>70000</v>
      </c>
      <c r="L1076" s="31">
        <v>7000000</v>
      </c>
      <c r="M1076" s="1" t="s">
        <v>16</v>
      </c>
      <c r="N1076" s="1" t="s">
        <v>17</v>
      </c>
      <c r="O1076" s="1" t="s">
        <v>2057</v>
      </c>
      <c r="P1076" s="1" t="s">
        <v>2056</v>
      </c>
      <c r="Q1076" s="1" t="s">
        <v>937</v>
      </c>
      <c r="R1076" s="1">
        <f t="shared" si="16"/>
        <v>2</v>
      </c>
      <c r="S1076" s="4">
        <f>J1076*K1076*M1076</f>
        <v>560000</v>
      </c>
    </row>
    <row r="1077" spans="1:19" ht="43" hidden="1" customHeight="1">
      <c r="A1077" s="1" t="s">
        <v>2280</v>
      </c>
      <c r="B1077" s="1" t="s">
        <v>13</v>
      </c>
      <c r="C1077" s="29">
        <v>45776.499996342602</v>
      </c>
      <c r="D1077" s="1" t="s">
        <v>3052</v>
      </c>
      <c r="E1077" s="1" t="s">
        <v>3053</v>
      </c>
      <c r="F1077" s="1">
        <v>51</v>
      </c>
      <c r="G1077" s="12" t="s">
        <v>1270</v>
      </c>
      <c r="H1077" s="1" t="s">
        <v>1933</v>
      </c>
      <c r="I1077" s="1" t="s">
        <v>47</v>
      </c>
      <c r="J1077" s="30">
        <v>150</v>
      </c>
      <c r="K1077" s="30">
        <v>26000</v>
      </c>
      <c r="L1077" s="31">
        <v>3900000</v>
      </c>
      <c r="M1077" s="1" t="s">
        <v>16</v>
      </c>
      <c r="N1077" s="1" t="s">
        <v>17</v>
      </c>
      <c r="O1077" s="1" t="s">
        <v>2057</v>
      </c>
      <c r="P1077" s="1" t="s">
        <v>2056</v>
      </c>
      <c r="Q1077" s="1" t="s">
        <v>937</v>
      </c>
      <c r="R1077" s="1">
        <f t="shared" si="16"/>
        <v>2</v>
      </c>
      <c r="S1077" s="4">
        <f>J1077*K1077*M1077</f>
        <v>312000</v>
      </c>
    </row>
    <row r="1078" spans="1:19" ht="43" hidden="1" customHeight="1">
      <c r="A1078" s="1" t="s">
        <v>2280</v>
      </c>
      <c r="B1078" s="1" t="s">
        <v>1412</v>
      </c>
      <c r="C1078" s="29">
        <v>45898.896986157401</v>
      </c>
      <c r="D1078" s="1" t="s">
        <v>3052</v>
      </c>
      <c r="E1078" s="1" t="s">
        <v>3053</v>
      </c>
      <c r="F1078" s="1">
        <v>38</v>
      </c>
      <c r="G1078" s="12" t="s">
        <v>1270</v>
      </c>
      <c r="H1078" s="1" t="s">
        <v>1270</v>
      </c>
      <c r="I1078" s="1" t="s">
        <v>71</v>
      </c>
      <c r="J1078" s="30">
        <v>200</v>
      </c>
      <c r="K1078" s="30">
        <v>50000</v>
      </c>
      <c r="L1078" s="31">
        <v>10000000</v>
      </c>
      <c r="M1078" s="1" t="s">
        <v>16</v>
      </c>
      <c r="N1078" s="1" t="s">
        <v>17</v>
      </c>
      <c r="O1078" s="1" t="s">
        <v>2057</v>
      </c>
      <c r="P1078" s="1" t="s">
        <v>2056</v>
      </c>
      <c r="Q1078" s="1" t="s">
        <v>652</v>
      </c>
      <c r="R1078" s="1">
        <f t="shared" si="16"/>
        <v>3</v>
      </c>
      <c r="S1078" s="4">
        <f>J1078*K1078*M1078</f>
        <v>800000</v>
      </c>
    </row>
    <row r="1079" spans="1:19" ht="43" hidden="1" customHeight="1">
      <c r="A1079" s="1" t="s">
        <v>2280</v>
      </c>
      <c r="B1079" s="1" t="s">
        <v>1420</v>
      </c>
      <c r="C1079" s="29">
        <v>45866.7486208681</v>
      </c>
      <c r="D1079" s="1" t="s">
        <v>3052</v>
      </c>
      <c r="E1079" s="1" t="s">
        <v>3053</v>
      </c>
      <c r="F1079" s="1">
        <v>24</v>
      </c>
      <c r="G1079" s="12" t="s">
        <v>1270</v>
      </c>
      <c r="H1079" s="1" t="s">
        <v>1782</v>
      </c>
      <c r="I1079" s="1" t="s">
        <v>511</v>
      </c>
      <c r="J1079" s="30">
        <v>3</v>
      </c>
      <c r="K1079" s="30">
        <v>235000</v>
      </c>
      <c r="L1079" s="31">
        <v>705000</v>
      </c>
      <c r="M1079" s="1" t="s">
        <v>16</v>
      </c>
      <c r="N1079" s="1" t="s">
        <v>17</v>
      </c>
      <c r="O1079" s="1" t="s">
        <v>2057</v>
      </c>
      <c r="P1079" s="1" t="s">
        <v>2056</v>
      </c>
      <c r="Q1079" s="1" t="s">
        <v>1763</v>
      </c>
      <c r="R1079" s="1">
        <f t="shared" si="16"/>
        <v>3</v>
      </c>
      <c r="S1079" s="4">
        <f>J1079*K1079*M1079</f>
        <v>56400</v>
      </c>
    </row>
    <row r="1080" spans="1:19" ht="43" hidden="1" customHeight="1">
      <c r="A1080" s="1" t="s">
        <v>2280</v>
      </c>
      <c r="B1080" s="1" t="s">
        <v>13</v>
      </c>
      <c r="C1080" s="29">
        <v>45776.499996342602</v>
      </c>
      <c r="D1080" s="1" t="s">
        <v>3052</v>
      </c>
      <c r="E1080" s="1" t="s">
        <v>3053</v>
      </c>
      <c r="F1080" s="1">
        <v>63</v>
      </c>
      <c r="G1080" s="12" t="s">
        <v>1061</v>
      </c>
      <c r="H1080" s="1" t="s">
        <v>1968</v>
      </c>
      <c r="I1080" s="1" t="s">
        <v>133</v>
      </c>
      <c r="J1080" s="30">
        <v>50</v>
      </c>
      <c r="K1080" s="30">
        <v>7000</v>
      </c>
      <c r="L1080" s="31">
        <v>350000</v>
      </c>
      <c r="M1080" s="1" t="s">
        <v>16</v>
      </c>
      <c r="N1080" s="1" t="s">
        <v>17</v>
      </c>
      <c r="O1080" s="1" t="s">
        <v>2057</v>
      </c>
      <c r="P1080" s="1" t="s">
        <v>2056</v>
      </c>
      <c r="Q1080" s="1" t="s">
        <v>937</v>
      </c>
      <c r="R1080" s="1">
        <f t="shared" si="16"/>
        <v>2</v>
      </c>
      <c r="S1080" s="4">
        <f>J1080*K1080*M1080</f>
        <v>28000</v>
      </c>
    </row>
    <row r="1081" spans="1:19" ht="43" hidden="1" customHeight="1">
      <c r="A1081" s="1" t="s">
        <v>2072</v>
      </c>
      <c r="B1081" s="1" t="s">
        <v>1294</v>
      </c>
      <c r="C1081" s="29">
        <v>46021.613942164397</v>
      </c>
      <c r="D1081" s="1" t="s">
        <v>3052</v>
      </c>
      <c r="E1081" s="1" t="s">
        <v>3053</v>
      </c>
      <c r="F1081" s="1">
        <v>30</v>
      </c>
      <c r="G1081" s="12" t="s">
        <v>1061</v>
      </c>
      <c r="H1081" s="1" t="s">
        <v>1061</v>
      </c>
      <c r="I1081" s="1" t="s">
        <v>511</v>
      </c>
      <c r="J1081" s="30">
        <v>460</v>
      </c>
      <c r="K1081" s="30">
        <v>25000</v>
      </c>
      <c r="L1081" s="31">
        <v>11500000</v>
      </c>
      <c r="M1081" s="1" t="s">
        <v>16</v>
      </c>
      <c r="N1081" s="1" t="s">
        <v>17</v>
      </c>
      <c r="O1081" s="1" t="s">
        <v>2057</v>
      </c>
      <c r="P1081" s="1" t="s">
        <v>2056</v>
      </c>
      <c r="Q1081" s="1" t="s">
        <v>1474</v>
      </c>
      <c r="R1081" s="1">
        <f t="shared" si="16"/>
        <v>4</v>
      </c>
      <c r="S1081" s="4">
        <f>J1081*K1081*M1081</f>
        <v>920000</v>
      </c>
    </row>
    <row r="1082" spans="1:19" ht="43" hidden="1" customHeight="1">
      <c r="A1082" s="1" t="s">
        <v>2280</v>
      </c>
      <c r="B1082" s="1" t="s">
        <v>152</v>
      </c>
      <c r="C1082" s="29">
        <v>45836.413450243097</v>
      </c>
      <c r="D1082" s="1" t="s">
        <v>3052</v>
      </c>
      <c r="E1082" s="1" t="s">
        <v>3053</v>
      </c>
      <c r="F1082" s="1">
        <v>1</v>
      </c>
      <c r="G1082" s="12" t="s">
        <v>1061</v>
      </c>
      <c r="H1082" s="1" t="s">
        <v>1061</v>
      </c>
      <c r="I1082" s="1" t="s">
        <v>511</v>
      </c>
      <c r="J1082" s="30">
        <v>20</v>
      </c>
      <c r="K1082" s="30">
        <v>33000</v>
      </c>
      <c r="L1082" s="31">
        <v>660000</v>
      </c>
      <c r="M1082" s="1" t="s">
        <v>16</v>
      </c>
      <c r="N1082" s="1" t="s">
        <v>17</v>
      </c>
      <c r="O1082" s="1" t="s">
        <v>2057</v>
      </c>
      <c r="P1082" s="1" t="s">
        <v>2056</v>
      </c>
      <c r="Q1082" s="1" t="s">
        <v>845</v>
      </c>
      <c r="R1082" s="1">
        <f t="shared" si="16"/>
        <v>2</v>
      </c>
      <c r="S1082" s="4">
        <f>J1082*K1082*M1082</f>
        <v>52800</v>
      </c>
    </row>
    <row r="1083" spans="1:19" ht="43" hidden="1" customHeight="1">
      <c r="A1083" s="1" t="s">
        <v>2280</v>
      </c>
      <c r="B1083" s="1" t="s">
        <v>13</v>
      </c>
      <c r="C1083" s="29">
        <v>45776.499996342602</v>
      </c>
      <c r="D1083" s="1" t="s">
        <v>3052</v>
      </c>
      <c r="E1083" s="1" t="s">
        <v>3053</v>
      </c>
      <c r="F1083" s="1">
        <v>71</v>
      </c>
      <c r="G1083" s="12" t="s">
        <v>1063</v>
      </c>
      <c r="H1083" s="1" t="s">
        <v>1972</v>
      </c>
      <c r="I1083" s="1" t="s">
        <v>133</v>
      </c>
      <c r="J1083" s="30">
        <v>50</v>
      </c>
      <c r="K1083" s="30">
        <v>8000</v>
      </c>
      <c r="L1083" s="31">
        <v>400000</v>
      </c>
      <c r="M1083" s="1" t="s">
        <v>16</v>
      </c>
      <c r="N1083" s="1" t="s">
        <v>17</v>
      </c>
      <c r="O1083" s="1" t="s">
        <v>2057</v>
      </c>
      <c r="P1083" s="1" t="s">
        <v>2056</v>
      </c>
      <c r="Q1083" s="1" t="s">
        <v>937</v>
      </c>
      <c r="R1083" s="1">
        <f t="shared" si="16"/>
        <v>2</v>
      </c>
      <c r="S1083" s="4">
        <f>J1083*K1083*M1083</f>
        <v>32000</v>
      </c>
    </row>
    <row r="1084" spans="1:19" ht="43" hidden="1" customHeight="1">
      <c r="A1084" s="1" t="s">
        <v>2280</v>
      </c>
      <c r="B1084" s="1" t="s">
        <v>120</v>
      </c>
      <c r="C1084" s="29">
        <v>45838.621748888901</v>
      </c>
      <c r="D1084" s="1" t="s">
        <v>3052</v>
      </c>
      <c r="E1084" s="1" t="s">
        <v>3053</v>
      </c>
      <c r="F1084" s="1">
        <v>25</v>
      </c>
      <c r="G1084" s="12" t="s">
        <v>1063</v>
      </c>
      <c r="H1084" s="1" t="s">
        <v>1063</v>
      </c>
      <c r="I1084" s="1" t="s">
        <v>130</v>
      </c>
      <c r="J1084" s="30">
        <v>1</v>
      </c>
      <c r="K1084" s="30">
        <v>10000</v>
      </c>
      <c r="L1084" s="31">
        <v>10000</v>
      </c>
      <c r="M1084" s="1" t="s">
        <v>16</v>
      </c>
      <c r="N1084" s="1" t="s">
        <v>17</v>
      </c>
      <c r="O1084" s="1" t="s">
        <v>2057</v>
      </c>
      <c r="P1084" s="1" t="s">
        <v>2056</v>
      </c>
      <c r="Q1084" s="1" t="s">
        <v>828</v>
      </c>
      <c r="R1084" s="1">
        <f t="shared" si="16"/>
        <v>2</v>
      </c>
      <c r="S1084" s="4">
        <f>J1084*K1084*M1084</f>
        <v>800</v>
      </c>
    </row>
    <row r="1085" spans="1:19" ht="43" hidden="1" customHeight="1">
      <c r="A1085" s="1" t="s">
        <v>2280</v>
      </c>
      <c r="B1085" s="1" t="s">
        <v>13</v>
      </c>
      <c r="C1085" s="29">
        <v>45776.499996342602</v>
      </c>
      <c r="D1085" s="1" t="s">
        <v>3052</v>
      </c>
      <c r="E1085" s="1" t="s">
        <v>3053</v>
      </c>
      <c r="F1085" s="1">
        <v>53</v>
      </c>
      <c r="G1085" s="12" t="s">
        <v>1064</v>
      </c>
      <c r="H1085" s="1" t="s">
        <v>1960</v>
      </c>
      <c r="I1085" s="1" t="s">
        <v>71</v>
      </c>
      <c r="J1085" s="30">
        <v>100</v>
      </c>
      <c r="K1085" s="30">
        <v>13000</v>
      </c>
      <c r="L1085" s="31">
        <v>1300000</v>
      </c>
      <c r="M1085" s="1" t="s">
        <v>16</v>
      </c>
      <c r="N1085" s="1" t="s">
        <v>17</v>
      </c>
      <c r="O1085" s="1" t="s">
        <v>2057</v>
      </c>
      <c r="P1085" s="1" t="s">
        <v>2056</v>
      </c>
      <c r="Q1085" s="1" t="s">
        <v>937</v>
      </c>
      <c r="R1085" s="1">
        <f t="shared" si="16"/>
        <v>2</v>
      </c>
      <c r="S1085" s="4">
        <f>J1085*K1085*M1085</f>
        <v>104000</v>
      </c>
    </row>
    <row r="1086" spans="1:19" ht="43" hidden="1" customHeight="1">
      <c r="A1086" s="1" t="s">
        <v>2280</v>
      </c>
      <c r="B1086" s="1" t="s">
        <v>13</v>
      </c>
      <c r="C1086" s="29">
        <v>45776.499996342602</v>
      </c>
      <c r="D1086" s="1" t="s">
        <v>3052</v>
      </c>
      <c r="E1086" s="1" t="s">
        <v>3053</v>
      </c>
      <c r="F1086" s="1">
        <v>62</v>
      </c>
      <c r="G1086" s="12" t="s">
        <v>1065</v>
      </c>
      <c r="H1086" s="1" t="s">
        <v>1967</v>
      </c>
      <c r="I1086" s="1" t="s">
        <v>133</v>
      </c>
      <c r="J1086" s="30">
        <v>100</v>
      </c>
      <c r="K1086" s="30">
        <v>24000</v>
      </c>
      <c r="L1086" s="31">
        <v>2400000</v>
      </c>
      <c r="M1086" s="1" t="s">
        <v>16</v>
      </c>
      <c r="N1086" s="1" t="s">
        <v>17</v>
      </c>
      <c r="O1086" s="1" t="s">
        <v>2057</v>
      </c>
      <c r="P1086" s="1" t="s">
        <v>2056</v>
      </c>
      <c r="Q1086" s="1" t="s">
        <v>937</v>
      </c>
      <c r="R1086" s="1">
        <f t="shared" si="16"/>
        <v>2</v>
      </c>
      <c r="S1086" s="4">
        <f>J1086*K1086*M1086</f>
        <v>192000</v>
      </c>
    </row>
    <row r="1087" spans="1:19" ht="43" hidden="1" customHeight="1">
      <c r="A1087" s="1" t="s">
        <v>2072</v>
      </c>
      <c r="B1087" s="1" t="s">
        <v>1294</v>
      </c>
      <c r="C1087" s="29">
        <v>46021.613942164397</v>
      </c>
      <c r="D1087" s="1" t="s">
        <v>3052</v>
      </c>
      <c r="E1087" s="1" t="s">
        <v>3053</v>
      </c>
      <c r="F1087" s="1">
        <v>4</v>
      </c>
      <c r="G1087" s="12" t="s">
        <v>1066</v>
      </c>
      <c r="H1087" s="1" t="s">
        <v>1066</v>
      </c>
      <c r="I1087" s="1" t="s">
        <v>71</v>
      </c>
      <c r="J1087" s="30">
        <v>54</v>
      </c>
      <c r="K1087" s="30">
        <v>20000</v>
      </c>
      <c r="L1087" s="31">
        <v>1080000</v>
      </c>
      <c r="M1087" s="1" t="s">
        <v>16</v>
      </c>
      <c r="N1087" s="1" t="s">
        <v>17</v>
      </c>
      <c r="O1087" s="1" t="s">
        <v>2057</v>
      </c>
      <c r="P1087" s="1" t="s">
        <v>2056</v>
      </c>
      <c r="Q1087" s="1" t="s">
        <v>1474</v>
      </c>
      <c r="R1087" s="1">
        <f t="shared" si="16"/>
        <v>4</v>
      </c>
      <c r="S1087" s="4">
        <f>J1087*K1087*M1087</f>
        <v>86400</v>
      </c>
    </row>
    <row r="1088" spans="1:19" ht="43" hidden="1" customHeight="1">
      <c r="A1088" s="1" t="s">
        <v>2280</v>
      </c>
      <c r="B1088" s="1" t="s">
        <v>13</v>
      </c>
      <c r="C1088" s="29">
        <v>45776.499996342602</v>
      </c>
      <c r="D1088" s="1" t="s">
        <v>3052</v>
      </c>
      <c r="E1088" s="1" t="s">
        <v>3053</v>
      </c>
      <c r="F1088" s="1">
        <v>64</v>
      </c>
      <c r="G1088" s="12" t="s">
        <v>1068</v>
      </c>
      <c r="H1088" s="1" t="s">
        <v>1969</v>
      </c>
      <c r="I1088" s="1" t="s">
        <v>133</v>
      </c>
      <c r="J1088" s="30">
        <v>1</v>
      </c>
      <c r="K1088" s="30">
        <v>125000</v>
      </c>
      <c r="L1088" s="31">
        <v>125000</v>
      </c>
      <c r="M1088" s="1" t="s">
        <v>16</v>
      </c>
      <c r="N1088" s="1" t="s">
        <v>17</v>
      </c>
      <c r="O1088" s="1" t="s">
        <v>2057</v>
      </c>
      <c r="P1088" s="1" t="s">
        <v>2056</v>
      </c>
      <c r="Q1088" s="1" t="s">
        <v>937</v>
      </c>
      <c r="R1088" s="1">
        <f t="shared" si="16"/>
        <v>2</v>
      </c>
      <c r="S1088" s="4">
        <f>J1088*K1088*M1088</f>
        <v>10000</v>
      </c>
    </row>
    <row r="1089" spans="1:19" ht="43" hidden="1" customHeight="1">
      <c r="A1089" s="1" t="s">
        <v>2280</v>
      </c>
      <c r="B1089" s="1" t="s">
        <v>1400</v>
      </c>
      <c r="C1089" s="29">
        <v>45990.721094398097</v>
      </c>
      <c r="D1089" s="1" t="s">
        <v>3052</v>
      </c>
      <c r="E1089" s="1" t="s">
        <v>3053</v>
      </c>
      <c r="F1089" s="1">
        <v>8</v>
      </c>
      <c r="G1089" s="12" t="s">
        <v>1068</v>
      </c>
      <c r="H1089" s="1" t="s">
        <v>1068</v>
      </c>
      <c r="I1089" s="1" t="s">
        <v>130</v>
      </c>
      <c r="J1089" s="30">
        <v>150</v>
      </c>
      <c r="K1089" s="30">
        <v>50000</v>
      </c>
      <c r="L1089" s="31">
        <v>7500000</v>
      </c>
      <c r="M1089" s="1" t="s">
        <v>16</v>
      </c>
      <c r="N1089" s="1" t="s">
        <v>17</v>
      </c>
      <c r="O1089" s="1" t="s">
        <v>2057</v>
      </c>
      <c r="P1089" s="1" t="s">
        <v>2056</v>
      </c>
      <c r="Q1089" s="1" t="s">
        <v>1531</v>
      </c>
      <c r="R1089" s="1">
        <f t="shared" si="16"/>
        <v>4</v>
      </c>
      <c r="S1089" s="4">
        <f>J1089*K1089*M1089</f>
        <v>600000</v>
      </c>
    </row>
    <row r="1090" spans="1:19" ht="43" hidden="1" customHeight="1">
      <c r="A1090" s="1" t="s">
        <v>2280</v>
      </c>
      <c r="B1090" s="1" t="s">
        <v>1412</v>
      </c>
      <c r="C1090" s="29">
        <v>45898.896986157401</v>
      </c>
      <c r="D1090" s="1" t="s">
        <v>3052</v>
      </c>
      <c r="E1090" s="1" t="s">
        <v>3053</v>
      </c>
      <c r="F1090" s="1">
        <v>17</v>
      </c>
      <c r="G1090" s="12" t="s">
        <v>1066</v>
      </c>
      <c r="H1090" s="1" t="s">
        <v>1671</v>
      </c>
      <c r="I1090" s="1" t="s">
        <v>511</v>
      </c>
      <c r="J1090" s="30">
        <v>4</v>
      </c>
      <c r="K1090" s="30">
        <v>60000</v>
      </c>
      <c r="L1090" s="31">
        <v>240000</v>
      </c>
      <c r="M1090" s="1" t="s">
        <v>16</v>
      </c>
      <c r="N1090" s="1" t="s">
        <v>17</v>
      </c>
      <c r="O1090" s="1" t="s">
        <v>2057</v>
      </c>
      <c r="P1090" s="1" t="s">
        <v>2056</v>
      </c>
      <c r="Q1090" s="1" t="s">
        <v>652</v>
      </c>
      <c r="R1090" s="1">
        <f t="shared" si="16"/>
        <v>3</v>
      </c>
      <c r="S1090" s="4">
        <f>J1090*K1090*M1090</f>
        <v>19200</v>
      </c>
    </row>
    <row r="1091" spans="1:19" ht="43" hidden="1" customHeight="1">
      <c r="A1091" s="1" t="s">
        <v>2280</v>
      </c>
      <c r="B1091" s="1" t="s">
        <v>1420</v>
      </c>
      <c r="C1091" s="29">
        <v>45866.7486208681</v>
      </c>
      <c r="D1091" s="1" t="s">
        <v>3052</v>
      </c>
      <c r="E1091" s="1" t="s">
        <v>3053</v>
      </c>
      <c r="F1091" s="1">
        <v>26</v>
      </c>
      <c r="G1091" s="12" t="s">
        <v>1061</v>
      </c>
      <c r="H1091" s="1" t="s">
        <v>1783</v>
      </c>
      <c r="I1091" s="1" t="s">
        <v>1342</v>
      </c>
      <c r="J1091" s="30">
        <v>40</v>
      </c>
      <c r="K1091" s="30">
        <v>7000</v>
      </c>
      <c r="L1091" s="31">
        <v>280000</v>
      </c>
      <c r="M1091" s="1" t="s">
        <v>16</v>
      </c>
      <c r="N1091" s="1" t="s">
        <v>17</v>
      </c>
      <c r="O1091" s="1" t="s">
        <v>2057</v>
      </c>
      <c r="P1091" s="1" t="s">
        <v>2056</v>
      </c>
      <c r="Q1091" s="1" t="s">
        <v>1763</v>
      </c>
      <c r="R1091" s="1">
        <f t="shared" ref="R1091:R1154" si="17">ROUNDUP(MONTH(Q1091)/3,0)</f>
        <v>3</v>
      </c>
      <c r="S1091" s="4">
        <f>J1091*K1091*M1091</f>
        <v>22400</v>
      </c>
    </row>
    <row r="1092" spans="1:19" ht="43" customHeight="1">
      <c r="A1092" s="1" t="s">
        <v>2072</v>
      </c>
      <c r="B1092" s="1" t="s">
        <v>1294</v>
      </c>
      <c r="C1092" s="29">
        <v>46021.613942164397</v>
      </c>
      <c r="D1092" s="1" t="s">
        <v>3052</v>
      </c>
      <c r="E1092" s="1" t="s">
        <v>3053</v>
      </c>
      <c r="F1092" s="1">
        <v>12</v>
      </c>
      <c r="H1092" s="1" t="s">
        <v>1477</v>
      </c>
      <c r="I1092" s="1" t="s">
        <v>1478</v>
      </c>
      <c r="J1092" s="30">
        <v>2</v>
      </c>
      <c r="K1092" s="30">
        <v>1800000</v>
      </c>
      <c r="L1092" s="31">
        <v>3600000</v>
      </c>
      <c r="M1092" s="1" t="s">
        <v>16</v>
      </c>
      <c r="N1092" s="1" t="s">
        <v>17</v>
      </c>
      <c r="O1092" s="1" t="s">
        <v>2057</v>
      </c>
      <c r="P1092" s="1" t="s">
        <v>2056</v>
      </c>
      <c r="Q1092" s="1" t="s">
        <v>1474</v>
      </c>
      <c r="R1092" s="1">
        <f t="shared" si="17"/>
        <v>4</v>
      </c>
      <c r="S1092" s="4">
        <f>J1092*K1092*M1092</f>
        <v>288000</v>
      </c>
    </row>
    <row r="1093" spans="1:19" ht="43" customHeight="1">
      <c r="A1093" s="1" t="s">
        <v>2280</v>
      </c>
      <c r="B1093" s="1" t="s">
        <v>1420</v>
      </c>
      <c r="C1093" s="29">
        <v>45866.7486208681</v>
      </c>
      <c r="D1093" s="1" t="s">
        <v>3052</v>
      </c>
      <c r="E1093" s="1" t="s">
        <v>3053</v>
      </c>
      <c r="F1093" s="1">
        <v>12</v>
      </c>
      <c r="H1093" s="1" t="s">
        <v>1477</v>
      </c>
      <c r="I1093" s="1" t="s">
        <v>192</v>
      </c>
      <c r="J1093" s="30">
        <v>2</v>
      </c>
      <c r="K1093" s="30">
        <v>1650000</v>
      </c>
      <c r="L1093" s="31">
        <v>3300000</v>
      </c>
      <c r="M1093" s="1" t="s">
        <v>16</v>
      </c>
      <c r="N1093" s="1" t="s">
        <v>17</v>
      </c>
      <c r="O1093" s="1" t="s">
        <v>2057</v>
      </c>
      <c r="P1093" s="1" t="s">
        <v>2056</v>
      </c>
      <c r="Q1093" s="1" t="s">
        <v>1763</v>
      </c>
      <c r="R1093" s="1">
        <f t="shared" si="17"/>
        <v>3</v>
      </c>
      <c r="S1093" s="4">
        <f>J1093*K1093*M1093</f>
        <v>264000</v>
      </c>
    </row>
    <row r="1094" spans="1:19" ht="43" hidden="1" customHeight="1">
      <c r="A1094" s="1" t="s">
        <v>2280</v>
      </c>
      <c r="B1094" s="1" t="s">
        <v>1467</v>
      </c>
      <c r="C1094" s="29">
        <v>45928.732318564798</v>
      </c>
      <c r="D1094" s="1" t="s">
        <v>3052</v>
      </c>
      <c r="E1094" s="1" t="s">
        <v>3053</v>
      </c>
      <c r="F1094" s="1">
        <v>53</v>
      </c>
      <c r="G1094" s="12" t="s">
        <v>1629</v>
      </c>
      <c r="H1094" s="1" t="s">
        <v>1629</v>
      </c>
      <c r="I1094" s="1" t="s">
        <v>511</v>
      </c>
      <c r="J1094" s="30">
        <v>5</v>
      </c>
      <c r="K1094" s="30">
        <v>35000</v>
      </c>
      <c r="L1094" s="31">
        <v>175000</v>
      </c>
      <c r="M1094" s="1" t="s">
        <v>16</v>
      </c>
      <c r="N1094" s="1" t="s">
        <v>17</v>
      </c>
      <c r="O1094" s="1" t="s">
        <v>2057</v>
      </c>
      <c r="P1094" s="1" t="s">
        <v>2056</v>
      </c>
      <c r="Q1094" s="1" t="s">
        <v>546</v>
      </c>
      <c r="R1094" s="1">
        <f t="shared" si="17"/>
        <v>3</v>
      </c>
      <c r="S1094" s="4">
        <f>J1094*K1094*M1094</f>
        <v>14000</v>
      </c>
    </row>
    <row r="1095" spans="1:19" ht="43" hidden="1" customHeight="1">
      <c r="A1095" s="1" t="s">
        <v>2280</v>
      </c>
      <c r="B1095" s="1" t="s">
        <v>1467</v>
      </c>
      <c r="C1095" s="29">
        <v>45928.732318564798</v>
      </c>
      <c r="D1095" s="1" t="s">
        <v>3052</v>
      </c>
      <c r="E1095" s="1" t="s">
        <v>3053</v>
      </c>
      <c r="F1095" s="1">
        <v>13</v>
      </c>
      <c r="G1095" s="12" t="s">
        <v>679</v>
      </c>
      <c r="H1095" s="1" t="s">
        <v>679</v>
      </c>
      <c r="I1095" s="1" t="s">
        <v>130</v>
      </c>
      <c r="J1095" s="30">
        <v>20</v>
      </c>
      <c r="K1095" s="30">
        <v>14000</v>
      </c>
      <c r="L1095" s="31">
        <v>280000</v>
      </c>
      <c r="M1095" s="1" t="s">
        <v>16</v>
      </c>
      <c r="N1095" s="1" t="s">
        <v>17</v>
      </c>
      <c r="O1095" s="1" t="s">
        <v>2057</v>
      </c>
      <c r="P1095" s="1" t="s">
        <v>2056</v>
      </c>
      <c r="Q1095" s="1" t="s">
        <v>546</v>
      </c>
      <c r="R1095" s="1">
        <f t="shared" si="17"/>
        <v>3</v>
      </c>
      <c r="S1095" s="4">
        <f>J1095*K1095*M1095</f>
        <v>22400</v>
      </c>
    </row>
    <row r="1096" spans="1:19" ht="43" customHeight="1">
      <c r="A1096" s="1" t="s">
        <v>2280</v>
      </c>
      <c r="B1096" s="1" t="s">
        <v>1315</v>
      </c>
      <c r="C1096" s="29">
        <v>45747.658940451402</v>
      </c>
      <c r="D1096" s="1" t="s">
        <v>3071</v>
      </c>
      <c r="E1096" s="1" t="s">
        <v>3053</v>
      </c>
      <c r="F1096" s="1">
        <v>42</v>
      </c>
      <c r="H1096" s="1" t="s">
        <v>2033</v>
      </c>
      <c r="I1096" s="1" t="s">
        <v>130</v>
      </c>
      <c r="J1096" s="30">
        <v>10</v>
      </c>
      <c r="K1096" s="30">
        <v>25000</v>
      </c>
      <c r="L1096" s="31">
        <v>250000</v>
      </c>
      <c r="M1096" s="1" t="s">
        <v>30</v>
      </c>
      <c r="N1096" s="1" t="s">
        <v>17</v>
      </c>
      <c r="O1096" s="1" t="s">
        <v>2057</v>
      </c>
      <c r="P1096" s="1" t="s">
        <v>2056</v>
      </c>
      <c r="Q1096" s="1" t="s">
        <v>42</v>
      </c>
      <c r="R1096" s="1">
        <f t="shared" si="17"/>
        <v>1</v>
      </c>
      <c r="S1096" s="4">
        <f>J1096*K1096*M1096</f>
        <v>25000</v>
      </c>
    </row>
    <row r="1097" spans="1:19" ht="43" hidden="1" customHeight="1">
      <c r="A1097" s="1" t="s">
        <v>2280</v>
      </c>
      <c r="B1097" s="1" t="s">
        <v>1469</v>
      </c>
      <c r="C1097" s="29">
        <v>45926.638648275497</v>
      </c>
      <c r="D1097" s="1" t="s">
        <v>3056</v>
      </c>
      <c r="E1097" s="1" t="s">
        <v>3057</v>
      </c>
      <c r="F1097" s="1">
        <v>1</v>
      </c>
      <c r="G1097" s="12" t="s">
        <v>397</v>
      </c>
      <c r="H1097" s="1" t="s">
        <v>1645</v>
      </c>
      <c r="I1097" s="1" t="s">
        <v>1646</v>
      </c>
      <c r="J1097" s="30">
        <v>1</v>
      </c>
      <c r="K1097" s="30">
        <v>320000</v>
      </c>
      <c r="L1097" s="31">
        <v>320000</v>
      </c>
      <c r="M1097" s="1" t="s">
        <v>16</v>
      </c>
      <c r="N1097" s="1" t="s">
        <v>17</v>
      </c>
      <c r="O1097" s="1" t="s">
        <v>2057</v>
      </c>
      <c r="P1097" s="1" t="s">
        <v>2056</v>
      </c>
      <c r="Q1097" s="1" t="s">
        <v>558</v>
      </c>
      <c r="R1097" s="1">
        <f t="shared" si="17"/>
        <v>3</v>
      </c>
      <c r="S1097" s="4">
        <f>J1097*K1097*M1097</f>
        <v>25600</v>
      </c>
    </row>
    <row r="1098" spans="1:19" ht="43" hidden="1" customHeight="1">
      <c r="A1098" s="1" t="s">
        <v>2280</v>
      </c>
      <c r="B1098" s="1" t="s">
        <v>1469</v>
      </c>
      <c r="C1098" s="29">
        <v>45926.638648275497</v>
      </c>
      <c r="D1098" s="1" t="s">
        <v>3056</v>
      </c>
      <c r="E1098" s="1" t="s">
        <v>3057</v>
      </c>
      <c r="F1098" s="1">
        <v>4</v>
      </c>
      <c r="G1098" s="12" t="s">
        <v>397</v>
      </c>
      <c r="H1098" s="1" t="s">
        <v>1645</v>
      </c>
      <c r="I1098" s="1" t="s">
        <v>1646</v>
      </c>
      <c r="J1098" s="30">
        <v>1</v>
      </c>
      <c r="K1098" s="30">
        <v>300000</v>
      </c>
      <c r="L1098" s="31">
        <v>300000</v>
      </c>
      <c r="M1098" s="1" t="s">
        <v>16</v>
      </c>
      <c r="N1098" s="1" t="s">
        <v>17</v>
      </c>
      <c r="O1098" s="1" t="s">
        <v>2057</v>
      </c>
      <c r="P1098" s="1" t="s">
        <v>2056</v>
      </c>
      <c r="Q1098" s="1" t="s">
        <v>558</v>
      </c>
      <c r="R1098" s="1">
        <f t="shared" si="17"/>
        <v>3</v>
      </c>
      <c r="S1098" s="4">
        <f>J1098*K1098*M1098</f>
        <v>24000</v>
      </c>
    </row>
    <row r="1099" spans="1:19" ht="43" hidden="1" customHeight="1">
      <c r="A1099" s="1" t="s">
        <v>2280</v>
      </c>
      <c r="B1099" s="1" t="s">
        <v>1418</v>
      </c>
      <c r="C1099" s="29">
        <v>45868.571573252302</v>
      </c>
      <c r="D1099" s="1" t="s">
        <v>3056</v>
      </c>
      <c r="E1099" s="1" t="s">
        <v>3057</v>
      </c>
      <c r="F1099" s="1">
        <v>3</v>
      </c>
      <c r="G1099" s="12" t="s">
        <v>397</v>
      </c>
      <c r="H1099" s="1" t="s">
        <v>1762</v>
      </c>
      <c r="I1099" s="1" t="s">
        <v>45</v>
      </c>
      <c r="J1099" s="30">
        <v>5</v>
      </c>
      <c r="K1099" s="30">
        <v>64000</v>
      </c>
      <c r="L1099" s="31">
        <v>320000</v>
      </c>
      <c r="M1099" s="1" t="s">
        <v>16</v>
      </c>
      <c r="N1099" s="1" t="s">
        <v>17</v>
      </c>
      <c r="O1099" s="1" t="s">
        <v>2057</v>
      </c>
      <c r="P1099" s="1" t="s">
        <v>2056</v>
      </c>
      <c r="Q1099" s="1" t="s">
        <v>800</v>
      </c>
      <c r="R1099" s="1">
        <f t="shared" si="17"/>
        <v>3</v>
      </c>
      <c r="S1099" s="4">
        <f>J1099*K1099*M1099</f>
        <v>25600</v>
      </c>
    </row>
    <row r="1100" spans="1:19" ht="43" hidden="1" customHeight="1">
      <c r="A1100" s="1" t="s">
        <v>2280</v>
      </c>
      <c r="B1100" s="1" t="s">
        <v>1400</v>
      </c>
      <c r="C1100" s="29">
        <v>45990.721094398097</v>
      </c>
      <c r="D1100" s="1" t="s">
        <v>3052</v>
      </c>
      <c r="E1100" s="1" t="s">
        <v>3053</v>
      </c>
      <c r="F1100" s="1">
        <v>31</v>
      </c>
      <c r="G1100" s="12" t="s">
        <v>397</v>
      </c>
      <c r="H1100" s="1" t="s">
        <v>1537</v>
      </c>
      <c r="I1100" s="1" t="s">
        <v>45</v>
      </c>
      <c r="J1100" s="30">
        <v>70</v>
      </c>
      <c r="K1100" s="30">
        <v>60000</v>
      </c>
      <c r="L1100" s="31">
        <v>4200000</v>
      </c>
      <c r="M1100" s="1" t="s">
        <v>16</v>
      </c>
      <c r="N1100" s="1" t="s">
        <v>17</v>
      </c>
      <c r="O1100" s="1" t="s">
        <v>2057</v>
      </c>
      <c r="P1100" s="1" t="s">
        <v>2056</v>
      </c>
      <c r="Q1100" s="1" t="s">
        <v>1531</v>
      </c>
      <c r="R1100" s="1">
        <f t="shared" si="17"/>
        <v>4</v>
      </c>
      <c r="S1100" s="4">
        <f>J1100*K1100*M1100</f>
        <v>336000</v>
      </c>
    </row>
    <row r="1101" spans="1:19" ht="43" hidden="1" customHeight="1">
      <c r="A1101" s="1" t="s">
        <v>2280</v>
      </c>
      <c r="B1101" s="1" t="s">
        <v>13</v>
      </c>
      <c r="C1101" s="29">
        <v>45776.499996342602</v>
      </c>
      <c r="D1101" s="1" t="s">
        <v>3052</v>
      </c>
      <c r="E1101" s="1" t="s">
        <v>3053</v>
      </c>
      <c r="F1101" s="1">
        <v>21</v>
      </c>
      <c r="G1101" s="12" t="s">
        <v>128</v>
      </c>
      <c r="H1101" s="1" t="s">
        <v>128</v>
      </c>
      <c r="I1101" s="1" t="s">
        <v>45</v>
      </c>
      <c r="J1101" s="30">
        <v>100</v>
      </c>
      <c r="K1101" s="30">
        <v>60000</v>
      </c>
      <c r="L1101" s="31">
        <v>6000000</v>
      </c>
      <c r="M1101" s="1" t="s">
        <v>16</v>
      </c>
      <c r="N1101" s="1" t="s">
        <v>17</v>
      </c>
      <c r="O1101" s="1" t="s">
        <v>2057</v>
      </c>
      <c r="P1101" s="1" t="s">
        <v>2056</v>
      </c>
      <c r="Q1101" s="1" t="s">
        <v>937</v>
      </c>
      <c r="R1101" s="1">
        <f t="shared" si="17"/>
        <v>2</v>
      </c>
      <c r="S1101" s="4">
        <f>J1101*K1101*M1101</f>
        <v>480000</v>
      </c>
    </row>
    <row r="1102" spans="1:19" ht="43" hidden="1" customHeight="1">
      <c r="A1102" s="1" t="s">
        <v>2280</v>
      </c>
      <c r="B1102" s="1" t="s">
        <v>120</v>
      </c>
      <c r="C1102" s="29">
        <v>45838.621748888901</v>
      </c>
      <c r="D1102" s="1" t="s">
        <v>3052</v>
      </c>
      <c r="E1102" s="1" t="s">
        <v>3053</v>
      </c>
      <c r="F1102" s="1">
        <v>33</v>
      </c>
      <c r="G1102" s="12" t="s">
        <v>1044</v>
      </c>
      <c r="H1102" s="1" t="s">
        <v>1835</v>
      </c>
      <c r="I1102" s="1" t="s">
        <v>130</v>
      </c>
      <c r="J1102" s="30">
        <v>2</v>
      </c>
      <c r="K1102" s="30">
        <v>1390000</v>
      </c>
      <c r="L1102" s="31">
        <v>2780000</v>
      </c>
      <c r="M1102" s="1" t="s">
        <v>16</v>
      </c>
      <c r="N1102" s="1" t="s">
        <v>17</v>
      </c>
      <c r="O1102" s="1" t="s">
        <v>2057</v>
      </c>
      <c r="P1102" s="1" t="s">
        <v>2056</v>
      </c>
      <c r="Q1102" s="1" t="s">
        <v>828</v>
      </c>
      <c r="R1102" s="1">
        <f t="shared" si="17"/>
        <v>2</v>
      </c>
      <c r="S1102" s="4">
        <f>J1102*K1102*M1102</f>
        <v>222400</v>
      </c>
    </row>
    <row r="1103" spans="1:19" ht="43" hidden="1" customHeight="1">
      <c r="A1103" s="1" t="s">
        <v>2072</v>
      </c>
      <c r="B1103" s="1" t="s">
        <v>1294</v>
      </c>
      <c r="C1103" s="29">
        <v>46021.613942164397</v>
      </c>
      <c r="D1103" s="1" t="s">
        <v>3052</v>
      </c>
      <c r="E1103" s="1" t="s">
        <v>3053</v>
      </c>
      <c r="F1103" s="1">
        <v>65</v>
      </c>
      <c r="G1103" s="12" t="s">
        <v>1489</v>
      </c>
      <c r="H1103" s="1" t="s">
        <v>1489</v>
      </c>
      <c r="I1103" s="1" t="s">
        <v>130</v>
      </c>
      <c r="J1103" s="30">
        <v>1</v>
      </c>
      <c r="K1103" s="30">
        <v>200000</v>
      </c>
      <c r="L1103" s="31">
        <v>200000</v>
      </c>
      <c r="M1103" s="1" t="s">
        <v>16</v>
      </c>
      <c r="N1103" s="1" t="s">
        <v>17</v>
      </c>
      <c r="O1103" s="1" t="s">
        <v>2057</v>
      </c>
      <c r="P1103" s="1" t="s">
        <v>2056</v>
      </c>
      <c r="Q1103" s="1" t="s">
        <v>1474</v>
      </c>
      <c r="R1103" s="1">
        <f t="shared" si="17"/>
        <v>4</v>
      </c>
      <c r="S1103" s="4">
        <f>J1103*K1103*M1103</f>
        <v>16000</v>
      </c>
    </row>
    <row r="1104" spans="1:19" ht="43" hidden="1" customHeight="1">
      <c r="A1104" s="1" t="s">
        <v>2280</v>
      </c>
      <c r="B1104" s="1" t="s">
        <v>1402</v>
      </c>
      <c r="C1104" s="29">
        <v>45990.382403298601</v>
      </c>
      <c r="D1104" s="1" t="s">
        <v>3052</v>
      </c>
      <c r="E1104" s="1" t="s">
        <v>3053</v>
      </c>
      <c r="F1104" s="1">
        <v>16</v>
      </c>
      <c r="G1104" s="12" t="s">
        <v>1489</v>
      </c>
      <c r="H1104" s="1" t="s">
        <v>1489</v>
      </c>
      <c r="I1104" s="1" t="s">
        <v>130</v>
      </c>
      <c r="J1104" s="30">
        <v>2</v>
      </c>
      <c r="K1104" s="30">
        <v>360000</v>
      </c>
      <c r="L1104" s="31">
        <v>720000</v>
      </c>
      <c r="M1104" s="1" t="s">
        <v>16</v>
      </c>
      <c r="N1104" s="1" t="s">
        <v>17</v>
      </c>
      <c r="O1104" s="1" t="s">
        <v>2057</v>
      </c>
      <c r="P1104" s="1" t="s">
        <v>2056</v>
      </c>
      <c r="Q1104" s="1" t="s">
        <v>1531</v>
      </c>
      <c r="R1104" s="1">
        <f t="shared" si="17"/>
        <v>4</v>
      </c>
      <c r="S1104" s="4">
        <f>J1104*K1104*M1104</f>
        <v>57600</v>
      </c>
    </row>
    <row r="1105" spans="1:19" ht="43" hidden="1" customHeight="1">
      <c r="A1105" s="1" t="s">
        <v>2280</v>
      </c>
      <c r="B1105" s="1" t="s">
        <v>1158</v>
      </c>
      <c r="C1105" s="29">
        <v>45868.606624756903</v>
      </c>
      <c r="D1105" s="1" t="s">
        <v>3052</v>
      </c>
      <c r="E1105" s="1" t="s">
        <v>3053</v>
      </c>
      <c r="F1105" s="1">
        <v>3</v>
      </c>
      <c r="G1105" s="12" t="s">
        <v>1489</v>
      </c>
      <c r="H1105" s="1" t="s">
        <v>1489</v>
      </c>
      <c r="I1105" s="1" t="s">
        <v>130</v>
      </c>
      <c r="J1105" s="30">
        <v>2</v>
      </c>
      <c r="K1105" s="30">
        <v>310000</v>
      </c>
      <c r="L1105" s="31">
        <v>620000</v>
      </c>
      <c r="M1105" s="1" t="s">
        <v>16</v>
      </c>
      <c r="N1105" s="1" t="s">
        <v>17</v>
      </c>
      <c r="O1105" s="1" t="s">
        <v>2057</v>
      </c>
      <c r="P1105" s="1" t="s">
        <v>2056</v>
      </c>
      <c r="Q1105" s="1" t="s">
        <v>800</v>
      </c>
      <c r="R1105" s="1">
        <f t="shared" si="17"/>
        <v>3</v>
      </c>
      <c r="S1105" s="4">
        <f>J1105*K1105*M1105</f>
        <v>49600</v>
      </c>
    </row>
    <row r="1106" spans="1:19" ht="43" customHeight="1">
      <c r="A1106" s="1" t="s">
        <v>2280</v>
      </c>
      <c r="B1106" s="1" t="s">
        <v>13</v>
      </c>
      <c r="C1106" s="29">
        <v>45776.499996342602</v>
      </c>
      <c r="D1106" s="1" t="s">
        <v>3052</v>
      </c>
      <c r="E1106" s="1" t="s">
        <v>3053</v>
      </c>
      <c r="F1106" s="1">
        <v>22</v>
      </c>
      <c r="H1106" s="1" t="s">
        <v>1936</v>
      </c>
      <c r="I1106" s="1" t="s">
        <v>130</v>
      </c>
      <c r="J1106" s="30">
        <v>3</v>
      </c>
      <c r="K1106" s="30">
        <v>730000</v>
      </c>
      <c r="L1106" s="31">
        <v>2190000</v>
      </c>
      <c r="M1106" s="1" t="s">
        <v>16</v>
      </c>
      <c r="N1106" s="1" t="s">
        <v>17</v>
      </c>
      <c r="O1106" s="1" t="s">
        <v>2057</v>
      </c>
      <c r="P1106" s="1" t="s">
        <v>2056</v>
      </c>
      <c r="Q1106" s="1" t="s">
        <v>937</v>
      </c>
      <c r="R1106" s="1">
        <f t="shared" si="17"/>
        <v>2</v>
      </c>
      <c r="S1106" s="4">
        <f>J1106*K1106*M1106</f>
        <v>175200</v>
      </c>
    </row>
    <row r="1107" spans="1:19" ht="43" hidden="1" customHeight="1">
      <c r="A1107" s="1" t="s">
        <v>2280</v>
      </c>
      <c r="B1107" s="1" t="s">
        <v>1402</v>
      </c>
      <c r="C1107" s="29">
        <v>45990.382403298601</v>
      </c>
      <c r="D1107" s="1" t="s">
        <v>3052</v>
      </c>
      <c r="E1107" s="1" t="s">
        <v>3053</v>
      </c>
      <c r="F1107" s="1">
        <v>7</v>
      </c>
      <c r="G1107" s="12" t="s">
        <v>2215</v>
      </c>
      <c r="H1107" s="1" t="s">
        <v>439</v>
      </c>
      <c r="I1107" s="1" t="s">
        <v>1279</v>
      </c>
      <c r="J1107" s="30">
        <v>70</v>
      </c>
      <c r="K1107" s="30">
        <v>90000</v>
      </c>
      <c r="L1107" s="31">
        <v>6300000</v>
      </c>
      <c r="M1107" s="1" t="s">
        <v>16</v>
      </c>
      <c r="N1107" s="1" t="s">
        <v>17</v>
      </c>
      <c r="O1107" s="1" t="s">
        <v>2057</v>
      </c>
      <c r="P1107" s="1" t="s">
        <v>2056</v>
      </c>
      <c r="Q1107" s="1" t="s">
        <v>1531</v>
      </c>
      <c r="R1107" s="1">
        <f t="shared" si="17"/>
        <v>4</v>
      </c>
      <c r="S1107" s="4">
        <f>J1107*K1107*M1107</f>
        <v>504000</v>
      </c>
    </row>
    <row r="1108" spans="1:19" ht="43" customHeight="1">
      <c r="A1108" s="1" t="s">
        <v>2280</v>
      </c>
      <c r="B1108" s="1" t="s">
        <v>221</v>
      </c>
      <c r="C1108" s="29">
        <v>45776.500553657403</v>
      </c>
      <c r="D1108" s="1" t="s">
        <v>3052</v>
      </c>
      <c r="E1108" s="1" t="s">
        <v>3053</v>
      </c>
      <c r="F1108" s="1">
        <v>6</v>
      </c>
      <c r="H1108" s="1" t="s">
        <v>625</v>
      </c>
      <c r="I1108" s="1" t="s">
        <v>62</v>
      </c>
      <c r="J1108" s="30">
        <v>240</v>
      </c>
      <c r="K1108" s="30">
        <v>28000</v>
      </c>
      <c r="L1108" s="31">
        <v>6720000</v>
      </c>
      <c r="M1108" s="1" t="s">
        <v>30</v>
      </c>
      <c r="N1108" s="1" t="s">
        <v>17</v>
      </c>
      <c r="O1108" s="1" t="s">
        <v>2057</v>
      </c>
      <c r="P1108" s="1" t="s">
        <v>2056</v>
      </c>
      <c r="Q1108" s="1" t="s">
        <v>937</v>
      </c>
      <c r="R1108" s="1">
        <f t="shared" si="17"/>
        <v>2</v>
      </c>
      <c r="S1108" s="4">
        <f>J1108*K1108*M1108</f>
        <v>672000</v>
      </c>
    </row>
    <row r="1109" spans="1:19" ht="43" customHeight="1">
      <c r="A1109" s="1" t="s">
        <v>2280</v>
      </c>
      <c r="B1109" s="1" t="s">
        <v>221</v>
      </c>
      <c r="C1109" s="29">
        <v>45776.500553657403</v>
      </c>
      <c r="D1109" s="1" t="s">
        <v>3052</v>
      </c>
      <c r="E1109" s="1" t="s">
        <v>3053</v>
      </c>
      <c r="F1109" s="1">
        <v>7</v>
      </c>
      <c r="H1109" s="1" t="s">
        <v>1905</v>
      </c>
      <c r="I1109" s="1" t="s">
        <v>62</v>
      </c>
      <c r="J1109" s="30">
        <v>50</v>
      </c>
      <c r="K1109" s="30">
        <v>27000</v>
      </c>
      <c r="L1109" s="31">
        <v>1350000</v>
      </c>
      <c r="M1109" s="1" t="s">
        <v>30</v>
      </c>
      <c r="N1109" s="1" t="s">
        <v>17</v>
      </c>
      <c r="O1109" s="1" t="s">
        <v>2057</v>
      </c>
      <c r="P1109" s="1" t="s">
        <v>2056</v>
      </c>
      <c r="Q1109" s="1" t="s">
        <v>937</v>
      </c>
      <c r="R1109" s="1">
        <f t="shared" si="17"/>
        <v>2</v>
      </c>
      <c r="S1109" s="4">
        <f>J1109*K1109*M1109</f>
        <v>135000</v>
      </c>
    </row>
    <row r="1110" spans="1:19" ht="43" customHeight="1">
      <c r="A1110" s="1" t="s">
        <v>2280</v>
      </c>
      <c r="B1110" s="1" t="s">
        <v>1413</v>
      </c>
      <c r="C1110" s="29">
        <v>45889.506525011602</v>
      </c>
      <c r="D1110" s="1" t="s">
        <v>3054</v>
      </c>
      <c r="E1110" s="1" t="s">
        <v>3055</v>
      </c>
      <c r="F1110" s="1">
        <v>15</v>
      </c>
      <c r="H1110" s="1" t="s">
        <v>1739</v>
      </c>
      <c r="I1110" s="1" t="s">
        <v>62</v>
      </c>
      <c r="J1110" s="30">
        <v>20</v>
      </c>
      <c r="K1110" s="30">
        <v>50000</v>
      </c>
      <c r="L1110" s="31">
        <v>1000000</v>
      </c>
      <c r="M1110" s="1" t="s">
        <v>30</v>
      </c>
      <c r="N1110" s="1" t="s">
        <v>17</v>
      </c>
      <c r="O1110" s="1" t="s">
        <v>2057</v>
      </c>
      <c r="P1110" s="1" t="s">
        <v>2056</v>
      </c>
      <c r="Q1110" s="1" t="s">
        <v>674</v>
      </c>
      <c r="R1110" s="1">
        <f t="shared" si="17"/>
        <v>3</v>
      </c>
      <c r="S1110" s="4">
        <f>J1110*K1110*M1110</f>
        <v>100000</v>
      </c>
    </row>
    <row r="1111" spans="1:19" ht="43" customHeight="1">
      <c r="A1111" s="1" t="s">
        <v>2280</v>
      </c>
      <c r="B1111" s="1" t="s">
        <v>1413</v>
      </c>
      <c r="C1111" s="29">
        <v>45889.506525011602</v>
      </c>
      <c r="D1111" s="1" t="s">
        <v>3054</v>
      </c>
      <c r="E1111" s="1" t="s">
        <v>3055</v>
      </c>
      <c r="F1111" s="1">
        <v>12</v>
      </c>
      <c r="H1111" s="1" t="s">
        <v>1737</v>
      </c>
      <c r="I1111" s="1" t="s">
        <v>62</v>
      </c>
      <c r="J1111" s="30">
        <v>40</v>
      </c>
      <c r="K1111" s="30">
        <v>50000</v>
      </c>
      <c r="L1111" s="31">
        <v>2000000</v>
      </c>
      <c r="M1111" s="1" t="s">
        <v>30</v>
      </c>
      <c r="N1111" s="1" t="s">
        <v>17</v>
      </c>
      <c r="O1111" s="1" t="s">
        <v>2057</v>
      </c>
      <c r="P1111" s="1" t="s">
        <v>2056</v>
      </c>
      <c r="Q1111" s="1" t="s">
        <v>674</v>
      </c>
      <c r="R1111" s="1">
        <f t="shared" si="17"/>
        <v>3</v>
      </c>
      <c r="S1111" s="4">
        <f>J1111*K1111*M1111</f>
        <v>200000</v>
      </c>
    </row>
    <row r="1112" spans="1:19" ht="43" customHeight="1">
      <c r="A1112" s="1" t="s">
        <v>2280</v>
      </c>
      <c r="B1112" s="1" t="s">
        <v>194</v>
      </c>
      <c r="C1112" s="29">
        <v>45747.667547175901</v>
      </c>
      <c r="D1112" s="1" t="s">
        <v>3071</v>
      </c>
      <c r="E1112" s="1" t="s">
        <v>3053</v>
      </c>
      <c r="F1112" s="1">
        <v>2</v>
      </c>
      <c r="H1112" s="1" t="s">
        <v>1991</v>
      </c>
      <c r="I1112" s="1" t="s">
        <v>62</v>
      </c>
      <c r="J1112" s="30">
        <v>170</v>
      </c>
      <c r="K1112" s="30">
        <v>4942</v>
      </c>
      <c r="L1112" s="31">
        <v>840140</v>
      </c>
      <c r="M1112" s="1" t="s">
        <v>30</v>
      </c>
      <c r="N1112" s="1" t="s">
        <v>17</v>
      </c>
      <c r="O1112" s="1" t="s">
        <v>2057</v>
      </c>
      <c r="P1112" s="1" t="s">
        <v>2056</v>
      </c>
      <c r="Q1112" s="1" t="s">
        <v>42</v>
      </c>
      <c r="R1112" s="1">
        <f t="shared" si="17"/>
        <v>1</v>
      </c>
      <c r="S1112" s="4">
        <f>J1112*K1112*M1112</f>
        <v>84014</v>
      </c>
    </row>
    <row r="1113" spans="1:19" ht="43" hidden="1" customHeight="1">
      <c r="A1113" s="1" t="s">
        <v>2072</v>
      </c>
      <c r="B1113" s="1" t="s">
        <v>1294</v>
      </c>
      <c r="C1113" s="29">
        <v>46021.613942164397</v>
      </c>
      <c r="D1113" s="1" t="s">
        <v>3052</v>
      </c>
      <c r="E1113" s="1" t="s">
        <v>3053</v>
      </c>
      <c r="F1113" s="1">
        <v>19</v>
      </c>
      <c r="G1113" s="12" t="s">
        <v>776</v>
      </c>
      <c r="H1113" s="1" t="s">
        <v>776</v>
      </c>
      <c r="I1113" s="1" t="s">
        <v>62</v>
      </c>
      <c r="J1113" s="30">
        <v>260</v>
      </c>
      <c r="K1113" s="30">
        <v>28000</v>
      </c>
      <c r="L1113" s="31">
        <v>7280000</v>
      </c>
      <c r="M1113" s="1" t="s">
        <v>16</v>
      </c>
      <c r="N1113" s="1" t="s">
        <v>17</v>
      </c>
      <c r="O1113" s="1" t="s">
        <v>2057</v>
      </c>
      <c r="P1113" s="1" t="s">
        <v>2056</v>
      </c>
      <c r="Q1113" s="1" t="s">
        <v>1474</v>
      </c>
      <c r="R1113" s="1">
        <f t="shared" si="17"/>
        <v>4</v>
      </c>
      <c r="S1113" s="4">
        <f>J1113*K1113*M1113</f>
        <v>582400</v>
      </c>
    </row>
    <row r="1114" spans="1:19" ht="43" hidden="1" customHeight="1">
      <c r="A1114" s="1" t="s">
        <v>2280</v>
      </c>
      <c r="B1114" s="1" t="s">
        <v>1400</v>
      </c>
      <c r="C1114" s="29">
        <v>45990.721094398097</v>
      </c>
      <c r="D1114" s="1" t="s">
        <v>3052</v>
      </c>
      <c r="E1114" s="1" t="s">
        <v>3053</v>
      </c>
      <c r="F1114" s="1">
        <v>1</v>
      </c>
      <c r="G1114" s="12" t="s">
        <v>776</v>
      </c>
      <c r="H1114" s="1" t="s">
        <v>776</v>
      </c>
      <c r="I1114" s="1" t="s">
        <v>62</v>
      </c>
      <c r="J1114" s="30">
        <v>160</v>
      </c>
      <c r="K1114" s="30">
        <v>28000</v>
      </c>
      <c r="L1114" s="31">
        <v>4480000</v>
      </c>
      <c r="M1114" s="1" t="s">
        <v>16</v>
      </c>
      <c r="N1114" s="1" t="s">
        <v>17</v>
      </c>
      <c r="O1114" s="1" t="s">
        <v>2057</v>
      </c>
      <c r="P1114" s="1" t="s">
        <v>2056</v>
      </c>
      <c r="Q1114" s="1" t="s">
        <v>1531</v>
      </c>
      <c r="R1114" s="1">
        <f t="shared" si="17"/>
        <v>4</v>
      </c>
      <c r="S1114" s="4">
        <f>J1114*K1114*M1114</f>
        <v>358400</v>
      </c>
    </row>
    <row r="1115" spans="1:19" ht="43" hidden="1" customHeight="1">
      <c r="A1115" s="1" t="s">
        <v>2280</v>
      </c>
      <c r="B1115" s="1" t="s">
        <v>1449</v>
      </c>
      <c r="C1115" s="29">
        <v>45948.596865787003</v>
      </c>
      <c r="D1115" s="1" t="s">
        <v>3079</v>
      </c>
      <c r="E1115" s="1" t="s">
        <v>3080</v>
      </c>
      <c r="F1115" s="1">
        <v>5</v>
      </c>
      <c r="G1115" s="12" t="s">
        <v>776</v>
      </c>
      <c r="H1115" s="1" t="s">
        <v>776</v>
      </c>
      <c r="I1115" s="1" t="s">
        <v>62</v>
      </c>
      <c r="J1115" s="30">
        <v>2.5</v>
      </c>
      <c r="K1115" s="30">
        <v>28000</v>
      </c>
      <c r="L1115" s="31">
        <v>70000</v>
      </c>
      <c r="M1115" s="1" t="s">
        <v>30</v>
      </c>
      <c r="N1115" s="1" t="s">
        <v>17</v>
      </c>
      <c r="O1115" s="1" t="s">
        <v>2057</v>
      </c>
      <c r="P1115" s="1" t="s">
        <v>2056</v>
      </c>
      <c r="Q1115" s="1" t="s">
        <v>459</v>
      </c>
      <c r="R1115" s="1">
        <f t="shared" si="17"/>
        <v>4</v>
      </c>
      <c r="S1115" s="4">
        <f>J1115*K1115*M1115</f>
        <v>7000</v>
      </c>
    </row>
    <row r="1116" spans="1:19" ht="43" hidden="1" customHeight="1">
      <c r="A1116" s="1" t="s">
        <v>2280</v>
      </c>
      <c r="B1116" s="1" t="s">
        <v>188</v>
      </c>
      <c r="C1116" s="29">
        <v>45928.944600393501</v>
      </c>
      <c r="D1116" s="1" t="s">
        <v>3052</v>
      </c>
      <c r="E1116" s="1" t="s">
        <v>3053</v>
      </c>
      <c r="F1116" s="1">
        <v>3</v>
      </c>
      <c r="G1116" s="12" t="s">
        <v>776</v>
      </c>
      <c r="H1116" s="1" t="s">
        <v>776</v>
      </c>
      <c r="I1116" s="1" t="s">
        <v>62</v>
      </c>
      <c r="J1116" s="30">
        <v>300</v>
      </c>
      <c r="K1116" s="30">
        <v>28000</v>
      </c>
      <c r="L1116" s="31">
        <v>8400000</v>
      </c>
      <c r="M1116" s="1" t="s">
        <v>30</v>
      </c>
      <c r="N1116" s="1" t="s">
        <v>17</v>
      </c>
      <c r="O1116" s="1" t="s">
        <v>2057</v>
      </c>
      <c r="P1116" s="1" t="s">
        <v>2056</v>
      </c>
      <c r="Q1116" s="1" t="s">
        <v>546</v>
      </c>
      <c r="R1116" s="1">
        <f t="shared" si="17"/>
        <v>3</v>
      </c>
      <c r="S1116" s="4">
        <f>J1116*K1116*M1116</f>
        <v>840000</v>
      </c>
    </row>
    <row r="1117" spans="1:19" ht="43" hidden="1" customHeight="1">
      <c r="A1117" s="1" t="s">
        <v>2280</v>
      </c>
      <c r="B1117" s="1" t="s">
        <v>126</v>
      </c>
      <c r="C1117" s="29">
        <v>45898.896719536999</v>
      </c>
      <c r="D1117" s="1" t="s">
        <v>3052</v>
      </c>
      <c r="E1117" s="1" t="s">
        <v>3053</v>
      </c>
      <c r="F1117" s="1">
        <v>14</v>
      </c>
      <c r="G1117" s="12" t="s">
        <v>776</v>
      </c>
      <c r="H1117" s="1" t="s">
        <v>776</v>
      </c>
      <c r="I1117" s="1" t="s">
        <v>62</v>
      </c>
      <c r="J1117" s="30">
        <v>220</v>
      </c>
      <c r="K1117" s="30">
        <v>28000</v>
      </c>
      <c r="L1117" s="31">
        <v>6160000</v>
      </c>
      <c r="M1117" s="1" t="s">
        <v>30</v>
      </c>
      <c r="N1117" s="1" t="s">
        <v>17</v>
      </c>
      <c r="O1117" s="1" t="s">
        <v>2057</v>
      </c>
      <c r="P1117" s="1" t="s">
        <v>2056</v>
      </c>
      <c r="Q1117" s="1" t="s">
        <v>652</v>
      </c>
      <c r="R1117" s="1">
        <f t="shared" si="17"/>
        <v>3</v>
      </c>
      <c r="S1117" s="4">
        <f>J1117*K1117*M1117</f>
        <v>616000</v>
      </c>
    </row>
    <row r="1118" spans="1:19" ht="43" hidden="1" customHeight="1">
      <c r="A1118" s="1" t="s">
        <v>2280</v>
      </c>
      <c r="B1118" s="1" t="s">
        <v>1419</v>
      </c>
      <c r="C1118" s="29">
        <v>45866.749486990702</v>
      </c>
      <c r="D1118" s="1" t="s">
        <v>3052</v>
      </c>
      <c r="E1118" s="1" t="s">
        <v>3053</v>
      </c>
      <c r="F1118" s="1">
        <v>11</v>
      </c>
      <c r="G1118" s="12" t="s">
        <v>776</v>
      </c>
      <c r="H1118" s="1" t="s">
        <v>776</v>
      </c>
      <c r="I1118" s="1" t="s">
        <v>62</v>
      </c>
      <c r="J1118" s="30">
        <v>340</v>
      </c>
      <c r="K1118" s="30">
        <v>28000</v>
      </c>
      <c r="L1118" s="31">
        <v>9520000</v>
      </c>
      <c r="M1118" s="1" t="s">
        <v>30</v>
      </c>
      <c r="N1118" s="1" t="s">
        <v>17</v>
      </c>
      <c r="O1118" s="1" t="s">
        <v>2057</v>
      </c>
      <c r="P1118" s="1" t="s">
        <v>2056</v>
      </c>
      <c r="Q1118" s="1" t="s">
        <v>1763</v>
      </c>
      <c r="R1118" s="1">
        <f t="shared" si="17"/>
        <v>3</v>
      </c>
      <c r="S1118" s="4">
        <f>J1118*K1118*M1118</f>
        <v>952000</v>
      </c>
    </row>
    <row r="1119" spans="1:19" ht="43" hidden="1" customHeight="1">
      <c r="A1119" s="1" t="s">
        <v>2280</v>
      </c>
      <c r="B1119" s="1" t="s">
        <v>1262</v>
      </c>
      <c r="C1119" s="29">
        <v>45838.622051655097</v>
      </c>
      <c r="D1119" s="1" t="s">
        <v>3052</v>
      </c>
      <c r="E1119" s="1" t="s">
        <v>3053</v>
      </c>
      <c r="F1119" s="1">
        <v>6</v>
      </c>
      <c r="G1119" s="12" t="s">
        <v>776</v>
      </c>
      <c r="H1119" s="1" t="s">
        <v>776</v>
      </c>
      <c r="I1119" s="1" t="s">
        <v>62</v>
      </c>
      <c r="J1119" s="30">
        <v>22.5</v>
      </c>
      <c r="K1119" s="30">
        <v>28000</v>
      </c>
      <c r="L1119" s="31">
        <v>630000</v>
      </c>
      <c r="M1119" s="1" t="s">
        <v>30</v>
      </c>
      <c r="N1119" s="1" t="s">
        <v>17</v>
      </c>
      <c r="O1119" s="1" t="s">
        <v>2057</v>
      </c>
      <c r="P1119" s="1" t="s">
        <v>2056</v>
      </c>
      <c r="Q1119" s="1" t="s">
        <v>828</v>
      </c>
      <c r="R1119" s="1">
        <f t="shared" si="17"/>
        <v>2</v>
      </c>
      <c r="S1119" s="4">
        <f>J1119*K1119*M1119</f>
        <v>63000</v>
      </c>
    </row>
    <row r="1120" spans="1:19" ht="43" hidden="1" customHeight="1">
      <c r="A1120" s="1" t="s">
        <v>2280</v>
      </c>
      <c r="B1120" s="1" t="s">
        <v>1267</v>
      </c>
      <c r="C1120" s="29">
        <v>45836.662306689803</v>
      </c>
      <c r="D1120" s="1" t="s">
        <v>3072</v>
      </c>
      <c r="E1120" s="1" t="s">
        <v>3073</v>
      </c>
      <c r="F1120" s="1">
        <v>1</v>
      </c>
      <c r="G1120" s="12" t="s">
        <v>776</v>
      </c>
      <c r="H1120" s="1" t="s">
        <v>776</v>
      </c>
      <c r="I1120" s="1" t="s">
        <v>62</v>
      </c>
      <c r="J1120" s="30">
        <v>67.5</v>
      </c>
      <c r="K1120" s="30">
        <v>28000</v>
      </c>
      <c r="L1120" s="31">
        <v>1890000</v>
      </c>
      <c r="M1120" s="1" t="s">
        <v>30</v>
      </c>
      <c r="N1120" s="1" t="s">
        <v>17</v>
      </c>
      <c r="O1120" s="1" t="s">
        <v>2057</v>
      </c>
      <c r="P1120" s="1" t="s">
        <v>2056</v>
      </c>
      <c r="Q1120" s="1" t="s">
        <v>845</v>
      </c>
      <c r="R1120" s="1">
        <f t="shared" si="17"/>
        <v>2</v>
      </c>
      <c r="S1120" s="4">
        <f>J1120*K1120*M1120</f>
        <v>189000</v>
      </c>
    </row>
    <row r="1121" spans="1:19" ht="43" hidden="1" customHeight="1">
      <c r="A1121" s="1" t="s">
        <v>2280</v>
      </c>
      <c r="B1121" s="1" t="s">
        <v>1272</v>
      </c>
      <c r="C1121" s="29">
        <v>45836.414122164402</v>
      </c>
      <c r="D1121" s="1" t="s">
        <v>3052</v>
      </c>
      <c r="E1121" s="1" t="s">
        <v>3053</v>
      </c>
      <c r="F1121" s="1">
        <v>13</v>
      </c>
      <c r="G1121" s="12" t="s">
        <v>776</v>
      </c>
      <c r="H1121" s="1" t="s">
        <v>776</v>
      </c>
      <c r="I1121" s="1" t="s">
        <v>62</v>
      </c>
      <c r="J1121" s="30">
        <v>420</v>
      </c>
      <c r="K1121" s="30">
        <v>28000</v>
      </c>
      <c r="L1121" s="31">
        <v>11760000</v>
      </c>
      <c r="M1121" s="1" t="s">
        <v>30</v>
      </c>
      <c r="N1121" s="1" t="s">
        <v>17</v>
      </c>
      <c r="O1121" s="1" t="s">
        <v>2057</v>
      </c>
      <c r="P1121" s="1" t="s">
        <v>2056</v>
      </c>
      <c r="Q1121" s="1" t="s">
        <v>845</v>
      </c>
      <c r="R1121" s="1">
        <f t="shared" si="17"/>
        <v>2</v>
      </c>
      <c r="S1121" s="4">
        <f>J1121*K1121*M1121</f>
        <v>1176000</v>
      </c>
    </row>
    <row r="1122" spans="1:19" ht="43" hidden="1" customHeight="1">
      <c r="A1122" s="1" t="s">
        <v>2280</v>
      </c>
      <c r="B1122" s="1" t="s">
        <v>717</v>
      </c>
      <c r="C1122" s="29">
        <v>45807.729117129602</v>
      </c>
      <c r="D1122" s="1" t="s">
        <v>3052</v>
      </c>
      <c r="E1122" s="1" t="s">
        <v>3053</v>
      </c>
      <c r="F1122" s="1">
        <v>9</v>
      </c>
      <c r="G1122" s="12" t="s">
        <v>776</v>
      </c>
      <c r="H1122" s="1" t="s">
        <v>776</v>
      </c>
      <c r="I1122" s="1" t="s">
        <v>62</v>
      </c>
      <c r="J1122" s="30">
        <v>360</v>
      </c>
      <c r="K1122" s="30">
        <v>28000</v>
      </c>
      <c r="L1122" s="31">
        <v>10080000</v>
      </c>
      <c r="M1122" s="1" t="s">
        <v>30</v>
      </c>
      <c r="N1122" s="1" t="s">
        <v>17</v>
      </c>
      <c r="O1122" s="1" t="s">
        <v>2057</v>
      </c>
      <c r="P1122" s="1" t="s">
        <v>2056</v>
      </c>
      <c r="Q1122" s="1" t="s">
        <v>925</v>
      </c>
      <c r="R1122" s="1">
        <f t="shared" si="17"/>
        <v>2</v>
      </c>
      <c r="S1122" s="4">
        <f>J1122*K1122*M1122</f>
        <v>1008000</v>
      </c>
    </row>
    <row r="1123" spans="1:19" ht="43" hidden="1" customHeight="1">
      <c r="A1123" s="1" t="s">
        <v>2280</v>
      </c>
      <c r="B1123" s="1" t="s">
        <v>1413</v>
      </c>
      <c r="C1123" s="29">
        <v>45889.506525011602</v>
      </c>
      <c r="D1123" s="1" t="s">
        <v>3054</v>
      </c>
      <c r="E1123" s="1" t="s">
        <v>3055</v>
      </c>
      <c r="F1123" s="1">
        <v>7</v>
      </c>
      <c r="G1123" s="12" t="s">
        <v>832</v>
      </c>
      <c r="H1123" s="1" t="s">
        <v>1733</v>
      </c>
      <c r="I1123" s="1" t="s">
        <v>62</v>
      </c>
      <c r="J1123" s="30">
        <v>15</v>
      </c>
      <c r="K1123" s="30">
        <v>28000</v>
      </c>
      <c r="L1123" s="31">
        <v>420000</v>
      </c>
      <c r="M1123" s="1" t="s">
        <v>30</v>
      </c>
      <c r="N1123" s="1" t="s">
        <v>17</v>
      </c>
      <c r="O1123" s="1" t="s">
        <v>2057</v>
      </c>
      <c r="P1123" s="1" t="s">
        <v>2056</v>
      </c>
      <c r="Q1123" s="1" t="s">
        <v>674</v>
      </c>
      <c r="R1123" s="1">
        <f t="shared" si="17"/>
        <v>3</v>
      </c>
      <c r="S1123" s="4">
        <f>J1123*K1123*M1123</f>
        <v>42000</v>
      </c>
    </row>
    <row r="1124" spans="1:19" ht="43" hidden="1" customHeight="1">
      <c r="A1124" s="1" t="s">
        <v>2072</v>
      </c>
      <c r="B1124" s="1" t="s">
        <v>1302</v>
      </c>
      <c r="C1124" s="29">
        <v>46018.477279282401</v>
      </c>
      <c r="D1124" s="1" t="s">
        <v>3054</v>
      </c>
      <c r="E1124" s="1" t="s">
        <v>3055</v>
      </c>
      <c r="F1124" s="1">
        <v>5</v>
      </c>
      <c r="G1124" s="12" t="s">
        <v>832</v>
      </c>
      <c r="H1124" s="1" t="s">
        <v>832</v>
      </c>
      <c r="I1124" s="1" t="s">
        <v>62</v>
      </c>
      <c r="J1124" s="30">
        <v>60</v>
      </c>
      <c r="K1124" s="30">
        <v>28000</v>
      </c>
      <c r="L1124" s="31">
        <v>1680000</v>
      </c>
      <c r="M1124" s="1" t="s">
        <v>16</v>
      </c>
      <c r="N1124" s="1" t="s">
        <v>17</v>
      </c>
      <c r="O1124" s="1" t="s">
        <v>2057</v>
      </c>
      <c r="P1124" s="1" t="s">
        <v>2056</v>
      </c>
      <c r="Q1124" s="1" t="s">
        <v>293</v>
      </c>
      <c r="R1124" s="1">
        <f t="shared" si="17"/>
        <v>4</v>
      </c>
      <c r="S1124" s="4">
        <f>J1124*K1124*M1124</f>
        <v>134400</v>
      </c>
    </row>
    <row r="1125" spans="1:19" ht="43" hidden="1" customHeight="1">
      <c r="A1125" s="1" t="s">
        <v>2280</v>
      </c>
      <c r="B1125" s="1" t="s">
        <v>1193</v>
      </c>
      <c r="C1125" s="29">
        <v>45989.802848981497</v>
      </c>
      <c r="D1125" s="1" t="s">
        <v>3054</v>
      </c>
      <c r="E1125" s="1" t="s">
        <v>3055</v>
      </c>
      <c r="F1125" s="1">
        <v>3</v>
      </c>
      <c r="G1125" s="12" t="s">
        <v>832</v>
      </c>
      <c r="H1125" s="1" t="s">
        <v>832</v>
      </c>
      <c r="I1125" s="1" t="s">
        <v>62</v>
      </c>
      <c r="J1125" s="30">
        <v>40</v>
      </c>
      <c r="K1125" s="30">
        <v>28000</v>
      </c>
      <c r="L1125" s="31">
        <v>1120000</v>
      </c>
      <c r="M1125" s="1" t="s">
        <v>16</v>
      </c>
      <c r="N1125" s="1" t="s">
        <v>17</v>
      </c>
      <c r="O1125" s="1" t="s">
        <v>2057</v>
      </c>
      <c r="P1125" s="1" t="s">
        <v>2056</v>
      </c>
      <c r="Q1125" s="1" t="s">
        <v>394</v>
      </c>
      <c r="R1125" s="1">
        <f t="shared" si="17"/>
        <v>4</v>
      </c>
      <c r="S1125" s="4">
        <f>J1125*K1125*M1125</f>
        <v>89600</v>
      </c>
    </row>
    <row r="1126" spans="1:19" ht="43" hidden="1" customHeight="1">
      <c r="A1126" s="1" t="s">
        <v>2280</v>
      </c>
      <c r="B1126" s="1" t="s">
        <v>1461</v>
      </c>
      <c r="C1126" s="29">
        <v>45933.358910983799</v>
      </c>
      <c r="D1126" s="1" t="s">
        <v>3048</v>
      </c>
      <c r="E1126" s="1" t="s">
        <v>3049</v>
      </c>
      <c r="F1126" s="1">
        <v>9</v>
      </c>
      <c r="G1126" s="12" t="s">
        <v>832</v>
      </c>
      <c r="H1126" s="1" t="s">
        <v>832</v>
      </c>
      <c r="I1126" s="1" t="s">
        <v>62</v>
      </c>
      <c r="J1126" s="30">
        <v>15</v>
      </c>
      <c r="K1126" s="30">
        <v>27000</v>
      </c>
      <c r="L1126" s="31">
        <v>405000</v>
      </c>
      <c r="M1126" s="1" t="s">
        <v>30</v>
      </c>
      <c r="N1126" s="1" t="s">
        <v>17</v>
      </c>
      <c r="O1126" s="1" t="s">
        <v>2057</v>
      </c>
      <c r="P1126" s="1" t="s">
        <v>2056</v>
      </c>
      <c r="Q1126" s="1" t="s">
        <v>1591</v>
      </c>
      <c r="R1126" s="1">
        <f t="shared" si="17"/>
        <v>4</v>
      </c>
      <c r="S1126" s="4">
        <f>J1126*K1126*M1126</f>
        <v>40500</v>
      </c>
    </row>
    <row r="1127" spans="1:19" ht="43" hidden="1" customHeight="1">
      <c r="A1127" s="1" t="s">
        <v>2280</v>
      </c>
      <c r="B1127" s="1" t="s">
        <v>125</v>
      </c>
      <c r="C1127" s="29">
        <v>45927.918464398201</v>
      </c>
      <c r="D1127" s="1" t="s">
        <v>3054</v>
      </c>
      <c r="E1127" s="1" t="s">
        <v>3055</v>
      </c>
      <c r="F1127" s="1">
        <v>5</v>
      </c>
      <c r="G1127" s="12" t="s">
        <v>832</v>
      </c>
      <c r="H1127" s="1" t="s">
        <v>832</v>
      </c>
      <c r="I1127" s="1" t="s">
        <v>62</v>
      </c>
      <c r="J1127" s="30">
        <v>80</v>
      </c>
      <c r="K1127" s="30">
        <v>27000</v>
      </c>
      <c r="L1127" s="31">
        <v>2160000</v>
      </c>
      <c r="M1127" s="1" t="s">
        <v>30</v>
      </c>
      <c r="N1127" s="1" t="s">
        <v>17</v>
      </c>
      <c r="O1127" s="1" t="s">
        <v>2057</v>
      </c>
      <c r="P1127" s="1" t="s">
        <v>2056</v>
      </c>
      <c r="Q1127" s="1" t="s">
        <v>588</v>
      </c>
      <c r="R1127" s="1">
        <f t="shared" si="17"/>
        <v>3</v>
      </c>
      <c r="S1127" s="4">
        <f>J1127*K1127*M1127</f>
        <v>216000</v>
      </c>
    </row>
    <row r="1128" spans="1:19" ht="43" hidden="1" customHeight="1">
      <c r="A1128" s="1" t="s">
        <v>2280</v>
      </c>
      <c r="B1128" s="1" t="s">
        <v>1413</v>
      </c>
      <c r="C1128" s="29">
        <v>45889.506525011602</v>
      </c>
      <c r="D1128" s="1" t="s">
        <v>3054</v>
      </c>
      <c r="E1128" s="1" t="s">
        <v>3055</v>
      </c>
      <c r="F1128" s="1">
        <v>1</v>
      </c>
      <c r="G1128" s="12" t="s">
        <v>832</v>
      </c>
      <c r="H1128" s="1" t="s">
        <v>832</v>
      </c>
      <c r="I1128" s="1" t="s">
        <v>62</v>
      </c>
      <c r="J1128" s="30">
        <v>80</v>
      </c>
      <c r="K1128" s="30">
        <v>27000</v>
      </c>
      <c r="L1128" s="31">
        <v>2160000</v>
      </c>
      <c r="M1128" s="1" t="s">
        <v>30</v>
      </c>
      <c r="N1128" s="1" t="s">
        <v>17</v>
      </c>
      <c r="O1128" s="1" t="s">
        <v>2057</v>
      </c>
      <c r="P1128" s="1" t="s">
        <v>2056</v>
      </c>
      <c r="Q1128" s="1" t="s">
        <v>674</v>
      </c>
      <c r="R1128" s="1">
        <f t="shared" si="17"/>
        <v>3</v>
      </c>
      <c r="S1128" s="4">
        <f>J1128*K1128*M1128</f>
        <v>216000</v>
      </c>
    </row>
    <row r="1129" spans="1:19" ht="43" hidden="1" customHeight="1">
      <c r="A1129" s="1" t="s">
        <v>2280</v>
      </c>
      <c r="B1129" s="1" t="s">
        <v>717</v>
      </c>
      <c r="C1129" s="29">
        <v>45807.729117129602</v>
      </c>
      <c r="D1129" s="1" t="s">
        <v>3052</v>
      </c>
      <c r="E1129" s="1" t="s">
        <v>3053</v>
      </c>
      <c r="F1129" s="1">
        <v>13</v>
      </c>
      <c r="G1129" s="12" t="s">
        <v>902</v>
      </c>
      <c r="H1129" s="1" t="s">
        <v>1880</v>
      </c>
      <c r="I1129" s="1" t="s">
        <v>62</v>
      </c>
      <c r="J1129" s="30">
        <v>70</v>
      </c>
      <c r="K1129" s="30">
        <v>28000</v>
      </c>
      <c r="L1129" s="31">
        <v>1960000</v>
      </c>
      <c r="M1129" s="1" t="s">
        <v>30</v>
      </c>
      <c r="N1129" s="1" t="s">
        <v>17</v>
      </c>
      <c r="O1129" s="1" t="s">
        <v>2057</v>
      </c>
      <c r="P1129" s="1" t="s">
        <v>2056</v>
      </c>
      <c r="Q1129" s="1" t="s">
        <v>925</v>
      </c>
      <c r="R1129" s="1">
        <f t="shared" si="17"/>
        <v>2</v>
      </c>
      <c r="S1129" s="4">
        <f>J1129*K1129*M1129</f>
        <v>196000</v>
      </c>
    </row>
    <row r="1130" spans="1:19" ht="43" customHeight="1">
      <c r="A1130" s="1" t="s">
        <v>2280</v>
      </c>
      <c r="B1130" s="1" t="s">
        <v>1274</v>
      </c>
      <c r="C1130" s="29">
        <v>45833.380322511599</v>
      </c>
      <c r="D1130" s="1" t="s">
        <v>3081</v>
      </c>
      <c r="E1130" s="1" t="s">
        <v>3082</v>
      </c>
      <c r="F1130" s="1">
        <v>4</v>
      </c>
      <c r="H1130" s="1" t="s">
        <v>1468</v>
      </c>
      <c r="I1130" s="1" t="s">
        <v>35</v>
      </c>
      <c r="J1130" s="30">
        <v>5</v>
      </c>
      <c r="K1130" s="30">
        <v>30000</v>
      </c>
      <c r="L1130" s="31">
        <v>150000</v>
      </c>
      <c r="M1130" s="1" t="s">
        <v>30</v>
      </c>
      <c r="N1130" s="1" t="s">
        <v>17</v>
      </c>
      <c r="O1130" s="1" t="s">
        <v>2057</v>
      </c>
      <c r="P1130" s="1" t="s">
        <v>2056</v>
      </c>
      <c r="Q1130" s="1" t="s">
        <v>857</v>
      </c>
      <c r="R1130" s="1">
        <f t="shared" si="17"/>
        <v>2</v>
      </c>
      <c r="S1130" s="4">
        <f>J1130*K1130*M1130</f>
        <v>15000</v>
      </c>
    </row>
    <row r="1131" spans="1:19" ht="43" hidden="1" customHeight="1">
      <c r="A1131" s="1" t="s">
        <v>2280</v>
      </c>
      <c r="B1131" s="1" t="s">
        <v>1193</v>
      </c>
      <c r="C1131" s="29">
        <v>45989.802848981497</v>
      </c>
      <c r="D1131" s="1" t="s">
        <v>3054</v>
      </c>
      <c r="E1131" s="1" t="s">
        <v>3055</v>
      </c>
      <c r="F1131" s="1">
        <v>1</v>
      </c>
      <c r="G1131" s="12" t="s">
        <v>1558</v>
      </c>
      <c r="H1131" s="1" t="s">
        <v>1558</v>
      </c>
      <c r="I1131" s="1" t="s">
        <v>638</v>
      </c>
      <c r="J1131" s="30">
        <v>22</v>
      </c>
      <c r="K1131" s="30">
        <v>165000</v>
      </c>
      <c r="L1131" s="31">
        <v>3630000</v>
      </c>
      <c r="M1131" s="1" t="s">
        <v>16</v>
      </c>
      <c r="N1131" s="1" t="s">
        <v>17</v>
      </c>
      <c r="O1131" s="1" t="s">
        <v>2057</v>
      </c>
      <c r="P1131" s="1" t="s">
        <v>2056</v>
      </c>
      <c r="Q1131" s="1" t="s">
        <v>394</v>
      </c>
      <c r="R1131" s="1">
        <f t="shared" si="17"/>
        <v>4</v>
      </c>
      <c r="S1131" s="4">
        <f>J1131*K1131*M1131</f>
        <v>290400</v>
      </c>
    </row>
    <row r="1132" spans="1:19" ht="43" hidden="1" customHeight="1">
      <c r="A1132" s="1" t="s">
        <v>2072</v>
      </c>
      <c r="B1132" s="1" t="s">
        <v>146</v>
      </c>
      <c r="C1132" s="29">
        <v>46020.386763703696</v>
      </c>
      <c r="D1132" s="1" t="s">
        <v>3052</v>
      </c>
      <c r="E1132" s="1" t="s">
        <v>3053</v>
      </c>
      <c r="F1132" s="1">
        <v>10</v>
      </c>
      <c r="G1132" s="12" t="s">
        <v>401</v>
      </c>
      <c r="H1132" s="1" t="s">
        <v>401</v>
      </c>
      <c r="I1132" s="1" t="s">
        <v>130</v>
      </c>
      <c r="J1132" s="30">
        <v>2</v>
      </c>
      <c r="K1132" s="30">
        <v>70000</v>
      </c>
      <c r="L1132" s="31">
        <v>140000</v>
      </c>
      <c r="M1132" s="1" t="s">
        <v>16</v>
      </c>
      <c r="N1132" s="1" t="s">
        <v>17</v>
      </c>
      <c r="O1132" s="1" t="s">
        <v>2057</v>
      </c>
      <c r="P1132" s="1" t="s">
        <v>2056</v>
      </c>
      <c r="Q1132" s="1" t="s">
        <v>275</v>
      </c>
      <c r="R1132" s="1">
        <f t="shared" si="17"/>
        <v>4</v>
      </c>
      <c r="S1132" s="4">
        <f>J1132*K1132*M1132</f>
        <v>11200</v>
      </c>
    </row>
    <row r="1133" spans="1:19" ht="43" hidden="1" customHeight="1">
      <c r="A1133" s="1" t="s">
        <v>2280</v>
      </c>
      <c r="B1133" s="1" t="s">
        <v>13</v>
      </c>
      <c r="C1133" s="29">
        <v>45776.499996342602</v>
      </c>
      <c r="D1133" s="1" t="s">
        <v>3052</v>
      </c>
      <c r="E1133" s="1" t="s">
        <v>3053</v>
      </c>
      <c r="F1133" s="1">
        <v>42</v>
      </c>
      <c r="G1133" s="12" t="s">
        <v>401</v>
      </c>
      <c r="H1133" s="1" t="s">
        <v>401</v>
      </c>
      <c r="I1133" s="1" t="s">
        <v>130</v>
      </c>
      <c r="J1133" s="30">
        <v>2</v>
      </c>
      <c r="K1133" s="30">
        <v>30000</v>
      </c>
      <c r="L1133" s="31">
        <v>60000</v>
      </c>
      <c r="M1133" s="1" t="s">
        <v>16</v>
      </c>
      <c r="N1133" s="1" t="s">
        <v>17</v>
      </c>
      <c r="O1133" s="1" t="s">
        <v>2057</v>
      </c>
      <c r="P1133" s="1" t="s">
        <v>2056</v>
      </c>
      <c r="Q1133" s="1" t="s">
        <v>937</v>
      </c>
      <c r="R1133" s="1">
        <f t="shared" si="17"/>
        <v>2</v>
      </c>
      <c r="S1133" s="4">
        <f>J1133*K1133*M1133</f>
        <v>4800</v>
      </c>
    </row>
    <row r="1134" spans="1:19" ht="43" hidden="1" customHeight="1">
      <c r="A1134" s="1" t="s">
        <v>2072</v>
      </c>
      <c r="B1134" s="1" t="s">
        <v>1294</v>
      </c>
      <c r="C1134" s="29">
        <v>46021.613942164397</v>
      </c>
      <c r="D1134" s="1" t="s">
        <v>3052</v>
      </c>
      <c r="E1134" s="1" t="s">
        <v>3053</v>
      </c>
      <c r="F1134" s="1">
        <v>23</v>
      </c>
      <c r="G1134" s="12" t="s">
        <v>1482</v>
      </c>
      <c r="H1134" s="1" t="s">
        <v>1482</v>
      </c>
      <c r="I1134" s="1" t="s">
        <v>130</v>
      </c>
      <c r="J1134" s="30">
        <v>1</v>
      </c>
      <c r="K1134" s="30">
        <v>2000000</v>
      </c>
      <c r="L1134" s="31">
        <v>2000000</v>
      </c>
      <c r="M1134" s="1" t="s">
        <v>16</v>
      </c>
      <c r="N1134" s="1" t="s">
        <v>17</v>
      </c>
      <c r="O1134" s="1" t="s">
        <v>2057</v>
      </c>
      <c r="P1134" s="1" t="s">
        <v>2056</v>
      </c>
      <c r="Q1134" s="1" t="s">
        <v>1474</v>
      </c>
      <c r="R1134" s="1">
        <f t="shared" si="17"/>
        <v>4</v>
      </c>
      <c r="S1134" s="4">
        <f>J1134*K1134*M1134</f>
        <v>160000</v>
      </c>
    </row>
    <row r="1135" spans="1:19" ht="43" hidden="1" customHeight="1">
      <c r="A1135" s="1" t="s">
        <v>2280</v>
      </c>
      <c r="B1135" s="1" t="s">
        <v>120</v>
      </c>
      <c r="C1135" s="29">
        <v>45838.621748888901</v>
      </c>
      <c r="D1135" s="1" t="s">
        <v>3052</v>
      </c>
      <c r="E1135" s="1" t="s">
        <v>3053</v>
      </c>
      <c r="F1135" s="1">
        <v>23</v>
      </c>
      <c r="G1135" s="32" t="s">
        <v>830</v>
      </c>
      <c r="H1135" s="1" t="s">
        <v>1832</v>
      </c>
      <c r="I1135" s="1" t="s">
        <v>638</v>
      </c>
      <c r="J1135" s="30">
        <v>2</v>
      </c>
      <c r="K1135" s="30">
        <v>150000</v>
      </c>
      <c r="L1135" s="31">
        <v>300000</v>
      </c>
      <c r="M1135" s="1" t="s">
        <v>16</v>
      </c>
      <c r="N1135" s="1" t="s">
        <v>17</v>
      </c>
      <c r="O1135" s="1" t="s">
        <v>2057</v>
      </c>
      <c r="P1135" s="1" t="s">
        <v>2056</v>
      </c>
      <c r="Q1135" s="1" t="s">
        <v>828</v>
      </c>
      <c r="R1135" s="1">
        <f t="shared" si="17"/>
        <v>2</v>
      </c>
      <c r="S1135" s="4">
        <f>J1135*K1135*M1135</f>
        <v>24000</v>
      </c>
    </row>
    <row r="1136" spans="1:19" ht="43" hidden="1" customHeight="1">
      <c r="A1136" s="1" t="s">
        <v>2280</v>
      </c>
      <c r="B1136" s="1" t="s">
        <v>1315</v>
      </c>
      <c r="C1136" s="29">
        <v>45747.658940451402</v>
      </c>
      <c r="D1136" s="1" t="s">
        <v>3071</v>
      </c>
      <c r="E1136" s="1" t="s">
        <v>3053</v>
      </c>
      <c r="F1136" s="1">
        <v>19</v>
      </c>
      <c r="G1136" s="32" t="s">
        <v>830</v>
      </c>
      <c r="H1136" s="1" t="s">
        <v>1832</v>
      </c>
      <c r="I1136" s="1" t="s">
        <v>638</v>
      </c>
      <c r="J1136" s="30">
        <v>2</v>
      </c>
      <c r="K1136" s="30">
        <v>65000</v>
      </c>
      <c r="L1136" s="31">
        <v>130000</v>
      </c>
      <c r="M1136" s="1" t="s">
        <v>30</v>
      </c>
      <c r="N1136" s="1" t="s">
        <v>17</v>
      </c>
      <c r="O1136" s="1" t="s">
        <v>2057</v>
      </c>
      <c r="P1136" s="1" t="s">
        <v>2056</v>
      </c>
      <c r="Q1136" s="1" t="s">
        <v>42</v>
      </c>
      <c r="R1136" s="1">
        <f t="shared" si="17"/>
        <v>1</v>
      </c>
      <c r="S1136" s="4">
        <f>J1136*K1136*M1136</f>
        <v>13000</v>
      </c>
    </row>
    <row r="1137" spans="1:19" ht="43" hidden="1" customHeight="1">
      <c r="A1137" s="1" t="s">
        <v>2280</v>
      </c>
      <c r="B1137" s="1" t="s">
        <v>1295</v>
      </c>
      <c r="C1137" s="29">
        <v>45807.7287575347</v>
      </c>
      <c r="D1137" s="1" t="s">
        <v>3052</v>
      </c>
      <c r="E1137" s="1" t="s">
        <v>3053</v>
      </c>
      <c r="F1137" s="1">
        <v>8</v>
      </c>
      <c r="G1137" s="32" t="s">
        <v>830</v>
      </c>
      <c r="H1137" s="1" t="s">
        <v>1885</v>
      </c>
      <c r="I1137" s="1" t="s">
        <v>127</v>
      </c>
      <c r="J1137" s="30">
        <v>5</v>
      </c>
      <c r="K1137" s="30">
        <v>150000</v>
      </c>
      <c r="L1137" s="31">
        <v>750000</v>
      </c>
      <c r="M1137" s="1" t="s">
        <v>16</v>
      </c>
      <c r="N1137" s="1" t="s">
        <v>17</v>
      </c>
      <c r="O1137" s="1" t="s">
        <v>2057</v>
      </c>
      <c r="P1137" s="1" t="s">
        <v>2056</v>
      </c>
      <c r="Q1137" s="1" t="s">
        <v>925</v>
      </c>
      <c r="R1137" s="1">
        <f t="shared" si="17"/>
        <v>2</v>
      </c>
      <c r="S1137" s="4">
        <f>J1137*K1137*M1137</f>
        <v>60000</v>
      </c>
    </row>
    <row r="1138" spans="1:19" ht="43" hidden="1" customHeight="1">
      <c r="A1138" s="1" t="s">
        <v>2280</v>
      </c>
      <c r="B1138" s="1" t="s">
        <v>13</v>
      </c>
      <c r="C1138" s="29">
        <v>45776.499996342602</v>
      </c>
      <c r="D1138" s="1" t="s">
        <v>3052</v>
      </c>
      <c r="E1138" s="1" t="s">
        <v>3053</v>
      </c>
      <c r="F1138" s="1">
        <v>5</v>
      </c>
      <c r="G1138" s="12" t="s">
        <v>1924</v>
      </c>
      <c r="H1138" s="1" t="s">
        <v>1924</v>
      </c>
      <c r="I1138" s="1" t="s">
        <v>15</v>
      </c>
      <c r="J1138" s="30">
        <v>10</v>
      </c>
      <c r="K1138" s="30">
        <v>45000</v>
      </c>
      <c r="L1138" s="31">
        <v>450000</v>
      </c>
      <c r="M1138" s="1" t="s">
        <v>16</v>
      </c>
      <c r="N1138" s="1" t="s">
        <v>17</v>
      </c>
      <c r="O1138" s="1" t="s">
        <v>2057</v>
      </c>
      <c r="P1138" s="1" t="s">
        <v>2056</v>
      </c>
      <c r="Q1138" s="1" t="s">
        <v>937</v>
      </c>
      <c r="R1138" s="1">
        <f t="shared" si="17"/>
        <v>2</v>
      </c>
      <c r="S1138" s="4">
        <f>J1138*K1138*M1138</f>
        <v>36000</v>
      </c>
    </row>
    <row r="1139" spans="1:19" ht="43" customHeight="1">
      <c r="A1139" s="1" t="s">
        <v>2280</v>
      </c>
      <c r="B1139" s="1" t="s">
        <v>193</v>
      </c>
      <c r="C1139" s="29">
        <v>45898.577999004599</v>
      </c>
      <c r="D1139" s="1" t="s">
        <v>3058</v>
      </c>
      <c r="E1139" s="1" t="s">
        <v>3059</v>
      </c>
      <c r="F1139" s="1">
        <v>5</v>
      </c>
      <c r="G1139" s="33"/>
      <c r="H1139" s="1" t="s">
        <v>1729</v>
      </c>
      <c r="I1139" s="1" t="s">
        <v>62</v>
      </c>
      <c r="J1139" s="30">
        <v>50</v>
      </c>
      <c r="K1139" s="30">
        <v>12000</v>
      </c>
      <c r="L1139" s="31">
        <v>600000</v>
      </c>
      <c r="M1139" s="1" t="s">
        <v>16</v>
      </c>
      <c r="N1139" s="1" t="s">
        <v>17</v>
      </c>
      <c r="O1139" s="1" t="s">
        <v>2057</v>
      </c>
      <c r="P1139" s="1" t="s">
        <v>2056</v>
      </c>
      <c r="Q1139" s="1" t="s">
        <v>652</v>
      </c>
      <c r="R1139" s="1">
        <f t="shared" si="17"/>
        <v>3</v>
      </c>
      <c r="S1139" s="4">
        <f>J1139*K1139*M1139</f>
        <v>48000</v>
      </c>
    </row>
    <row r="1140" spans="1:19" ht="43" hidden="1" customHeight="1">
      <c r="A1140" s="1" t="s">
        <v>2280</v>
      </c>
      <c r="B1140" s="1" t="s">
        <v>1126</v>
      </c>
      <c r="C1140" s="29">
        <v>45826.433636481503</v>
      </c>
      <c r="D1140" s="1" t="s">
        <v>3058</v>
      </c>
      <c r="E1140" s="1" t="s">
        <v>3059</v>
      </c>
      <c r="F1140" s="1">
        <v>3</v>
      </c>
      <c r="G1140" s="12" t="s">
        <v>128</v>
      </c>
      <c r="H1140" s="1" t="s">
        <v>1857</v>
      </c>
      <c r="I1140" s="1" t="s">
        <v>45</v>
      </c>
      <c r="J1140" s="30">
        <v>25</v>
      </c>
      <c r="K1140" s="30">
        <v>42000</v>
      </c>
      <c r="L1140" s="31">
        <v>1050000</v>
      </c>
      <c r="M1140" s="1" t="s">
        <v>30</v>
      </c>
      <c r="N1140" s="1" t="s">
        <v>17</v>
      </c>
      <c r="O1140" s="1" t="s">
        <v>2057</v>
      </c>
      <c r="P1140" s="1" t="s">
        <v>2056</v>
      </c>
      <c r="Q1140" s="1" t="s">
        <v>863</v>
      </c>
      <c r="R1140" s="1">
        <f t="shared" si="17"/>
        <v>2</v>
      </c>
      <c r="S1140" s="4">
        <f>J1140*K1140*M1140</f>
        <v>105000</v>
      </c>
    </row>
    <row r="1141" spans="1:19" ht="43" customHeight="1">
      <c r="A1141" s="1" t="s">
        <v>2280</v>
      </c>
      <c r="B1141" s="1" t="s">
        <v>1422</v>
      </c>
      <c r="C1141" s="29">
        <v>45864.4394789699</v>
      </c>
      <c r="D1141" s="1" t="s">
        <v>3058</v>
      </c>
      <c r="E1141" s="1" t="s">
        <v>3059</v>
      </c>
      <c r="F1141" s="1">
        <v>10</v>
      </c>
      <c r="H1141" s="1" t="s">
        <v>1793</v>
      </c>
      <c r="I1141" s="1" t="s">
        <v>1478</v>
      </c>
      <c r="J1141" s="30">
        <v>6</v>
      </c>
      <c r="K1141" s="30">
        <v>320000</v>
      </c>
      <c r="L1141" s="31">
        <v>1920000</v>
      </c>
      <c r="M1141" s="1" t="s">
        <v>16</v>
      </c>
      <c r="N1141" s="1" t="s">
        <v>17</v>
      </c>
      <c r="O1141" s="1" t="s">
        <v>2057</v>
      </c>
      <c r="P1141" s="1" t="s">
        <v>2056</v>
      </c>
      <c r="Q1141" s="1" t="s">
        <v>1785</v>
      </c>
      <c r="R1141" s="1">
        <f t="shared" si="17"/>
        <v>3</v>
      </c>
      <c r="S1141" s="4">
        <f>J1141*K1141*M1141</f>
        <v>153600</v>
      </c>
    </row>
    <row r="1142" spans="1:19" ht="43" hidden="1" customHeight="1">
      <c r="A1142" s="1" t="s">
        <v>2072</v>
      </c>
      <c r="B1142" s="1" t="s">
        <v>1294</v>
      </c>
      <c r="C1142" s="29">
        <v>46021.613942164397</v>
      </c>
      <c r="D1142" s="1" t="s">
        <v>3052</v>
      </c>
      <c r="E1142" s="1" t="s">
        <v>3053</v>
      </c>
      <c r="F1142" s="1">
        <v>7</v>
      </c>
      <c r="G1142" s="12" t="s">
        <v>1375</v>
      </c>
      <c r="H1142" s="1" t="s">
        <v>1375</v>
      </c>
      <c r="I1142" s="1" t="s">
        <v>1279</v>
      </c>
      <c r="J1142" s="30">
        <v>7</v>
      </c>
      <c r="K1142" s="30">
        <v>660000</v>
      </c>
      <c r="L1142" s="31">
        <v>4620000</v>
      </c>
      <c r="M1142" s="1" t="s">
        <v>16</v>
      </c>
      <c r="N1142" s="1" t="s">
        <v>17</v>
      </c>
      <c r="O1142" s="1" t="s">
        <v>2057</v>
      </c>
      <c r="P1142" s="1" t="s">
        <v>2056</v>
      </c>
      <c r="Q1142" s="1" t="s">
        <v>1474</v>
      </c>
      <c r="R1142" s="1">
        <f t="shared" si="17"/>
        <v>4</v>
      </c>
      <c r="S1142" s="4">
        <f>J1142*K1142*M1142</f>
        <v>369600</v>
      </c>
    </row>
    <row r="1143" spans="1:19" ht="43" hidden="1" customHeight="1">
      <c r="A1143" s="1" t="s">
        <v>2280</v>
      </c>
      <c r="B1143" s="1" t="s">
        <v>1467</v>
      </c>
      <c r="C1143" s="29">
        <v>45928.732318564798</v>
      </c>
      <c r="D1143" s="1" t="s">
        <v>3052</v>
      </c>
      <c r="E1143" s="1" t="s">
        <v>3053</v>
      </c>
      <c r="F1143" s="1">
        <v>19</v>
      </c>
      <c r="G1143" s="12" t="s">
        <v>763</v>
      </c>
      <c r="H1143" s="1" t="s">
        <v>763</v>
      </c>
      <c r="I1143" s="1" t="s">
        <v>62</v>
      </c>
      <c r="J1143" s="30">
        <v>2.5</v>
      </c>
      <c r="K1143" s="30">
        <v>80000</v>
      </c>
      <c r="L1143" s="31">
        <v>200000</v>
      </c>
      <c r="M1143" s="1" t="s">
        <v>16</v>
      </c>
      <c r="N1143" s="1" t="s">
        <v>17</v>
      </c>
      <c r="O1143" s="1" t="s">
        <v>2057</v>
      </c>
      <c r="P1143" s="1" t="s">
        <v>2056</v>
      </c>
      <c r="Q1143" s="1" t="s">
        <v>546</v>
      </c>
      <c r="R1143" s="1">
        <f t="shared" si="17"/>
        <v>3</v>
      </c>
      <c r="S1143" s="4">
        <f>J1143*K1143*M1143</f>
        <v>16000</v>
      </c>
    </row>
    <row r="1144" spans="1:19" ht="43" hidden="1" customHeight="1">
      <c r="A1144" s="1" t="s">
        <v>2280</v>
      </c>
      <c r="B1144" s="1" t="s">
        <v>1467</v>
      </c>
      <c r="C1144" s="29">
        <v>45928.732318564798</v>
      </c>
      <c r="D1144" s="1" t="s">
        <v>3052</v>
      </c>
      <c r="E1144" s="1" t="s">
        <v>3053</v>
      </c>
      <c r="F1144" s="1">
        <v>75</v>
      </c>
      <c r="G1144" s="12" t="s">
        <v>763</v>
      </c>
      <c r="H1144" s="1" t="s">
        <v>763</v>
      </c>
      <c r="I1144" s="1" t="s">
        <v>62</v>
      </c>
      <c r="J1144" s="30">
        <v>1</v>
      </c>
      <c r="K1144" s="30">
        <v>100000</v>
      </c>
      <c r="L1144" s="31">
        <v>100000</v>
      </c>
      <c r="M1144" s="1" t="s">
        <v>16</v>
      </c>
      <c r="N1144" s="1" t="s">
        <v>17</v>
      </c>
      <c r="O1144" s="1" t="s">
        <v>2057</v>
      </c>
      <c r="P1144" s="1" t="s">
        <v>2056</v>
      </c>
      <c r="Q1144" s="1" t="s">
        <v>546</v>
      </c>
      <c r="R1144" s="1">
        <f t="shared" si="17"/>
        <v>3</v>
      </c>
      <c r="S1144" s="4">
        <f>J1144*K1144*M1144</f>
        <v>8000</v>
      </c>
    </row>
    <row r="1145" spans="1:19" ht="43" hidden="1" customHeight="1">
      <c r="A1145" s="1" t="s">
        <v>2280</v>
      </c>
      <c r="B1145" s="1" t="s">
        <v>1467</v>
      </c>
      <c r="C1145" s="29">
        <v>45928.732318564798</v>
      </c>
      <c r="D1145" s="1" t="s">
        <v>3052</v>
      </c>
      <c r="E1145" s="1" t="s">
        <v>3053</v>
      </c>
      <c r="F1145" s="1">
        <v>77</v>
      </c>
      <c r="G1145" s="12" t="s">
        <v>763</v>
      </c>
      <c r="H1145" s="1" t="s">
        <v>763</v>
      </c>
      <c r="I1145" s="1" t="s">
        <v>62</v>
      </c>
      <c r="J1145" s="30">
        <v>3</v>
      </c>
      <c r="K1145" s="30">
        <v>100000</v>
      </c>
      <c r="L1145" s="31">
        <v>300000</v>
      </c>
      <c r="M1145" s="1" t="s">
        <v>16</v>
      </c>
      <c r="N1145" s="1" t="s">
        <v>17</v>
      </c>
      <c r="O1145" s="1" t="s">
        <v>2057</v>
      </c>
      <c r="P1145" s="1" t="s">
        <v>2056</v>
      </c>
      <c r="Q1145" s="1" t="s">
        <v>546</v>
      </c>
      <c r="R1145" s="1">
        <f t="shared" si="17"/>
        <v>3</v>
      </c>
      <c r="S1145" s="4">
        <f>J1145*K1145*M1145</f>
        <v>24000</v>
      </c>
    </row>
    <row r="1146" spans="1:19" ht="43" hidden="1" customHeight="1">
      <c r="A1146" s="1" t="s">
        <v>2280</v>
      </c>
      <c r="B1146" s="1" t="s">
        <v>188</v>
      </c>
      <c r="C1146" s="29">
        <v>45928.944600393501</v>
      </c>
      <c r="D1146" s="1" t="s">
        <v>3052</v>
      </c>
      <c r="E1146" s="1" t="s">
        <v>3053</v>
      </c>
      <c r="F1146" s="1">
        <v>19</v>
      </c>
      <c r="G1146" s="12" t="s">
        <v>855</v>
      </c>
      <c r="H1146" s="1" t="s">
        <v>855</v>
      </c>
      <c r="I1146" s="1" t="s">
        <v>62</v>
      </c>
      <c r="J1146" s="30">
        <v>1</v>
      </c>
      <c r="K1146" s="30">
        <v>50000</v>
      </c>
      <c r="L1146" s="31">
        <v>50000</v>
      </c>
      <c r="M1146" s="1" t="s">
        <v>30</v>
      </c>
      <c r="N1146" s="1" t="s">
        <v>17</v>
      </c>
      <c r="O1146" s="1" t="s">
        <v>2057</v>
      </c>
      <c r="P1146" s="1" t="s">
        <v>2056</v>
      </c>
      <c r="Q1146" s="1" t="s">
        <v>546</v>
      </c>
      <c r="R1146" s="1">
        <f t="shared" si="17"/>
        <v>3</v>
      </c>
      <c r="S1146" s="4">
        <f>J1146*K1146*M1146</f>
        <v>5000</v>
      </c>
    </row>
    <row r="1147" spans="1:19" ht="43" hidden="1" customHeight="1">
      <c r="A1147" s="1" t="s">
        <v>2280</v>
      </c>
      <c r="B1147" s="1" t="s">
        <v>1417</v>
      </c>
      <c r="C1147" s="29">
        <v>45868.607072511601</v>
      </c>
      <c r="D1147" s="1" t="s">
        <v>3052</v>
      </c>
      <c r="E1147" s="1" t="s">
        <v>3053</v>
      </c>
      <c r="F1147" s="1">
        <v>20</v>
      </c>
      <c r="G1147" s="12" t="s">
        <v>855</v>
      </c>
      <c r="H1147" s="1" t="s">
        <v>855</v>
      </c>
      <c r="I1147" s="1" t="s">
        <v>62</v>
      </c>
      <c r="J1147" s="30">
        <v>2</v>
      </c>
      <c r="K1147" s="30">
        <v>55000</v>
      </c>
      <c r="L1147" s="31">
        <v>110000</v>
      </c>
      <c r="M1147" s="1" t="s">
        <v>30</v>
      </c>
      <c r="N1147" s="1" t="s">
        <v>17</v>
      </c>
      <c r="O1147" s="1" t="s">
        <v>2057</v>
      </c>
      <c r="P1147" s="1" t="s">
        <v>2056</v>
      </c>
      <c r="Q1147" s="1" t="s">
        <v>800</v>
      </c>
      <c r="R1147" s="1">
        <f t="shared" si="17"/>
        <v>3</v>
      </c>
      <c r="S1147" s="4">
        <f>J1147*K1147*M1147</f>
        <v>11000</v>
      </c>
    </row>
    <row r="1148" spans="1:19" ht="43" hidden="1" customHeight="1">
      <c r="A1148" s="1" t="s">
        <v>2280</v>
      </c>
      <c r="B1148" s="1" t="s">
        <v>1272</v>
      </c>
      <c r="C1148" s="29">
        <v>45836.414122164402</v>
      </c>
      <c r="D1148" s="1" t="s">
        <v>3052</v>
      </c>
      <c r="E1148" s="1" t="s">
        <v>3053</v>
      </c>
      <c r="F1148" s="1">
        <v>2</v>
      </c>
      <c r="G1148" s="12" t="s">
        <v>855</v>
      </c>
      <c r="H1148" s="1" t="s">
        <v>855</v>
      </c>
      <c r="I1148" s="1" t="s">
        <v>62</v>
      </c>
      <c r="J1148" s="30">
        <v>4</v>
      </c>
      <c r="K1148" s="30">
        <v>55000</v>
      </c>
      <c r="L1148" s="31">
        <v>220000</v>
      </c>
      <c r="M1148" s="1" t="s">
        <v>30</v>
      </c>
      <c r="N1148" s="1" t="s">
        <v>17</v>
      </c>
      <c r="O1148" s="1" t="s">
        <v>2057</v>
      </c>
      <c r="P1148" s="1" t="s">
        <v>2056</v>
      </c>
      <c r="Q1148" s="1" t="s">
        <v>845</v>
      </c>
      <c r="R1148" s="1">
        <f t="shared" si="17"/>
        <v>2</v>
      </c>
      <c r="S1148" s="4">
        <f>J1148*K1148*M1148</f>
        <v>22000</v>
      </c>
    </row>
    <row r="1149" spans="1:19" ht="43" hidden="1" customHeight="1">
      <c r="A1149" s="1" t="s">
        <v>2280</v>
      </c>
      <c r="B1149" s="1" t="s">
        <v>1034</v>
      </c>
      <c r="C1149" s="29">
        <v>45928.7317327778</v>
      </c>
      <c r="D1149" s="1" t="s">
        <v>3052</v>
      </c>
      <c r="E1149" s="1" t="s">
        <v>3053</v>
      </c>
      <c r="F1149" s="1">
        <v>3</v>
      </c>
      <c r="G1149" s="12" t="s">
        <v>1016</v>
      </c>
      <c r="H1149" s="1" t="s">
        <v>1016</v>
      </c>
      <c r="I1149" s="1" t="s">
        <v>62</v>
      </c>
      <c r="J1149" s="30">
        <v>9</v>
      </c>
      <c r="K1149" s="30">
        <v>60000</v>
      </c>
      <c r="L1149" s="31">
        <v>540000</v>
      </c>
      <c r="M1149" s="1" t="s">
        <v>30</v>
      </c>
      <c r="N1149" s="1" t="s">
        <v>17</v>
      </c>
      <c r="O1149" s="1" t="s">
        <v>2057</v>
      </c>
      <c r="P1149" s="1" t="s">
        <v>2056</v>
      </c>
      <c r="Q1149" s="1" t="s">
        <v>546</v>
      </c>
      <c r="R1149" s="1">
        <f t="shared" si="17"/>
        <v>3</v>
      </c>
      <c r="S1149" s="4">
        <f>J1149*K1149*M1149</f>
        <v>54000</v>
      </c>
    </row>
    <row r="1150" spans="1:19" ht="43" hidden="1" customHeight="1">
      <c r="A1150" s="1" t="s">
        <v>2280</v>
      </c>
      <c r="B1150" s="1" t="s">
        <v>801</v>
      </c>
      <c r="C1150" s="29">
        <v>46007.362243773103</v>
      </c>
      <c r="F1150" s="1">
        <v>1</v>
      </c>
      <c r="G1150" s="12" t="s">
        <v>1526</v>
      </c>
      <c r="H1150" s="1" t="s">
        <v>1526</v>
      </c>
      <c r="I1150" s="1" t="s">
        <v>1258</v>
      </c>
      <c r="J1150" s="30">
        <v>2</v>
      </c>
      <c r="K1150" s="30">
        <v>410000</v>
      </c>
      <c r="L1150" s="31">
        <v>820000</v>
      </c>
      <c r="M1150" s="1" t="s">
        <v>16</v>
      </c>
      <c r="N1150" s="1" t="s">
        <v>17</v>
      </c>
      <c r="O1150" s="1" t="s">
        <v>2057</v>
      </c>
      <c r="P1150" s="1" t="s">
        <v>2056</v>
      </c>
      <c r="Q1150" s="1" t="s">
        <v>262</v>
      </c>
      <c r="R1150" s="1">
        <f t="shared" si="17"/>
        <v>4</v>
      </c>
      <c r="S1150" s="4">
        <f>J1150*K1150*M1150</f>
        <v>65600</v>
      </c>
    </row>
    <row r="1151" spans="1:19" ht="43" hidden="1" customHeight="1">
      <c r="A1151" s="1" t="s">
        <v>2280</v>
      </c>
      <c r="B1151" s="1" t="s">
        <v>1034</v>
      </c>
      <c r="C1151" s="29">
        <v>45928.7317327778</v>
      </c>
      <c r="D1151" s="1" t="s">
        <v>3052</v>
      </c>
      <c r="E1151" s="1" t="s">
        <v>3053</v>
      </c>
      <c r="F1151" s="1">
        <v>17</v>
      </c>
      <c r="G1151" s="12" t="s">
        <v>920</v>
      </c>
      <c r="H1151" s="1" t="s">
        <v>920</v>
      </c>
      <c r="I1151" s="1" t="s">
        <v>173</v>
      </c>
      <c r="J1151" s="30">
        <v>3</v>
      </c>
      <c r="K1151" s="30">
        <v>135000</v>
      </c>
      <c r="L1151" s="31">
        <v>405000</v>
      </c>
      <c r="M1151" s="1" t="s">
        <v>30</v>
      </c>
      <c r="N1151" s="1" t="s">
        <v>17</v>
      </c>
      <c r="O1151" s="1" t="s">
        <v>2057</v>
      </c>
      <c r="P1151" s="1" t="s">
        <v>2056</v>
      </c>
      <c r="Q1151" s="1" t="s">
        <v>546</v>
      </c>
      <c r="R1151" s="1">
        <f t="shared" si="17"/>
        <v>3</v>
      </c>
      <c r="S1151" s="4">
        <f>J1151*K1151*M1151</f>
        <v>40500</v>
      </c>
    </row>
    <row r="1152" spans="1:19" ht="43" hidden="1" customHeight="1">
      <c r="A1152" s="1" t="s">
        <v>2072</v>
      </c>
      <c r="B1152" s="1" t="s">
        <v>288</v>
      </c>
      <c r="C1152" s="29">
        <v>46011.828548495403</v>
      </c>
      <c r="F1152" s="1">
        <v>2</v>
      </c>
      <c r="G1152" s="12" t="s">
        <v>739</v>
      </c>
      <c r="H1152" s="1" t="s">
        <v>739</v>
      </c>
      <c r="I1152" s="1" t="s">
        <v>192</v>
      </c>
      <c r="J1152" s="30">
        <v>2</v>
      </c>
      <c r="K1152" s="30">
        <v>1070000</v>
      </c>
      <c r="L1152" s="31">
        <v>2140000</v>
      </c>
      <c r="M1152" s="1" t="s">
        <v>30</v>
      </c>
      <c r="N1152" s="1" t="s">
        <v>17</v>
      </c>
      <c r="O1152" s="1" t="s">
        <v>2057</v>
      </c>
      <c r="P1152" s="1" t="s">
        <v>2056</v>
      </c>
      <c r="Q1152" s="1" t="s">
        <v>1473</v>
      </c>
      <c r="R1152" s="1">
        <f t="shared" si="17"/>
        <v>4</v>
      </c>
      <c r="S1152" s="4">
        <f>J1152*K1152*M1152</f>
        <v>214000</v>
      </c>
    </row>
    <row r="1153" spans="1:19" ht="43" hidden="1" customHeight="1">
      <c r="A1153" s="1" t="s">
        <v>2072</v>
      </c>
      <c r="B1153" s="1" t="s">
        <v>169</v>
      </c>
      <c r="C1153" s="29">
        <v>46011.828851921302</v>
      </c>
      <c r="F1153" s="1">
        <v>1</v>
      </c>
      <c r="G1153" s="12" t="s">
        <v>1377</v>
      </c>
      <c r="H1153" s="1" t="s">
        <v>1377</v>
      </c>
      <c r="I1153" s="1" t="s">
        <v>192</v>
      </c>
      <c r="J1153" s="30">
        <v>1</v>
      </c>
      <c r="K1153" s="30">
        <v>1419000</v>
      </c>
      <c r="L1153" s="31">
        <v>1419000</v>
      </c>
      <c r="M1153" s="1" t="s">
        <v>30</v>
      </c>
      <c r="N1153" s="1" t="s">
        <v>17</v>
      </c>
      <c r="O1153" s="1" t="s">
        <v>2057</v>
      </c>
      <c r="P1153" s="1" t="s">
        <v>2056</v>
      </c>
      <c r="Q1153" s="1" t="s">
        <v>1473</v>
      </c>
      <c r="R1153" s="1">
        <f t="shared" si="17"/>
        <v>4</v>
      </c>
      <c r="S1153" s="4">
        <f>J1153*K1153*M1153</f>
        <v>141900</v>
      </c>
    </row>
    <row r="1154" spans="1:19" ht="43" hidden="1" customHeight="1">
      <c r="A1154" s="1" t="s">
        <v>2072</v>
      </c>
      <c r="B1154" s="1" t="s">
        <v>288</v>
      </c>
      <c r="C1154" s="29">
        <v>46011.828548495403</v>
      </c>
      <c r="F1154" s="1">
        <v>3</v>
      </c>
      <c r="G1154" s="12" t="s">
        <v>1377</v>
      </c>
      <c r="H1154" s="1" t="s">
        <v>1377</v>
      </c>
      <c r="I1154" s="1" t="s">
        <v>192</v>
      </c>
      <c r="J1154" s="30">
        <v>2</v>
      </c>
      <c r="K1154" s="30">
        <v>1310000</v>
      </c>
      <c r="L1154" s="31">
        <v>2620000</v>
      </c>
      <c r="M1154" s="1" t="s">
        <v>30</v>
      </c>
      <c r="N1154" s="1" t="s">
        <v>17</v>
      </c>
      <c r="O1154" s="1" t="s">
        <v>2057</v>
      </c>
      <c r="P1154" s="1" t="s">
        <v>2056</v>
      </c>
      <c r="Q1154" s="1" t="s">
        <v>1473</v>
      </c>
      <c r="R1154" s="1">
        <f t="shared" si="17"/>
        <v>4</v>
      </c>
      <c r="S1154" s="4">
        <f>J1154*K1154*M1154</f>
        <v>262000</v>
      </c>
    </row>
    <row r="1155" spans="1:19" ht="43" hidden="1" customHeight="1">
      <c r="A1155" s="1" t="s">
        <v>2280</v>
      </c>
      <c r="B1155" s="1" t="s">
        <v>1442</v>
      </c>
      <c r="C1155" s="29">
        <v>45960.6594943866</v>
      </c>
      <c r="D1155" s="1" t="s">
        <v>3052</v>
      </c>
      <c r="E1155" s="1" t="s">
        <v>3053</v>
      </c>
      <c r="F1155" s="1">
        <v>8</v>
      </c>
      <c r="G1155" s="12" t="s">
        <v>853</v>
      </c>
      <c r="H1155" s="1" t="s">
        <v>853</v>
      </c>
      <c r="I1155" s="1" t="s">
        <v>173</v>
      </c>
      <c r="J1155" s="30">
        <v>30</v>
      </c>
      <c r="K1155" s="30">
        <v>20000</v>
      </c>
      <c r="L1155" s="31">
        <v>600000</v>
      </c>
      <c r="M1155" s="1" t="s">
        <v>30</v>
      </c>
      <c r="N1155" s="1" t="s">
        <v>17</v>
      </c>
      <c r="O1155" s="1" t="s">
        <v>2057</v>
      </c>
      <c r="P1155" s="1" t="s">
        <v>2056</v>
      </c>
      <c r="Q1155" s="1" t="s">
        <v>533</v>
      </c>
      <c r="R1155" s="1">
        <f t="shared" ref="R1155:R1218" si="18">ROUNDUP(MONTH(Q1155)/3,0)</f>
        <v>4</v>
      </c>
      <c r="S1155" s="4">
        <f>J1155*K1155*M1155</f>
        <v>60000</v>
      </c>
    </row>
    <row r="1156" spans="1:19" ht="43" hidden="1" customHeight="1">
      <c r="A1156" s="1" t="s">
        <v>2280</v>
      </c>
      <c r="B1156" s="1" t="s">
        <v>1456</v>
      </c>
      <c r="C1156" s="29">
        <v>45943.633031122699</v>
      </c>
      <c r="F1156" s="1">
        <v>1</v>
      </c>
      <c r="G1156" s="12" t="s">
        <v>853</v>
      </c>
      <c r="H1156" s="1" t="s">
        <v>853</v>
      </c>
      <c r="I1156" s="1" t="s">
        <v>56</v>
      </c>
      <c r="J1156" s="30">
        <v>12</v>
      </c>
      <c r="K1156" s="30">
        <v>30000</v>
      </c>
      <c r="L1156" s="31">
        <v>360000</v>
      </c>
      <c r="M1156" s="1" t="s">
        <v>30</v>
      </c>
      <c r="N1156" s="1" t="s">
        <v>17</v>
      </c>
      <c r="O1156" s="1" t="s">
        <v>2057</v>
      </c>
      <c r="P1156" s="1" t="s">
        <v>2056</v>
      </c>
      <c r="Q1156" s="1" t="s">
        <v>515</v>
      </c>
      <c r="R1156" s="1">
        <f t="shared" si="18"/>
        <v>4</v>
      </c>
      <c r="S1156" s="4">
        <f>J1156*K1156*M1156</f>
        <v>36000</v>
      </c>
    </row>
    <row r="1157" spans="1:19" ht="43" hidden="1" customHeight="1">
      <c r="A1157" s="1" t="s">
        <v>2280</v>
      </c>
      <c r="B1157" s="1" t="s">
        <v>91</v>
      </c>
      <c r="C1157" s="29">
        <v>45899.644512638901</v>
      </c>
      <c r="D1157" s="1" t="s">
        <v>3052</v>
      </c>
      <c r="E1157" s="1" t="s">
        <v>3053</v>
      </c>
      <c r="F1157" s="1">
        <v>21</v>
      </c>
      <c r="G1157" s="12" t="s">
        <v>853</v>
      </c>
      <c r="H1157" s="1" t="s">
        <v>853</v>
      </c>
      <c r="I1157" s="1" t="s">
        <v>173</v>
      </c>
      <c r="J1157" s="30">
        <v>6</v>
      </c>
      <c r="K1157" s="30">
        <v>20000</v>
      </c>
      <c r="L1157" s="31">
        <v>120000</v>
      </c>
      <c r="M1157" s="1" t="s">
        <v>16</v>
      </c>
      <c r="N1157" s="1" t="s">
        <v>17</v>
      </c>
      <c r="O1157" s="1" t="s">
        <v>2057</v>
      </c>
      <c r="P1157" s="1" t="s">
        <v>2056</v>
      </c>
      <c r="Q1157" s="1" t="s">
        <v>636</v>
      </c>
      <c r="R1157" s="1">
        <f t="shared" si="18"/>
        <v>3</v>
      </c>
      <c r="S1157" s="4">
        <f>J1157*K1157*M1157</f>
        <v>9600</v>
      </c>
    </row>
    <row r="1158" spans="1:19" ht="43" hidden="1" customHeight="1">
      <c r="A1158" s="1" t="s">
        <v>2072</v>
      </c>
      <c r="B1158" s="1" t="s">
        <v>1294</v>
      </c>
      <c r="C1158" s="29">
        <v>46021.613942164397</v>
      </c>
      <c r="D1158" s="1" t="s">
        <v>3052</v>
      </c>
      <c r="E1158" s="1" t="s">
        <v>3053</v>
      </c>
      <c r="F1158" s="1">
        <v>28</v>
      </c>
      <c r="G1158" s="12" t="s">
        <v>759</v>
      </c>
      <c r="H1158" s="1" t="s">
        <v>759</v>
      </c>
      <c r="I1158" s="1" t="s">
        <v>173</v>
      </c>
      <c r="J1158" s="30">
        <v>1</v>
      </c>
      <c r="K1158" s="30">
        <v>30000</v>
      </c>
      <c r="L1158" s="31">
        <v>30000</v>
      </c>
      <c r="M1158" s="1" t="s">
        <v>16</v>
      </c>
      <c r="N1158" s="1" t="s">
        <v>17</v>
      </c>
      <c r="O1158" s="1" t="s">
        <v>2057</v>
      </c>
      <c r="P1158" s="1" t="s">
        <v>2056</v>
      </c>
      <c r="Q1158" s="1" t="s">
        <v>1474</v>
      </c>
      <c r="R1158" s="1">
        <f t="shared" si="18"/>
        <v>4</v>
      </c>
      <c r="S1158" s="4">
        <f>J1158*K1158*M1158</f>
        <v>2400</v>
      </c>
    </row>
    <row r="1159" spans="1:19" ht="43" hidden="1" customHeight="1">
      <c r="A1159" s="1" t="s">
        <v>2072</v>
      </c>
      <c r="B1159" s="1" t="s">
        <v>1295</v>
      </c>
      <c r="C1159" s="29">
        <v>46019.8874690046</v>
      </c>
      <c r="F1159" s="1">
        <v>5</v>
      </c>
      <c r="G1159" s="12" t="s">
        <v>759</v>
      </c>
      <c r="H1159" s="1" t="s">
        <v>759</v>
      </c>
      <c r="I1159" s="1" t="s">
        <v>173</v>
      </c>
      <c r="J1159" s="30">
        <v>5</v>
      </c>
      <c r="K1159" s="30">
        <v>23527</v>
      </c>
      <c r="L1159" s="31">
        <v>117635</v>
      </c>
      <c r="M1159" s="1" t="s">
        <v>16</v>
      </c>
      <c r="N1159" s="1" t="s">
        <v>17</v>
      </c>
      <c r="O1159" s="1" t="s">
        <v>2057</v>
      </c>
      <c r="P1159" s="1" t="s">
        <v>2056</v>
      </c>
      <c r="Q1159" s="1" t="s">
        <v>260</v>
      </c>
      <c r="R1159" s="1">
        <f t="shared" si="18"/>
        <v>4</v>
      </c>
      <c r="S1159" s="4">
        <f>J1159*K1159*M1159</f>
        <v>9410.8000000000011</v>
      </c>
    </row>
    <row r="1160" spans="1:19" ht="43" hidden="1" customHeight="1">
      <c r="A1160" s="1" t="s">
        <v>2280</v>
      </c>
      <c r="B1160" s="1" t="s">
        <v>1018</v>
      </c>
      <c r="C1160" s="29">
        <v>45957.708490682897</v>
      </c>
      <c r="D1160" s="1" t="s">
        <v>3058</v>
      </c>
      <c r="E1160" s="1" t="s">
        <v>3059</v>
      </c>
      <c r="F1160" s="1">
        <v>3</v>
      </c>
      <c r="G1160" s="12" t="s">
        <v>759</v>
      </c>
      <c r="H1160" s="1" t="s">
        <v>759</v>
      </c>
      <c r="I1160" s="1" t="s">
        <v>173</v>
      </c>
      <c r="J1160" s="30">
        <v>10</v>
      </c>
      <c r="K1160" s="30">
        <v>30000</v>
      </c>
      <c r="L1160" s="31">
        <v>300000</v>
      </c>
      <c r="M1160" s="1" t="s">
        <v>16</v>
      </c>
      <c r="N1160" s="1" t="s">
        <v>17</v>
      </c>
      <c r="O1160" s="1" t="s">
        <v>2057</v>
      </c>
      <c r="P1160" s="1" t="s">
        <v>2056</v>
      </c>
      <c r="Q1160" s="1" t="s">
        <v>1583</v>
      </c>
      <c r="R1160" s="1">
        <f t="shared" si="18"/>
        <v>4</v>
      </c>
      <c r="S1160" s="4">
        <f>J1160*K1160*M1160</f>
        <v>24000</v>
      </c>
    </row>
    <row r="1161" spans="1:19" ht="43" hidden="1" customHeight="1">
      <c r="A1161" s="1" t="s">
        <v>2280</v>
      </c>
      <c r="B1161" s="1" t="s">
        <v>197</v>
      </c>
      <c r="C1161" s="29">
        <v>45937.4827558912</v>
      </c>
      <c r="D1161" s="1" t="s">
        <v>3066</v>
      </c>
      <c r="E1161" s="1" t="s">
        <v>3067</v>
      </c>
      <c r="F1161" s="1">
        <v>2</v>
      </c>
      <c r="G1161" s="12" t="s">
        <v>759</v>
      </c>
      <c r="H1161" s="1" t="s">
        <v>759</v>
      </c>
      <c r="I1161" s="1" t="s">
        <v>173</v>
      </c>
      <c r="J1161" s="30">
        <v>6</v>
      </c>
      <c r="K1161" s="30">
        <v>30000</v>
      </c>
      <c r="L1161" s="31">
        <v>180000</v>
      </c>
      <c r="M1161" s="1" t="s">
        <v>30</v>
      </c>
      <c r="N1161" s="1" t="s">
        <v>17</v>
      </c>
      <c r="O1161" s="1" t="s">
        <v>2057</v>
      </c>
      <c r="P1161" s="1" t="s">
        <v>2056</v>
      </c>
      <c r="Q1161" s="1" t="s">
        <v>1587</v>
      </c>
      <c r="R1161" s="1">
        <f t="shared" si="18"/>
        <v>4</v>
      </c>
      <c r="S1161" s="4">
        <f>J1161*K1161*M1161</f>
        <v>18000</v>
      </c>
    </row>
    <row r="1162" spans="1:19" ht="43" hidden="1" customHeight="1">
      <c r="A1162" s="1" t="s">
        <v>2280</v>
      </c>
      <c r="B1162" s="1" t="s">
        <v>91</v>
      </c>
      <c r="C1162" s="29">
        <v>45899.644512638901</v>
      </c>
      <c r="D1162" s="1" t="s">
        <v>3052</v>
      </c>
      <c r="E1162" s="1" t="s">
        <v>3053</v>
      </c>
      <c r="F1162" s="1">
        <v>16</v>
      </c>
      <c r="G1162" s="12" t="s">
        <v>759</v>
      </c>
      <c r="H1162" s="1" t="s">
        <v>759</v>
      </c>
      <c r="I1162" s="1" t="s">
        <v>173</v>
      </c>
      <c r="J1162" s="30">
        <v>3</v>
      </c>
      <c r="K1162" s="30">
        <v>35000</v>
      </c>
      <c r="L1162" s="31">
        <v>105000</v>
      </c>
      <c r="M1162" s="1" t="s">
        <v>16</v>
      </c>
      <c r="N1162" s="1" t="s">
        <v>17</v>
      </c>
      <c r="O1162" s="1" t="s">
        <v>2057</v>
      </c>
      <c r="P1162" s="1" t="s">
        <v>2056</v>
      </c>
      <c r="Q1162" s="1" t="s">
        <v>636</v>
      </c>
      <c r="R1162" s="1">
        <f t="shared" si="18"/>
        <v>3</v>
      </c>
      <c r="S1162" s="4">
        <f>J1162*K1162*M1162</f>
        <v>8400</v>
      </c>
    </row>
    <row r="1163" spans="1:19" ht="43" hidden="1" customHeight="1">
      <c r="A1163" s="1" t="s">
        <v>2280</v>
      </c>
      <c r="B1163" s="1" t="s">
        <v>801</v>
      </c>
      <c r="C1163" s="29">
        <v>46007.362243773103</v>
      </c>
      <c r="F1163" s="1">
        <v>5</v>
      </c>
      <c r="G1163" s="12" t="s">
        <v>684</v>
      </c>
      <c r="H1163" s="1" t="s">
        <v>684</v>
      </c>
      <c r="I1163" s="1" t="s">
        <v>173</v>
      </c>
      <c r="J1163" s="30">
        <v>5</v>
      </c>
      <c r="K1163" s="30">
        <v>26000</v>
      </c>
      <c r="L1163" s="31">
        <v>130000</v>
      </c>
      <c r="M1163" s="1" t="s">
        <v>16</v>
      </c>
      <c r="N1163" s="1" t="s">
        <v>17</v>
      </c>
      <c r="O1163" s="1" t="s">
        <v>2057</v>
      </c>
      <c r="P1163" s="1" t="s">
        <v>2056</v>
      </c>
      <c r="Q1163" s="1" t="s">
        <v>262</v>
      </c>
      <c r="R1163" s="1">
        <f t="shared" si="18"/>
        <v>4</v>
      </c>
      <c r="S1163" s="4">
        <f>J1163*K1163*M1163</f>
        <v>10400</v>
      </c>
    </row>
    <row r="1164" spans="1:19" ht="43" hidden="1" customHeight="1">
      <c r="A1164" s="1" t="s">
        <v>2280</v>
      </c>
      <c r="B1164" s="1" t="s">
        <v>188</v>
      </c>
      <c r="C1164" s="29">
        <v>45928.944600393501</v>
      </c>
      <c r="D1164" s="1" t="s">
        <v>3052</v>
      </c>
      <c r="E1164" s="1" t="s">
        <v>3053</v>
      </c>
      <c r="F1164" s="1">
        <v>28</v>
      </c>
      <c r="G1164" s="12" t="s">
        <v>684</v>
      </c>
      <c r="H1164" s="1" t="s">
        <v>684</v>
      </c>
      <c r="I1164" s="1" t="s">
        <v>173</v>
      </c>
      <c r="J1164" s="30">
        <v>1</v>
      </c>
      <c r="K1164" s="30">
        <v>35000</v>
      </c>
      <c r="L1164" s="31">
        <v>35000</v>
      </c>
      <c r="M1164" s="1" t="s">
        <v>30</v>
      </c>
      <c r="N1164" s="1" t="s">
        <v>17</v>
      </c>
      <c r="O1164" s="1" t="s">
        <v>2057</v>
      </c>
      <c r="P1164" s="1" t="s">
        <v>2056</v>
      </c>
      <c r="Q1164" s="1" t="s">
        <v>546</v>
      </c>
      <c r="R1164" s="1">
        <f t="shared" si="18"/>
        <v>3</v>
      </c>
      <c r="S1164" s="4">
        <f>J1164*K1164*M1164</f>
        <v>3500</v>
      </c>
    </row>
    <row r="1165" spans="1:19" ht="43" hidden="1" customHeight="1">
      <c r="A1165" s="1" t="s">
        <v>2280</v>
      </c>
      <c r="B1165" s="1" t="s">
        <v>717</v>
      </c>
      <c r="C1165" s="29">
        <v>45807.729117129602</v>
      </c>
      <c r="D1165" s="1" t="s">
        <v>3052</v>
      </c>
      <c r="E1165" s="1" t="s">
        <v>3053</v>
      </c>
      <c r="F1165" s="1">
        <v>18</v>
      </c>
      <c r="G1165" s="12" t="s">
        <v>684</v>
      </c>
      <c r="H1165" s="1" t="s">
        <v>684</v>
      </c>
      <c r="I1165" s="1" t="s">
        <v>60</v>
      </c>
      <c r="J1165" s="30">
        <v>28</v>
      </c>
      <c r="K1165" s="30">
        <v>30000</v>
      </c>
      <c r="L1165" s="31">
        <v>840000</v>
      </c>
      <c r="M1165" s="1" t="s">
        <v>30</v>
      </c>
      <c r="N1165" s="1" t="s">
        <v>17</v>
      </c>
      <c r="O1165" s="1" t="s">
        <v>2057</v>
      </c>
      <c r="P1165" s="1" t="s">
        <v>2056</v>
      </c>
      <c r="Q1165" s="1" t="s">
        <v>925</v>
      </c>
      <c r="R1165" s="1">
        <f t="shared" si="18"/>
        <v>2</v>
      </c>
      <c r="S1165" s="4">
        <f>J1165*K1165*M1165</f>
        <v>84000</v>
      </c>
    </row>
    <row r="1166" spans="1:19" ht="43" hidden="1" customHeight="1">
      <c r="A1166" s="1" t="s">
        <v>2072</v>
      </c>
      <c r="B1166" s="1" t="s">
        <v>84</v>
      </c>
      <c r="C1166" s="29">
        <v>46019.5634834722</v>
      </c>
      <c r="F1166" s="1">
        <v>3</v>
      </c>
      <c r="G1166" s="12" t="s">
        <v>1008</v>
      </c>
      <c r="H1166" s="1" t="s">
        <v>1008</v>
      </c>
      <c r="I1166" s="1" t="s">
        <v>62</v>
      </c>
      <c r="J1166" s="30">
        <v>5</v>
      </c>
      <c r="K1166" s="30">
        <v>69844.399999999994</v>
      </c>
      <c r="L1166" s="31">
        <v>349222</v>
      </c>
      <c r="M1166" s="1" t="s">
        <v>16</v>
      </c>
      <c r="N1166" s="1" t="s">
        <v>17</v>
      </c>
      <c r="O1166" s="1" t="s">
        <v>2057</v>
      </c>
      <c r="P1166" s="1" t="s">
        <v>2056</v>
      </c>
      <c r="Q1166" s="1" t="s">
        <v>260</v>
      </c>
      <c r="R1166" s="1">
        <f t="shared" si="18"/>
        <v>4</v>
      </c>
      <c r="S1166" s="4">
        <f>J1166*K1166*M1166</f>
        <v>27937.760000000002</v>
      </c>
    </row>
    <row r="1167" spans="1:19" ht="43" hidden="1" customHeight="1">
      <c r="A1167" s="1" t="s">
        <v>2280</v>
      </c>
      <c r="B1167" s="1" t="s">
        <v>794</v>
      </c>
      <c r="C1167" s="29">
        <v>45959.655037615703</v>
      </c>
      <c r="D1167" s="1" t="s">
        <v>3052</v>
      </c>
      <c r="E1167" s="1" t="s">
        <v>3053</v>
      </c>
      <c r="F1167" s="1">
        <v>6</v>
      </c>
      <c r="G1167" s="12" t="s">
        <v>1008</v>
      </c>
      <c r="H1167" s="1" t="s">
        <v>1008</v>
      </c>
      <c r="I1167" s="1" t="s">
        <v>62</v>
      </c>
      <c r="J1167" s="30">
        <v>1</v>
      </c>
      <c r="K1167" s="30">
        <v>90000</v>
      </c>
      <c r="L1167" s="31">
        <v>90000</v>
      </c>
      <c r="M1167" s="1" t="s">
        <v>30</v>
      </c>
      <c r="N1167" s="1" t="s">
        <v>17</v>
      </c>
      <c r="O1167" s="1" t="s">
        <v>2057</v>
      </c>
      <c r="P1167" s="1" t="s">
        <v>2056</v>
      </c>
      <c r="Q1167" s="1" t="s">
        <v>1578</v>
      </c>
      <c r="R1167" s="1">
        <f t="shared" si="18"/>
        <v>4</v>
      </c>
      <c r="S1167" s="4">
        <f>J1167*K1167*M1167</f>
        <v>9000</v>
      </c>
    </row>
    <row r="1168" spans="1:19" ht="43" hidden="1" customHeight="1">
      <c r="A1168" s="1" t="s">
        <v>2072</v>
      </c>
      <c r="B1168" s="1" t="s">
        <v>1295</v>
      </c>
      <c r="C1168" s="29">
        <v>46019.8874690046</v>
      </c>
      <c r="F1168" s="1">
        <v>6</v>
      </c>
      <c r="G1168" s="12" t="s">
        <v>752</v>
      </c>
      <c r="H1168" s="1" t="s">
        <v>752</v>
      </c>
      <c r="I1168" s="1" t="s">
        <v>62</v>
      </c>
      <c r="J1168" s="30">
        <v>5</v>
      </c>
      <c r="K1168" s="30">
        <v>73700</v>
      </c>
      <c r="L1168" s="31">
        <v>368500</v>
      </c>
      <c r="M1168" s="1" t="s">
        <v>16</v>
      </c>
      <c r="N1168" s="1" t="s">
        <v>17</v>
      </c>
      <c r="O1168" s="1" t="s">
        <v>2057</v>
      </c>
      <c r="P1168" s="1" t="s">
        <v>2056</v>
      </c>
      <c r="Q1168" s="1" t="s">
        <v>260</v>
      </c>
      <c r="R1168" s="1">
        <f t="shared" si="18"/>
        <v>4</v>
      </c>
      <c r="S1168" s="4">
        <f>J1168*K1168*M1168</f>
        <v>29480</v>
      </c>
    </row>
    <row r="1169" spans="1:19" ht="43" hidden="1" customHeight="1">
      <c r="A1169" s="1" t="s">
        <v>2280</v>
      </c>
      <c r="B1169" s="1" t="s">
        <v>1272</v>
      </c>
      <c r="C1169" s="29">
        <v>45836.414122164402</v>
      </c>
      <c r="D1169" s="1" t="s">
        <v>3052</v>
      </c>
      <c r="E1169" s="1" t="s">
        <v>3053</v>
      </c>
      <c r="F1169" s="1">
        <v>7</v>
      </c>
      <c r="G1169" s="12" t="s">
        <v>1006</v>
      </c>
      <c r="H1169" s="1" t="s">
        <v>1006</v>
      </c>
      <c r="I1169" s="1" t="s">
        <v>62</v>
      </c>
      <c r="J1169" s="30">
        <v>2</v>
      </c>
      <c r="K1169" s="30">
        <v>80000</v>
      </c>
      <c r="L1169" s="31">
        <v>160000</v>
      </c>
      <c r="M1169" s="1" t="s">
        <v>30</v>
      </c>
      <c r="N1169" s="1" t="s">
        <v>17</v>
      </c>
      <c r="O1169" s="1" t="s">
        <v>2057</v>
      </c>
      <c r="P1169" s="1" t="s">
        <v>2056</v>
      </c>
      <c r="Q1169" s="1" t="s">
        <v>845</v>
      </c>
      <c r="R1169" s="1">
        <f t="shared" si="18"/>
        <v>2</v>
      </c>
      <c r="S1169" s="4">
        <f>J1169*K1169*M1169</f>
        <v>16000</v>
      </c>
    </row>
    <row r="1170" spans="1:19" ht="43" hidden="1" customHeight="1">
      <c r="A1170" s="1" t="s">
        <v>2280</v>
      </c>
      <c r="B1170" s="1" t="s">
        <v>794</v>
      </c>
      <c r="C1170" s="29">
        <v>45959.655037615703</v>
      </c>
      <c r="D1170" s="1" t="s">
        <v>3052</v>
      </c>
      <c r="E1170" s="1" t="s">
        <v>3053</v>
      </c>
      <c r="F1170" s="1">
        <v>8</v>
      </c>
      <c r="G1170" s="12" t="s">
        <v>1011</v>
      </c>
      <c r="H1170" s="1" t="s">
        <v>1011</v>
      </c>
      <c r="I1170" s="1" t="s">
        <v>62</v>
      </c>
      <c r="J1170" s="30">
        <v>2</v>
      </c>
      <c r="K1170" s="30">
        <v>80000</v>
      </c>
      <c r="L1170" s="31">
        <v>160000</v>
      </c>
      <c r="M1170" s="1" t="s">
        <v>30</v>
      </c>
      <c r="N1170" s="1" t="s">
        <v>17</v>
      </c>
      <c r="O1170" s="1" t="s">
        <v>2057</v>
      </c>
      <c r="P1170" s="1" t="s">
        <v>2056</v>
      </c>
      <c r="Q1170" s="1" t="s">
        <v>1578</v>
      </c>
      <c r="R1170" s="1">
        <f t="shared" si="18"/>
        <v>4</v>
      </c>
      <c r="S1170" s="4">
        <f>J1170*K1170*M1170</f>
        <v>16000</v>
      </c>
    </row>
    <row r="1171" spans="1:19" ht="43" customHeight="1">
      <c r="A1171" s="1" t="s">
        <v>2280</v>
      </c>
      <c r="B1171" s="1" t="s">
        <v>194</v>
      </c>
      <c r="C1171" s="29">
        <v>45747.667547175901</v>
      </c>
      <c r="D1171" s="1" t="s">
        <v>3071</v>
      </c>
      <c r="E1171" s="1" t="s">
        <v>3053</v>
      </c>
      <c r="F1171" s="1">
        <v>1</v>
      </c>
      <c r="H1171" s="1" t="s">
        <v>1990</v>
      </c>
      <c r="I1171" s="1" t="s">
        <v>683</v>
      </c>
      <c r="J1171" s="30">
        <v>5</v>
      </c>
      <c r="K1171" s="30">
        <v>30000</v>
      </c>
      <c r="L1171" s="31">
        <v>150000</v>
      </c>
      <c r="M1171" s="1" t="s">
        <v>30</v>
      </c>
      <c r="N1171" s="1" t="s">
        <v>17</v>
      </c>
      <c r="O1171" s="1" t="s">
        <v>2057</v>
      </c>
      <c r="P1171" s="1" t="s">
        <v>2056</v>
      </c>
      <c r="Q1171" s="1" t="s">
        <v>42</v>
      </c>
      <c r="R1171" s="1">
        <f t="shared" si="18"/>
        <v>1</v>
      </c>
      <c r="S1171" s="4">
        <f>J1171*K1171*M1171</f>
        <v>15000</v>
      </c>
    </row>
    <row r="1172" spans="1:19" ht="43" hidden="1" customHeight="1">
      <c r="A1172" s="1" t="s">
        <v>2280</v>
      </c>
      <c r="B1172" s="1" t="s">
        <v>1400</v>
      </c>
      <c r="C1172" s="29">
        <v>45990.721094398097</v>
      </c>
      <c r="D1172" s="1" t="s">
        <v>3052</v>
      </c>
      <c r="E1172" s="1" t="s">
        <v>3053</v>
      </c>
      <c r="F1172" s="1">
        <v>65</v>
      </c>
      <c r="G1172" s="12" t="s">
        <v>836</v>
      </c>
      <c r="H1172" s="1" t="s">
        <v>836</v>
      </c>
      <c r="I1172" s="1" t="s">
        <v>683</v>
      </c>
      <c r="J1172" s="30">
        <v>12</v>
      </c>
      <c r="K1172" s="30">
        <v>30000</v>
      </c>
      <c r="L1172" s="31">
        <v>360000</v>
      </c>
      <c r="M1172" s="1" t="s">
        <v>16</v>
      </c>
      <c r="N1172" s="1" t="s">
        <v>17</v>
      </c>
      <c r="O1172" s="1" t="s">
        <v>2057</v>
      </c>
      <c r="P1172" s="1" t="s">
        <v>2056</v>
      </c>
      <c r="Q1172" s="1" t="s">
        <v>1531</v>
      </c>
      <c r="R1172" s="1">
        <f t="shared" si="18"/>
        <v>4</v>
      </c>
      <c r="S1172" s="4">
        <f>J1172*K1172*M1172</f>
        <v>28800</v>
      </c>
    </row>
    <row r="1173" spans="1:19" ht="43" hidden="1" customHeight="1">
      <c r="A1173" s="1" t="s">
        <v>2280</v>
      </c>
      <c r="B1173" s="1" t="s">
        <v>1449</v>
      </c>
      <c r="C1173" s="29">
        <v>45948.596865787003</v>
      </c>
      <c r="D1173" s="1" t="s">
        <v>3079</v>
      </c>
      <c r="E1173" s="1" t="s">
        <v>3080</v>
      </c>
      <c r="F1173" s="1">
        <v>4</v>
      </c>
      <c r="G1173" s="12" t="s">
        <v>836</v>
      </c>
      <c r="H1173" s="1" t="s">
        <v>836</v>
      </c>
      <c r="I1173" s="1" t="s">
        <v>683</v>
      </c>
      <c r="J1173" s="30">
        <v>1</v>
      </c>
      <c r="K1173" s="30">
        <v>30000</v>
      </c>
      <c r="L1173" s="31">
        <v>30000</v>
      </c>
      <c r="M1173" s="1" t="s">
        <v>30</v>
      </c>
      <c r="N1173" s="1" t="s">
        <v>17</v>
      </c>
      <c r="O1173" s="1" t="s">
        <v>2057</v>
      </c>
      <c r="P1173" s="1" t="s">
        <v>2056</v>
      </c>
      <c r="Q1173" s="1" t="s">
        <v>459</v>
      </c>
      <c r="R1173" s="1">
        <f t="shared" si="18"/>
        <v>4</v>
      </c>
      <c r="S1173" s="4">
        <f>J1173*K1173*M1173</f>
        <v>3000</v>
      </c>
    </row>
    <row r="1174" spans="1:19" ht="43" hidden="1" customHeight="1">
      <c r="A1174" s="1" t="s">
        <v>2280</v>
      </c>
      <c r="B1174" s="1" t="s">
        <v>188</v>
      </c>
      <c r="C1174" s="29">
        <v>45928.944600393501</v>
      </c>
      <c r="D1174" s="1" t="s">
        <v>3052</v>
      </c>
      <c r="E1174" s="1" t="s">
        <v>3053</v>
      </c>
      <c r="F1174" s="1">
        <v>29</v>
      </c>
      <c r="G1174" s="12" t="s">
        <v>836</v>
      </c>
      <c r="H1174" s="1" t="s">
        <v>836</v>
      </c>
      <c r="I1174" s="1" t="s">
        <v>683</v>
      </c>
      <c r="J1174" s="30">
        <v>10</v>
      </c>
      <c r="K1174" s="30">
        <v>30000</v>
      </c>
      <c r="L1174" s="31">
        <v>300000</v>
      </c>
      <c r="M1174" s="1" t="s">
        <v>30</v>
      </c>
      <c r="N1174" s="1" t="s">
        <v>17</v>
      </c>
      <c r="O1174" s="1" t="s">
        <v>2057</v>
      </c>
      <c r="P1174" s="1" t="s">
        <v>2056</v>
      </c>
      <c r="Q1174" s="1" t="s">
        <v>546</v>
      </c>
      <c r="R1174" s="1">
        <f t="shared" si="18"/>
        <v>3</v>
      </c>
      <c r="S1174" s="4">
        <f>J1174*K1174*M1174</f>
        <v>30000</v>
      </c>
    </row>
    <row r="1175" spans="1:19" ht="43" hidden="1" customHeight="1">
      <c r="A1175" s="1" t="s">
        <v>2280</v>
      </c>
      <c r="B1175" s="1" t="s">
        <v>1400</v>
      </c>
      <c r="C1175" s="29">
        <v>45990.721094398097</v>
      </c>
      <c r="D1175" s="1" t="s">
        <v>3052</v>
      </c>
      <c r="E1175" s="1" t="s">
        <v>3053</v>
      </c>
      <c r="F1175" s="1">
        <v>17</v>
      </c>
      <c r="G1175" s="12" t="s">
        <v>835</v>
      </c>
      <c r="H1175" s="1" t="s">
        <v>835</v>
      </c>
      <c r="I1175" s="1" t="s">
        <v>683</v>
      </c>
      <c r="J1175" s="30">
        <v>8</v>
      </c>
      <c r="K1175" s="30">
        <v>40000</v>
      </c>
      <c r="L1175" s="31">
        <v>320000</v>
      </c>
      <c r="M1175" s="1" t="s">
        <v>16</v>
      </c>
      <c r="N1175" s="1" t="s">
        <v>17</v>
      </c>
      <c r="O1175" s="1" t="s">
        <v>2057</v>
      </c>
      <c r="P1175" s="1" t="s">
        <v>2056</v>
      </c>
      <c r="Q1175" s="1" t="s">
        <v>1531</v>
      </c>
      <c r="R1175" s="1">
        <f t="shared" si="18"/>
        <v>4</v>
      </c>
      <c r="S1175" s="4">
        <f>J1175*K1175*M1175</f>
        <v>25600</v>
      </c>
    </row>
    <row r="1176" spans="1:19" ht="43" hidden="1" customHeight="1">
      <c r="A1176" s="1" t="s">
        <v>2280</v>
      </c>
      <c r="B1176" s="1" t="s">
        <v>1442</v>
      </c>
      <c r="C1176" s="29">
        <v>45960.6594943866</v>
      </c>
      <c r="D1176" s="1" t="s">
        <v>3052</v>
      </c>
      <c r="E1176" s="1" t="s">
        <v>3053</v>
      </c>
      <c r="F1176" s="1">
        <v>15</v>
      </c>
      <c r="G1176" s="12" t="s">
        <v>835</v>
      </c>
      <c r="H1176" s="1" t="s">
        <v>835</v>
      </c>
      <c r="I1176" s="1" t="s">
        <v>683</v>
      </c>
      <c r="J1176" s="30">
        <v>12</v>
      </c>
      <c r="K1176" s="30">
        <v>30000</v>
      </c>
      <c r="L1176" s="31">
        <v>360000</v>
      </c>
      <c r="M1176" s="1" t="s">
        <v>30</v>
      </c>
      <c r="N1176" s="1" t="s">
        <v>17</v>
      </c>
      <c r="O1176" s="1" t="s">
        <v>2057</v>
      </c>
      <c r="P1176" s="1" t="s">
        <v>2056</v>
      </c>
      <c r="Q1176" s="1" t="s">
        <v>533</v>
      </c>
      <c r="R1176" s="1">
        <f t="shared" si="18"/>
        <v>4</v>
      </c>
      <c r="S1176" s="4">
        <f>J1176*K1176*M1176</f>
        <v>36000</v>
      </c>
    </row>
    <row r="1177" spans="1:19" ht="43" hidden="1" customHeight="1">
      <c r="A1177" s="1" t="s">
        <v>2280</v>
      </c>
      <c r="B1177" s="1" t="s">
        <v>188</v>
      </c>
      <c r="C1177" s="29">
        <v>45928.944600393501</v>
      </c>
      <c r="D1177" s="1" t="s">
        <v>3052</v>
      </c>
      <c r="E1177" s="1" t="s">
        <v>3053</v>
      </c>
      <c r="F1177" s="1">
        <v>17</v>
      </c>
      <c r="G1177" s="12" t="s">
        <v>835</v>
      </c>
      <c r="H1177" s="1" t="s">
        <v>835</v>
      </c>
      <c r="I1177" s="1" t="s">
        <v>683</v>
      </c>
      <c r="J1177" s="30">
        <v>12</v>
      </c>
      <c r="K1177" s="30">
        <v>30000</v>
      </c>
      <c r="L1177" s="31">
        <v>360000</v>
      </c>
      <c r="M1177" s="1" t="s">
        <v>30</v>
      </c>
      <c r="N1177" s="1" t="s">
        <v>17</v>
      </c>
      <c r="O1177" s="1" t="s">
        <v>2057</v>
      </c>
      <c r="P1177" s="1" t="s">
        <v>2056</v>
      </c>
      <c r="Q1177" s="1" t="s">
        <v>546</v>
      </c>
      <c r="R1177" s="1">
        <f t="shared" si="18"/>
        <v>3</v>
      </c>
      <c r="S1177" s="4">
        <f>J1177*K1177*M1177</f>
        <v>36000</v>
      </c>
    </row>
    <row r="1178" spans="1:19" ht="43" hidden="1" customHeight="1">
      <c r="A1178" s="1" t="s">
        <v>2280</v>
      </c>
      <c r="B1178" s="1" t="s">
        <v>126</v>
      </c>
      <c r="C1178" s="29">
        <v>45898.896719536999</v>
      </c>
      <c r="D1178" s="1" t="s">
        <v>3052</v>
      </c>
      <c r="E1178" s="1" t="s">
        <v>3053</v>
      </c>
      <c r="F1178" s="1">
        <v>25</v>
      </c>
      <c r="G1178" s="12" t="s">
        <v>835</v>
      </c>
      <c r="H1178" s="1" t="s">
        <v>835</v>
      </c>
      <c r="I1178" s="1" t="s">
        <v>683</v>
      </c>
      <c r="J1178" s="30">
        <v>12</v>
      </c>
      <c r="K1178" s="30">
        <v>30000</v>
      </c>
      <c r="L1178" s="31">
        <v>360000</v>
      </c>
      <c r="M1178" s="1" t="s">
        <v>30</v>
      </c>
      <c r="N1178" s="1" t="s">
        <v>17</v>
      </c>
      <c r="O1178" s="1" t="s">
        <v>2057</v>
      </c>
      <c r="P1178" s="1" t="s">
        <v>2056</v>
      </c>
      <c r="Q1178" s="1" t="s">
        <v>652</v>
      </c>
      <c r="R1178" s="1">
        <f t="shared" si="18"/>
        <v>3</v>
      </c>
      <c r="S1178" s="4">
        <f>J1178*K1178*M1178</f>
        <v>36000</v>
      </c>
    </row>
    <row r="1179" spans="1:19" ht="43" hidden="1" customHeight="1">
      <c r="A1179" s="1" t="s">
        <v>2280</v>
      </c>
      <c r="B1179" s="1" t="s">
        <v>1267</v>
      </c>
      <c r="C1179" s="29">
        <v>45836.662306689803</v>
      </c>
      <c r="D1179" s="1" t="s">
        <v>3072</v>
      </c>
      <c r="E1179" s="1" t="s">
        <v>3073</v>
      </c>
      <c r="F1179" s="1">
        <v>5</v>
      </c>
      <c r="G1179" s="12" t="s">
        <v>838</v>
      </c>
      <c r="H1179" s="1" t="s">
        <v>838</v>
      </c>
      <c r="I1179" s="1" t="s">
        <v>683</v>
      </c>
      <c r="J1179" s="30">
        <v>1</v>
      </c>
      <c r="K1179" s="30">
        <v>30000</v>
      </c>
      <c r="L1179" s="31">
        <v>30000</v>
      </c>
      <c r="M1179" s="1" t="s">
        <v>30</v>
      </c>
      <c r="N1179" s="1" t="s">
        <v>17</v>
      </c>
      <c r="O1179" s="1" t="s">
        <v>2057</v>
      </c>
      <c r="P1179" s="1" t="s">
        <v>2056</v>
      </c>
      <c r="Q1179" s="1" t="s">
        <v>845</v>
      </c>
      <c r="R1179" s="1">
        <f t="shared" si="18"/>
        <v>2</v>
      </c>
      <c r="S1179" s="4">
        <f>J1179*K1179*M1179</f>
        <v>3000</v>
      </c>
    </row>
    <row r="1180" spans="1:19" ht="43" hidden="1" customHeight="1">
      <c r="A1180" s="1" t="s">
        <v>2280</v>
      </c>
      <c r="B1180" s="1" t="s">
        <v>1272</v>
      </c>
      <c r="C1180" s="29">
        <v>45836.414122164402</v>
      </c>
      <c r="D1180" s="1" t="s">
        <v>3052</v>
      </c>
      <c r="E1180" s="1" t="s">
        <v>3053</v>
      </c>
      <c r="F1180" s="1">
        <v>14</v>
      </c>
      <c r="G1180" s="12" t="s">
        <v>838</v>
      </c>
      <c r="H1180" s="1" t="s">
        <v>838</v>
      </c>
      <c r="I1180" s="1" t="s">
        <v>683</v>
      </c>
      <c r="J1180" s="30">
        <v>12</v>
      </c>
      <c r="K1180" s="30">
        <v>30000</v>
      </c>
      <c r="L1180" s="31">
        <v>360000</v>
      </c>
      <c r="M1180" s="1" t="s">
        <v>30</v>
      </c>
      <c r="N1180" s="1" t="s">
        <v>17</v>
      </c>
      <c r="O1180" s="1" t="s">
        <v>2057</v>
      </c>
      <c r="P1180" s="1" t="s">
        <v>2056</v>
      </c>
      <c r="Q1180" s="1" t="s">
        <v>845</v>
      </c>
      <c r="R1180" s="1">
        <f t="shared" si="18"/>
        <v>2</v>
      </c>
      <c r="S1180" s="4">
        <f>J1180*K1180*M1180</f>
        <v>36000</v>
      </c>
    </row>
    <row r="1181" spans="1:19" ht="43" hidden="1" customHeight="1">
      <c r="A1181" s="1" t="s">
        <v>2280</v>
      </c>
      <c r="B1181" s="1" t="s">
        <v>1274</v>
      </c>
      <c r="C1181" s="29">
        <v>45833.380322511599</v>
      </c>
      <c r="D1181" s="1" t="s">
        <v>3081</v>
      </c>
      <c r="E1181" s="1" t="s">
        <v>3082</v>
      </c>
      <c r="F1181" s="1">
        <v>2</v>
      </c>
      <c r="G1181" s="12" t="s">
        <v>838</v>
      </c>
      <c r="H1181" s="1" t="s">
        <v>1854</v>
      </c>
      <c r="I1181" s="1" t="s">
        <v>60</v>
      </c>
      <c r="J1181" s="30">
        <v>12</v>
      </c>
      <c r="K1181" s="30">
        <v>30000</v>
      </c>
      <c r="L1181" s="31">
        <v>360000</v>
      </c>
      <c r="M1181" s="1" t="s">
        <v>30</v>
      </c>
      <c r="N1181" s="1" t="s">
        <v>17</v>
      </c>
      <c r="O1181" s="1" t="s">
        <v>2057</v>
      </c>
      <c r="P1181" s="1" t="s">
        <v>2056</v>
      </c>
      <c r="Q1181" s="1" t="s">
        <v>857</v>
      </c>
      <c r="R1181" s="1">
        <f t="shared" si="18"/>
        <v>2</v>
      </c>
      <c r="S1181" s="4">
        <f>J1181*K1181*M1181</f>
        <v>36000</v>
      </c>
    </row>
    <row r="1182" spans="1:19" ht="43" hidden="1" customHeight="1">
      <c r="A1182" s="1" t="s">
        <v>2280</v>
      </c>
      <c r="B1182" s="1" t="s">
        <v>1274</v>
      </c>
      <c r="C1182" s="29">
        <v>45833.380322511599</v>
      </c>
      <c r="D1182" s="1" t="s">
        <v>3081</v>
      </c>
      <c r="E1182" s="1" t="s">
        <v>3082</v>
      </c>
      <c r="F1182" s="1">
        <v>3</v>
      </c>
      <c r="G1182" s="12" t="s">
        <v>2707</v>
      </c>
      <c r="H1182" s="1" t="s">
        <v>1855</v>
      </c>
      <c r="I1182" s="1" t="s">
        <v>60</v>
      </c>
      <c r="J1182" s="30">
        <v>16</v>
      </c>
      <c r="K1182" s="30">
        <v>30000</v>
      </c>
      <c r="L1182" s="31">
        <v>480000</v>
      </c>
      <c r="M1182" s="1" t="s">
        <v>30</v>
      </c>
      <c r="N1182" s="1" t="s">
        <v>17</v>
      </c>
      <c r="O1182" s="1" t="s">
        <v>2057</v>
      </c>
      <c r="P1182" s="1" t="s">
        <v>2056</v>
      </c>
      <c r="Q1182" s="1" t="s">
        <v>857</v>
      </c>
      <c r="R1182" s="1">
        <f t="shared" si="18"/>
        <v>2</v>
      </c>
      <c r="S1182" s="4">
        <f>J1182*K1182*M1182</f>
        <v>48000</v>
      </c>
    </row>
    <row r="1183" spans="1:19" ht="43" customHeight="1">
      <c r="A1183" s="1" t="s">
        <v>2280</v>
      </c>
      <c r="B1183" s="1" t="s">
        <v>1262</v>
      </c>
      <c r="C1183" s="29">
        <v>45838.622051655097</v>
      </c>
      <c r="D1183" s="1" t="s">
        <v>3052</v>
      </c>
      <c r="E1183" s="1" t="s">
        <v>3053</v>
      </c>
      <c r="F1183" s="1">
        <v>18</v>
      </c>
      <c r="H1183" s="1" t="s">
        <v>1812</v>
      </c>
      <c r="I1183" s="1" t="s">
        <v>683</v>
      </c>
      <c r="J1183" s="30">
        <v>1</v>
      </c>
      <c r="K1183" s="30">
        <v>30000</v>
      </c>
      <c r="L1183" s="31">
        <v>30000</v>
      </c>
      <c r="M1183" s="1" t="s">
        <v>30</v>
      </c>
      <c r="N1183" s="1" t="s">
        <v>17</v>
      </c>
      <c r="O1183" s="1" t="s">
        <v>2057</v>
      </c>
      <c r="P1183" s="1" t="s">
        <v>2056</v>
      </c>
      <c r="Q1183" s="1" t="s">
        <v>828</v>
      </c>
      <c r="R1183" s="1">
        <f t="shared" si="18"/>
        <v>2</v>
      </c>
      <c r="S1183" s="4">
        <f>J1183*K1183*M1183</f>
        <v>3000</v>
      </c>
    </row>
    <row r="1184" spans="1:19" ht="43" hidden="1" customHeight="1">
      <c r="A1184" s="1" t="s">
        <v>2280</v>
      </c>
      <c r="B1184" s="1" t="s">
        <v>125</v>
      </c>
      <c r="C1184" s="29">
        <v>45927.918464398201</v>
      </c>
      <c r="D1184" s="1" t="s">
        <v>3054</v>
      </c>
      <c r="E1184" s="1" t="s">
        <v>3055</v>
      </c>
      <c r="F1184" s="1">
        <v>6</v>
      </c>
      <c r="G1184" s="12" t="s">
        <v>378</v>
      </c>
      <c r="H1184" s="1" t="s">
        <v>378</v>
      </c>
      <c r="I1184" s="1" t="s">
        <v>1258</v>
      </c>
      <c r="J1184" s="30">
        <v>6</v>
      </c>
      <c r="K1184" s="30">
        <v>357500</v>
      </c>
      <c r="L1184" s="31">
        <v>2145000</v>
      </c>
      <c r="M1184" s="1" t="s">
        <v>30</v>
      </c>
      <c r="N1184" s="1" t="s">
        <v>17</v>
      </c>
      <c r="O1184" s="1" t="s">
        <v>2057</v>
      </c>
      <c r="P1184" s="1" t="s">
        <v>2056</v>
      </c>
      <c r="Q1184" s="1" t="s">
        <v>588</v>
      </c>
      <c r="R1184" s="1">
        <f t="shared" si="18"/>
        <v>3</v>
      </c>
      <c r="S1184" s="4">
        <f>J1184*K1184*M1184</f>
        <v>214500</v>
      </c>
    </row>
    <row r="1185" spans="1:19" ht="43" customHeight="1">
      <c r="A1185" s="1" t="s">
        <v>2280</v>
      </c>
      <c r="B1185" s="1" t="s">
        <v>221</v>
      </c>
      <c r="C1185" s="29">
        <v>45776.500553657403</v>
      </c>
      <c r="D1185" s="1" t="s">
        <v>3052</v>
      </c>
      <c r="E1185" s="1" t="s">
        <v>3053</v>
      </c>
      <c r="F1185" s="1">
        <v>20</v>
      </c>
      <c r="H1185" s="1" t="s">
        <v>1914</v>
      </c>
      <c r="I1185" s="1" t="s">
        <v>683</v>
      </c>
      <c r="J1185" s="30">
        <v>12</v>
      </c>
      <c r="K1185" s="30">
        <v>30000</v>
      </c>
      <c r="L1185" s="31">
        <v>360000</v>
      </c>
      <c r="M1185" s="1" t="s">
        <v>30</v>
      </c>
      <c r="N1185" s="1" t="s">
        <v>17</v>
      </c>
      <c r="O1185" s="1" t="s">
        <v>2057</v>
      </c>
      <c r="P1185" s="1" t="s">
        <v>2056</v>
      </c>
      <c r="Q1185" s="1" t="s">
        <v>937</v>
      </c>
      <c r="R1185" s="1">
        <f t="shared" si="18"/>
        <v>2</v>
      </c>
      <c r="S1185" s="4">
        <f>J1185*K1185*M1185</f>
        <v>36000</v>
      </c>
    </row>
    <row r="1186" spans="1:19" ht="43" customHeight="1">
      <c r="A1186" s="1" t="s">
        <v>2280</v>
      </c>
      <c r="B1186" s="1" t="s">
        <v>194</v>
      </c>
      <c r="C1186" s="29">
        <v>45747.667547175901</v>
      </c>
      <c r="D1186" s="1" t="s">
        <v>3071</v>
      </c>
      <c r="E1186" s="1" t="s">
        <v>3053</v>
      </c>
      <c r="F1186" s="1">
        <v>9</v>
      </c>
      <c r="H1186" s="1" t="s">
        <v>1914</v>
      </c>
      <c r="I1186" s="1" t="s">
        <v>683</v>
      </c>
      <c r="J1186" s="30">
        <v>12</v>
      </c>
      <c r="K1186" s="30">
        <v>30000</v>
      </c>
      <c r="L1186" s="31">
        <v>360000</v>
      </c>
      <c r="M1186" s="1" t="s">
        <v>30</v>
      </c>
      <c r="N1186" s="1" t="s">
        <v>17</v>
      </c>
      <c r="O1186" s="1" t="s">
        <v>2057</v>
      </c>
      <c r="P1186" s="1" t="s">
        <v>2056</v>
      </c>
      <c r="Q1186" s="1" t="s">
        <v>42</v>
      </c>
      <c r="R1186" s="1">
        <f t="shared" si="18"/>
        <v>1</v>
      </c>
      <c r="S1186" s="4">
        <f>J1186*K1186*M1186</f>
        <v>36000</v>
      </c>
    </row>
    <row r="1187" spans="1:19" ht="43" hidden="1" customHeight="1">
      <c r="A1187" s="1" t="s">
        <v>2280</v>
      </c>
      <c r="B1187" s="1" t="s">
        <v>1402</v>
      </c>
      <c r="C1187" s="29">
        <v>45990.382403298601</v>
      </c>
      <c r="D1187" s="1" t="s">
        <v>3052</v>
      </c>
      <c r="E1187" s="1" t="s">
        <v>3053</v>
      </c>
      <c r="F1187" s="1">
        <v>26</v>
      </c>
      <c r="G1187" s="12" t="s">
        <v>441</v>
      </c>
      <c r="H1187" s="1" t="s">
        <v>441</v>
      </c>
      <c r="I1187" s="1" t="s">
        <v>511</v>
      </c>
      <c r="J1187" s="30">
        <v>3</v>
      </c>
      <c r="K1187" s="30">
        <v>550000</v>
      </c>
      <c r="L1187" s="31">
        <v>1650000</v>
      </c>
      <c r="M1187" s="1" t="s">
        <v>16</v>
      </c>
      <c r="N1187" s="1" t="s">
        <v>17</v>
      </c>
      <c r="O1187" s="1" t="s">
        <v>2057</v>
      </c>
      <c r="P1187" s="1" t="s">
        <v>2056</v>
      </c>
      <c r="Q1187" s="1" t="s">
        <v>1531</v>
      </c>
      <c r="R1187" s="1">
        <f t="shared" si="18"/>
        <v>4</v>
      </c>
      <c r="S1187" s="4">
        <f>J1187*K1187*M1187</f>
        <v>132000</v>
      </c>
    </row>
    <row r="1188" spans="1:19" ht="43" hidden="1" customHeight="1">
      <c r="A1188" s="1" t="s">
        <v>2280</v>
      </c>
      <c r="B1188" s="1" t="s">
        <v>188</v>
      </c>
      <c r="C1188" s="29">
        <v>45928.944600393501</v>
      </c>
      <c r="D1188" s="1" t="s">
        <v>3052</v>
      </c>
      <c r="E1188" s="1" t="s">
        <v>3053</v>
      </c>
      <c r="F1188" s="1">
        <v>25</v>
      </c>
      <c r="G1188" s="12" t="s">
        <v>1597</v>
      </c>
      <c r="H1188" s="1" t="s">
        <v>1597</v>
      </c>
      <c r="I1188" s="1" t="s">
        <v>130</v>
      </c>
      <c r="J1188" s="30">
        <v>1</v>
      </c>
      <c r="K1188" s="30">
        <v>25000</v>
      </c>
      <c r="L1188" s="31">
        <v>25000</v>
      </c>
      <c r="M1188" s="1" t="s">
        <v>30</v>
      </c>
      <c r="N1188" s="1" t="s">
        <v>17</v>
      </c>
      <c r="O1188" s="1" t="s">
        <v>2057</v>
      </c>
      <c r="P1188" s="1" t="s">
        <v>2056</v>
      </c>
      <c r="Q1188" s="1" t="s">
        <v>546</v>
      </c>
      <c r="R1188" s="1">
        <f t="shared" si="18"/>
        <v>3</v>
      </c>
      <c r="S1188" s="4">
        <f>J1188*K1188*M1188</f>
        <v>2500</v>
      </c>
    </row>
    <row r="1189" spans="1:19" ht="43" hidden="1" customHeight="1">
      <c r="A1189" s="1" t="s">
        <v>2280</v>
      </c>
      <c r="B1189" s="1" t="s">
        <v>1472</v>
      </c>
      <c r="C1189" s="29">
        <v>45899.6448496991</v>
      </c>
      <c r="D1189" s="1" t="s">
        <v>3052</v>
      </c>
      <c r="E1189" s="1" t="s">
        <v>3053</v>
      </c>
      <c r="F1189" s="1">
        <v>4</v>
      </c>
      <c r="G1189" s="12" t="s">
        <v>1597</v>
      </c>
      <c r="H1189" s="1" t="s">
        <v>1597</v>
      </c>
      <c r="I1189" s="1" t="s">
        <v>130</v>
      </c>
      <c r="J1189" s="30">
        <v>5</v>
      </c>
      <c r="K1189" s="30">
        <v>160000</v>
      </c>
      <c r="L1189" s="31">
        <v>800000</v>
      </c>
      <c r="M1189" s="1" t="s">
        <v>30</v>
      </c>
      <c r="N1189" s="1" t="s">
        <v>17</v>
      </c>
      <c r="O1189" s="1" t="s">
        <v>2057</v>
      </c>
      <c r="P1189" s="1" t="s">
        <v>2056</v>
      </c>
      <c r="Q1189" s="1" t="s">
        <v>636</v>
      </c>
      <c r="R1189" s="1">
        <f t="shared" si="18"/>
        <v>3</v>
      </c>
      <c r="S1189" s="4">
        <f>J1189*K1189*M1189</f>
        <v>80000</v>
      </c>
    </row>
    <row r="1190" spans="1:19" ht="43" hidden="1" customHeight="1">
      <c r="A1190" s="1" t="s">
        <v>2280</v>
      </c>
      <c r="B1190" s="1" t="s">
        <v>1262</v>
      </c>
      <c r="C1190" s="29">
        <v>45838.622051655097</v>
      </c>
      <c r="D1190" s="1" t="s">
        <v>3052</v>
      </c>
      <c r="E1190" s="1" t="s">
        <v>3053</v>
      </c>
      <c r="F1190" s="1">
        <v>21</v>
      </c>
      <c r="G1190" s="12" t="s">
        <v>1597</v>
      </c>
      <c r="H1190" s="1" t="s">
        <v>1597</v>
      </c>
      <c r="I1190" s="1" t="s">
        <v>130</v>
      </c>
      <c r="J1190" s="30">
        <v>1</v>
      </c>
      <c r="K1190" s="30">
        <v>70000</v>
      </c>
      <c r="L1190" s="31">
        <v>70000</v>
      </c>
      <c r="M1190" s="1" t="s">
        <v>30</v>
      </c>
      <c r="N1190" s="1" t="s">
        <v>17</v>
      </c>
      <c r="O1190" s="1" t="s">
        <v>2057</v>
      </c>
      <c r="P1190" s="1" t="s">
        <v>2056</v>
      </c>
      <c r="Q1190" s="1" t="s">
        <v>828</v>
      </c>
      <c r="R1190" s="1">
        <f t="shared" si="18"/>
        <v>2</v>
      </c>
      <c r="S1190" s="4">
        <f>J1190*K1190*M1190</f>
        <v>7000</v>
      </c>
    </row>
    <row r="1191" spans="1:19" ht="43" hidden="1" customHeight="1">
      <c r="A1191" s="1" t="s">
        <v>2280</v>
      </c>
      <c r="B1191" s="1" t="s">
        <v>717</v>
      </c>
      <c r="C1191" s="29">
        <v>45807.729117129602</v>
      </c>
      <c r="D1191" s="1" t="s">
        <v>3052</v>
      </c>
      <c r="E1191" s="1" t="s">
        <v>3053</v>
      </c>
      <c r="F1191" s="1">
        <v>15</v>
      </c>
      <c r="G1191" s="12" t="s">
        <v>1597</v>
      </c>
      <c r="H1191" s="1" t="s">
        <v>1597</v>
      </c>
      <c r="I1191" s="1" t="s">
        <v>15</v>
      </c>
      <c r="J1191" s="30">
        <v>2</v>
      </c>
      <c r="K1191" s="30">
        <v>550000</v>
      </c>
      <c r="L1191" s="31">
        <v>1100000</v>
      </c>
      <c r="M1191" s="1" t="s">
        <v>30</v>
      </c>
      <c r="N1191" s="1" t="s">
        <v>17</v>
      </c>
      <c r="O1191" s="1" t="s">
        <v>2057</v>
      </c>
      <c r="P1191" s="1" t="s">
        <v>2056</v>
      </c>
      <c r="Q1191" s="1" t="s">
        <v>925</v>
      </c>
      <c r="R1191" s="1">
        <f t="shared" si="18"/>
        <v>2</v>
      </c>
      <c r="S1191" s="4">
        <f>J1191*K1191*M1191</f>
        <v>110000</v>
      </c>
    </row>
    <row r="1192" spans="1:19" ht="43" hidden="1" customHeight="1">
      <c r="A1192" s="1" t="s">
        <v>2072</v>
      </c>
      <c r="B1192" s="1" t="s">
        <v>1294</v>
      </c>
      <c r="C1192" s="29">
        <v>46021.613942164397</v>
      </c>
      <c r="D1192" s="1" t="s">
        <v>3052</v>
      </c>
      <c r="E1192" s="1" t="s">
        <v>3053</v>
      </c>
      <c r="F1192" s="1">
        <v>68</v>
      </c>
      <c r="G1192" s="12" t="s">
        <v>1356</v>
      </c>
      <c r="H1192" s="1" t="s">
        <v>1356</v>
      </c>
      <c r="I1192" s="1" t="s">
        <v>130</v>
      </c>
      <c r="J1192" s="30">
        <v>2</v>
      </c>
      <c r="K1192" s="30">
        <v>550000</v>
      </c>
      <c r="L1192" s="31">
        <v>1100000</v>
      </c>
      <c r="M1192" s="1" t="s">
        <v>16</v>
      </c>
      <c r="N1192" s="1" t="s">
        <v>17</v>
      </c>
      <c r="O1192" s="1" t="s">
        <v>2057</v>
      </c>
      <c r="P1192" s="1" t="s">
        <v>2056</v>
      </c>
      <c r="Q1192" s="1" t="s">
        <v>1474</v>
      </c>
      <c r="R1192" s="1">
        <f t="shared" si="18"/>
        <v>4</v>
      </c>
      <c r="S1192" s="4">
        <f>J1192*K1192*M1192</f>
        <v>88000</v>
      </c>
    </row>
    <row r="1193" spans="1:19" ht="43" hidden="1" customHeight="1">
      <c r="A1193" s="1" t="s">
        <v>2280</v>
      </c>
      <c r="B1193" s="1" t="s">
        <v>1398</v>
      </c>
      <c r="C1193" s="29">
        <v>45996.640779340298</v>
      </c>
      <c r="D1193" s="1" t="s">
        <v>3058</v>
      </c>
      <c r="E1193" s="1" t="s">
        <v>3059</v>
      </c>
      <c r="F1193" s="1">
        <v>4</v>
      </c>
      <c r="G1193" s="12" t="s">
        <v>1356</v>
      </c>
      <c r="H1193" s="1" t="s">
        <v>1356</v>
      </c>
      <c r="I1193" s="1" t="s">
        <v>130</v>
      </c>
      <c r="J1193" s="30">
        <v>8</v>
      </c>
      <c r="K1193" s="30">
        <v>70000</v>
      </c>
      <c r="L1193" s="31">
        <v>560000</v>
      </c>
      <c r="M1193" s="1" t="s">
        <v>16</v>
      </c>
      <c r="N1193" s="1" t="s">
        <v>17</v>
      </c>
      <c r="O1193" s="1" t="s">
        <v>2057</v>
      </c>
      <c r="P1193" s="1" t="s">
        <v>2056</v>
      </c>
      <c r="Q1193" s="1" t="s">
        <v>304</v>
      </c>
      <c r="R1193" s="1">
        <f t="shared" si="18"/>
        <v>4</v>
      </c>
      <c r="S1193" s="4">
        <f>J1193*K1193*M1193</f>
        <v>44800</v>
      </c>
    </row>
    <row r="1194" spans="1:19" ht="43" hidden="1" customHeight="1">
      <c r="A1194" s="1" t="s">
        <v>2280</v>
      </c>
      <c r="B1194" s="1" t="s">
        <v>326</v>
      </c>
      <c r="C1194" s="29">
        <v>45960.658345080999</v>
      </c>
      <c r="D1194" s="1" t="s">
        <v>3052</v>
      </c>
      <c r="E1194" s="1" t="s">
        <v>3053</v>
      </c>
      <c r="F1194" s="1">
        <v>8</v>
      </c>
      <c r="G1194" s="12" t="s">
        <v>1423</v>
      </c>
      <c r="H1194" s="1" t="s">
        <v>1423</v>
      </c>
      <c r="I1194" s="1" t="s">
        <v>130</v>
      </c>
      <c r="J1194" s="30">
        <v>5</v>
      </c>
      <c r="K1194" s="30">
        <v>15000</v>
      </c>
      <c r="L1194" s="31">
        <v>75000</v>
      </c>
      <c r="M1194" s="1" t="s">
        <v>16</v>
      </c>
      <c r="N1194" s="1" t="s">
        <v>17</v>
      </c>
      <c r="O1194" s="1" t="s">
        <v>2057</v>
      </c>
      <c r="P1194" s="1" t="s">
        <v>2056</v>
      </c>
      <c r="Q1194" s="1" t="s">
        <v>533</v>
      </c>
      <c r="R1194" s="1">
        <f t="shared" si="18"/>
        <v>4</v>
      </c>
      <c r="S1194" s="4">
        <f>J1194*K1194*M1194</f>
        <v>6000</v>
      </c>
    </row>
    <row r="1195" spans="1:19" ht="43" hidden="1" customHeight="1">
      <c r="A1195" s="1" t="s">
        <v>2280</v>
      </c>
      <c r="B1195" s="1" t="s">
        <v>379</v>
      </c>
      <c r="C1195" s="29">
        <v>45959.6544954282</v>
      </c>
      <c r="D1195" s="1" t="s">
        <v>3052</v>
      </c>
      <c r="E1195" s="1" t="s">
        <v>3053</v>
      </c>
      <c r="F1195" s="1">
        <v>8</v>
      </c>
      <c r="G1195" s="12" t="s">
        <v>1423</v>
      </c>
      <c r="H1195" s="1" t="s">
        <v>1423</v>
      </c>
      <c r="I1195" s="1" t="s">
        <v>130</v>
      </c>
      <c r="J1195" s="30">
        <v>6</v>
      </c>
      <c r="K1195" s="30">
        <v>8000</v>
      </c>
      <c r="L1195" s="31">
        <v>48000</v>
      </c>
      <c r="M1195" s="1" t="s">
        <v>16</v>
      </c>
      <c r="N1195" s="1" t="s">
        <v>17</v>
      </c>
      <c r="O1195" s="1" t="s">
        <v>2057</v>
      </c>
      <c r="P1195" s="1" t="s">
        <v>2056</v>
      </c>
      <c r="Q1195" s="1" t="s">
        <v>1578</v>
      </c>
      <c r="R1195" s="1">
        <f t="shared" si="18"/>
        <v>4</v>
      </c>
      <c r="S1195" s="4">
        <f>J1195*K1195*M1195</f>
        <v>3840</v>
      </c>
    </row>
    <row r="1196" spans="1:19" ht="43" hidden="1" customHeight="1">
      <c r="A1196" s="1" t="s">
        <v>2280</v>
      </c>
      <c r="B1196" s="1" t="s">
        <v>928</v>
      </c>
      <c r="C1196" s="29">
        <v>45933.359213472198</v>
      </c>
      <c r="D1196" s="1" t="s">
        <v>3048</v>
      </c>
      <c r="E1196" s="1" t="s">
        <v>3049</v>
      </c>
      <c r="F1196" s="1">
        <v>3</v>
      </c>
      <c r="G1196" s="12" t="s">
        <v>1423</v>
      </c>
      <c r="H1196" s="1" t="s">
        <v>1423</v>
      </c>
      <c r="I1196" s="1" t="s">
        <v>130</v>
      </c>
      <c r="J1196" s="30">
        <v>50</v>
      </c>
      <c r="K1196" s="30">
        <v>3000</v>
      </c>
      <c r="L1196" s="31">
        <v>150000</v>
      </c>
      <c r="M1196" s="1" t="s">
        <v>16</v>
      </c>
      <c r="N1196" s="1" t="s">
        <v>17</v>
      </c>
      <c r="O1196" s="1" t="s">
        <v>2057</v>
      </c>
      <c r="P1196" s="1" t="s">
        <v>2056</v>
      </c>
      <c r="Q1196" s="1" t="s">
        <v>1591</v>
      </c>
      <c r="R1196" s="1">
        <f t="shared" si="18"/>
        <v>4</v>
      </c>
      <c r="S1196" s="4">
        <f>J1196*K1196*M1196</f>
        <v>12000</v>
      </c>
    </row>
    <row r="1197" spans="1:19" ht="43" hidden="1" customHeight="1">
      <c r="A1197" s="1" t="s">
        <v>2280</v>
      </c>
      <c r="B1197" s="1" t="s">
        <v>1467</v>
      </c>
      <c r="C1197" s="29">
        <v>45928.732318564798</v>
      </c>
      <c r="D1197" s="1" t="s">
        <v>3052</v>
      </c>
      <c r="E1197" s="1" t="s">
        <v>3053</v>
      </c>
      <c r="F1197" s="1">
        <v>12</v>
      </c>
      <c r="G1197" s="12" t="s">
        <v>1423</v>
      </c>
      <c r="H1197" s="1" t="s">
        <v>1423</v>
      </c>
      <c r="I1197" s="1" t="s">
        <v>130</v>
      </c>
      <c r="J1197" s="30">
        <v>8</v>
      </c>
      <c r="K1197" s="30">
        <v>5000</v>
      </c>
      <c r="L1197" s="31">
        <v>40000</v>
      </c>
      <c r="M1197" s="1" t="s">
        <v>16</v>
      </c>
      <c r="N1197" s="1" t="s">
        <v>17</v>
      </c>
      <c r="O1197" s="1" t="s">
        <v>2057</v>
      </c>
      <c r="P1197" s="1" t="s">
        <v>2056</v>
      </c>
      <c r="Q1197" s="1" t="s">
        <v>546</v>
      </c>
      <c r="R1197" s="1">
        <f t="shared" si="18"/>
        <v>3</v>
      </c>
      <c r="S1197" s="4">
        <f>J1197*K1197*M1197</f>
        <v>3200</v>
      </c>
    </row>
    <row r="1198" spans="1:19" ht="43" hidden="1" customHeight="1">
      <c r="A1198" s="1" t="s">
        <v>2072</v>
      </c>
      <c r="B1198" s="1" t="s">
        <v>146</v>
      </c>
      <c r="C1198" s="29">
        <v>46020.386763703696</v>
      </c>
      <c r="D1198" s="1" t="s">
        <v>3052</v>
      </c>
      <c r="E1198" s="1" t="s">
        <v>3053</v>
      </c>
      <c r="F1198" s="1">
        <v>7</v>
      </c>
      <c r="G1198" s="12" t="s">
        <v>1498</v>
      </c>
      <c r="H1198" s="1" t="s">
        <v>1498</v>
      </c>
      <c r="I1198" s="1" t="s">
        <v>130</v>
      </c>
      <c r="J1198" s="30">
        <v>3</v>
      </c>
      <c r="K1198" s="30">
        <v>43000</v>
      </c>
      <c r="L1198" s="31">
        <v>129000</v>
      </c>
      <c r="M1198" s="1" t="s">
        <v>16</v>
      </c>
      <c r="N1198" s="1" t="s">
        <v>17</v>
      </c>
      <c r="O1198" s="1" t="s">
        <v>2057</v>
      </c>
      <c r="P1198" s="1" t="s">
        <v>2056</v>
      </c>
      <c r="Q1198" s="1" t="s">
        <v>275</v>
      </c>
      <c r="R1198" s="1">
        <f t="shared" si="18"/>
        <v>4</v>
      </c>
      <c r="S1198" s="4">
        <f>J1198*K1198*M1198</f>
        <v>10320</v>
      </c>
    </row>
    <row r="1199" spans="1:19" ht="43" hidden="1" customHeight="1">
      <c r="A1199" s="1" t="s">
        <v>2280</v>
      </c>
      <c r="B1199" s="1" t="s">
        <v>1400</v>
      </c>
      <c r="C1199" s="29">
        <v>45990.721094398097</v>
      </c>
      <c r="D1199" s="1" t="s">
        <v>3052</v>
      </c>
      <c r="E1199" s="1" t="s">
        <v>3053</v>
      </c>
      <c r="F1199" s="1">
        <v>15</v>
      </c>
      <c r="G1199" s="12" t="s">
        <v>1498</v>
      </c>
      <c r="H1199" s="1" t="s">
        <v>1498</v>
      </c>
      <c r="I1199" s="1" t="s">
        <v>130</v>
      </c>
      <c r="J1199" s="30">
        <v>10</v>
      </c>
      <c r="K1199" s="30">
        <v>20000</v>
      </c>
      <c r="L1199" s="31">
        <v>200000</v>
      </c>
      <c r="M1199" s="1" t="s">
        <v>16</v>
      </c>
      <c r="N1199" s="1" t="s">
        <v>17</v>
      </c>
      <c r="O1199" s="1" t="s">
        <v>2057</v>
      </c>
      <c r="P1199" s="1" t="s">
        <v>2056</v>
      </c>
      <c r="Q1199" s="1" t="s">
        <v>1531</v>
      </c>
      <c r="R1199" s="1">
        <f t="shared" si="18"/>
        <v>4</v>
      </c>
      <c r="S1199" s="4">
        <f>J1199*K1199*M1199</f>
        <v>16000</v>
      </c>
    </row>
    <row r="1200" spans="1:19" ht="43" hidden="1" customHeight="1">
      <c r="A1200" s="1" t="s">
        <v>2280</v>
      </c>
      <c r="B1200" s="1" t="s">
        <v>91</v>
      </c>
      <c r="C1200" s="29">
        <v>45899.644512638901</v>
      </c>
      <c r="D1200" s="1" t="s">
        <v>3052</v>
      </c>
      <c r="E1200" s="1" t="s">
        <v>3053</v>
      </c>
      <c r="F1200" s="1">
        <v>14</v>
      </c>
      <c r="G1200" s="12" t="s">
        <v>1498</v>
      </c>
      <c r="H1200" s="1" t="s">
        <v>1498</v>
      </c>
      <c r="I1200" s="1" t="s">
        <v>130</v>
      </c>
      <c r="J1200" s="30">
        <v>5</v>
      </c>
      <c r="K1200" s="30">
        <v>15000</v>
      </c>
      <c r="L1200" s="31">
        <v>75000</v>
      </c>
      <c r="M1200" s="1" t="s">
        <v>16</v>
      </c>
      <c r="N1200" s="1" t="s">
        <v>17</v>
      </c>
      <c r="O1200" s="1" t="s">
        <v>2057</v>
      </c>
      <c r="P1200" s="1" t="s">
        <v>2056</v>
      </c>
      <c r="Q1200" s="1" t="s">
        <v>636</v>
      </c>
      <c r="R1200" s="1">
        <f t="shared" si="18"/>
        <v>3</v>
      </c>
      <c r="S1200" s="4">
        <f>J1200*K1200*M1200</f>
        <v>6000</v>
      </c>
    </row>
    <row r="1201" spans="1:19" ht="43" hidden="1" customHeight="1">
      <c r="A1201" s="1" t="s">
        <v>2280</v>
      </c>
      <c r="B1201" s="1" t="s">
        <v>1400</v>
      </c>
      <c r="C1201" s="29">
        <v>45990.721094398097</v>
      </c>
      <c r="D1201" s="1" t="s">
        <v>3052</v>
      </c>
      <c r="E1201" s="1" t="s">
        <v>3053</v>
      </c>
      <c r="F1201" s="1">
        <v>59</v>
      </c>
      <c r="G1201" s="12" t="s">
        <v>1366</v>
      </c>
      <c r="H1201" s="1" t="s">
        <v>1545</v>
      </c>
      <c r="I1201" s="1" t="s">
        <v>130</v>
      </c>
      <c r="J1201" s="30">
        <v>4</v>
      </c>
      <c r="K1201" s="30">
        <v>120000</v>
      </c>
      <c r="L1201" s="31">
        <v>480000</v>
      </c>
      <c r="M1201" s="1" t="s">
        <v>16</v>
      </c>
      <c r="N1201" s="1" t="s">
        <v>17</v>
      </c>
      <c r="O1201" s="1" t="s">
        <v>2057</v>
      </c>
      <c r="P1201" s="1" t="s">
        <v>2056</v>
      </c>
      <c r="Q1201" s="1" t="s">
        <v>1531</v>
      </c>
      <c r="R1201" s="1">
        <f t="shared" si="18"/>
        <v>4</v>
      </c>
      <c r="S1201" s="4">
        <f>J1201*K1201*M1201</f>
        <v>38400</v>
      </c>
    </row>
    <row r="1202" spans="1:19" ht="43" hidden="1" customHeight="1">
      <c r="A1202" s="1" t="s">
        <v>2072</v>
      </c>
      <c r="B1202" s="1" t="s">
        <v>1295</v>
      </c>
      <c r="C1202" s="29">
        <v>46019.8874690046</v>
      </c>
      <c r="F1202" s="1">
        <v>3</v>
      </c>
      <c r="G1202" s="12" t="s">
        <v>1366</v>
      </c>
      <c r="H1202" s="1" t="s">
        <v>1366</v>
      </c>
      <c r="I1202" s="1" t="s">
        <v>130</v>
      </c>
      <c r="J1202" s="30">
        <v>5</v>
      </c>
      <c r="K1202" s="30">
        <v>2612.1</v>
      </c>
      <c r="L1202" s="31">
        <v>13061</v>
      </c>
      <c r="M1202" s="1" t="s">
        <v>16</v>
      </c>
      <c r="N1202" s="1" t="s">
        <v>17</v>
      </c>
      <c r="O1202" s="1" t="s">
        <v>2057</v>
      </c>
      <c r="P1202" s="1" t="s">
        <v>2056</v>
      </c>
      <c r="Q1202" s="1" t="s">
        <v>260</v>
      </c>
      <c r="R1202" s="1">
        <f t="shared" si="18"/>
        <v>4</v>
      </c>
      <c r="S1202" s="4">
        <f>J1202*K1202*M1202</f>
        <v>1044.8399999999999</v>
      </c>
    </row>
    <row r="1203" spans="1:19" ht="43" hidden="1" customHeight="1">
      <c r="A1203" s="1" t="s">
        <v>2072</v>
      </c>
      <c r="B1203" s="1" t="s">
        <v>305</v>
      </c>
      <c r="C1203" s="29">
        <v>46011.832544768498</v>
      </c>
      <c r="F1203" s="1">
        <v>1</v>
      </c>
      <c r="G1203" s="12" t="s">
        <v>1366</v>
      </c>
      <c r="H1203" s="1" t="s">
        <v>1366</v>
      </c>
      <c r="I1203" s="1" t="s">
        <v>130</v>
      </c>
      <c r="J1203" s="30">
        <v>3</v>
      </c>
      <c r="K1203" s="30">
        <v>6173</v>
      </c>
      <c r="L1203" s="31">
        <v>18519</v>
      </c>
      <c r="M1203" s="1" t="s">
        <v>16</v>
      </c>
      <c r="N1203" s="1" t="s">
        <v>17</v>
      </c>
      <c r="O1203" s="1" t="s">
        <v>2057</v>
      </c>
      <c r="P1203" s="1" t="s">
        <v>2056</v>
      </c>
      <c r="Q1203" s="1" t="s">
        <v>1473</v>
      </c>
      <c r="R1203" s="1">
        <f t="shared" si="18"/>
        <v>4</v>
      </c>
      <c r="S1203" s="4">
        <f>J1203*K1203*M1203</f>
        <v>1481.52</v>
      </c>
    </row>
    <row r="1204" spans="1:19" ht="43" hidden="1" customHeight="1">
      <c r="A1204" s="1" t="s">
        <v>2280</v>
      </c>
      <c r="B1204" s="1" t="s">
        <v>1402</v>
      </c>
      <c r="C1204" s="29">
        <v>45990.382403298601</v>
      </c>
      <c r="D1204" s="1" t="s">
        <v>3052</v>
      </c>
      <c r="E1204" s="1" t="s">
        <v>3053</v>
      </c>
      <c r="F1204" s="1">
        <v>15</v>
      </c>
      <c r="G1204" s="12" t="s">
        <v>1366</v>
      </c>
      <c r="H1204" s="1" t="s">
        <v>1366</v>
      </c>
      <c r="I1204" s="1" t="s">
        <v>130</v>
      </c>
      <c r="J1204" s="30">
        <v>20</v>
      </c>
      <c r="K1204" s="30">
        <v>5000</v>
      </c>
      <c r="L1204" s="31">
        <v>100000</v>
      </c>
      <c r="M1204" s="1" t="s">
        <v>16</v>
      </c>
      <c r="N1204" s="1" t="s">
        <v>17</v>
      </c>
      <c r="O1204" s="1" t="s">
        <v>2057</v>
      </c>
      <c r="P1204" s="1" t="s">
        <v>2056</v>
      </c>
      <c r="Q1204" s="1" t="s">
        <v>1531</v>
      </c>
      <c r="R1204" s="1">
        <f t="shared" si="18"/>
        <v>4</v>
      </c>
      <c r="S1204" s="4">
        <f>J1204*K1204*M1204</f>
        <v>8000</v>
      </c>
    </row>
    <row r="1205" spans="1:19" ht="43" hidden="1" customHeight="1">
      <c r="A1205" s="1" t="s">
        <v>2072</v>
      </c>
      <c r="B1205" s="1" t="s">
        <v>1294</v>
      </c>
      <c r="C1205" s="29">
        <v>46021.613942164397</v>
      </c>
      <c r="D1205" s="1" t="s">
        <v>3052</v>
      </c>
      <c r="E1205" s="1" t="s">
        <v>3053</v>
      </c>
      <c r="F1205" s="1">
        <v>58</v>
      </c>
      <c r="G1205" s="12" t="s">
        <v>677</v>
      </c>
      <c r="H1205" s="1" t="s">
        <v>677</v>
      </c>
      <c r="I1205" s="1" t="s">
        <v>78</v>
      </c>
      <c r="J1205" s="30">
        <v>12</v>
      </c>
      <c r="K1205" s="30">
        <v>100000</v>
      </c>
      <c r="L1205" s="31">
        <v>1200000</v>
      </c>
      <c r="M1205" s="1" t="s">
        <v>16</v>
      </c>
      <c r="N1205" s="1" t="s">
        <v>17</v>
      </c>
      <c r="O1205" s="1" t="s">
        <v>2057</v>
      </c>
      <c r="P1205" s="1" t="s">
        <v>2056</v>
      </c>
      <c r="Q1205" s="1" t="s">
        <v>1474</v>
      </c>
      <c r="R1205" s="1">
        <f t="shared" si="18"/>
        <v>4</v>
      </c>
      <c r="S1205" s="4">
        <f>J1205*K1205*M1205</f>
        <v>96000</v>
      </c>
    </row>
    <row r="1206" spans="1:19" ht="43" hidden="1" customHeight="1">
      <c r="A1206" s="1" t="s">
        <v>2280</v>
      </c>
      <c r="B1206" s="1" t="s">
        <v>326</v>
      </c>
      <c r="C1206" s="29">
        <v>45960.658345080999</v>
      </c>
      <c r="D1206" s="1" t="s">
        <v>3052</v>
      </c>
      <c r="E1206" s="1" t="s">
        <v>3053</v>
      </c>
      <c r="F1206" s="1">
        <v>32</v>
      </c>
      <c r="G1206" s="12" t="s">
        <v>677</v>
      </c>
      <c r="H1206" s="1" t="s">
        <v>677</v>
      </c>
      <c r="I1206" s="1" t="s">
        <v>1268</v>
      </c>
      <c r="J1206" s="30">
        <v>50</v>
      </c>
      <c r="K1206" s="30">
        <v>18000</v>
      </c>
      <c r="L1206" s="31">
        <v>900000</v>
      </c>
      <c r="M1206" s="1" t="s">
        <v>16</v>
      </c>
      <c r="N1206" s="1" t="s">
        <v>17</v>
      </c>
      <c r="O1206" s="1" t="s">
        <v>2057</v>
      </c>
      <c r="P1206" s="1" t="s">
        <v>2056</v>
      </c>
      <c r="Q1206" s="1" t="s">
        <v>533</v>
      </c>
      <c r="R1206" s="1">
        <f t="shared" si="18"/>
        <v>4</v>
      </c>
      <c r="S1206" s="4">
        <f>J1206*K1206*M1206</f>
        <v>72000</v>
      </c>
    </row>
    <row r="1207" spans="1:19" ht="43" hidden="1" customHeight="1">
      <c r="A1207" s="1" t="s">
        <v>2280</v>
      </c>
      <c r="B1207" s="1" t="s">
        <v>379</v>
      </c>
      <c r="C1207" s="29">
        <v>45959.6544954282</v>
      </c>
      <c r="D1207" s="1" t="s">
        <v>3052</v>
      </c>
      <c r="E1207" s="1" t="s">
        <v>3053</v>
      </c>
      <c r="F1207" s="1">
        <v>22</v>
      </c>
      <c r="G1207" s="12" t="s">
        <v>677</v>
      </c>
      <c r="H1207" s="1" t="s">
        <v>677</v>
      </c>
      <c r="I1207" s="1" t="s">
        <v>78</v>
      </c>
      <c r="J1207" s="30">
        <v>50</v>
      </c>
      <c r="K1207" s="30">
        <v>90000</v>
      </c>
      <c r="L1207" s="31">
        <v>4500000</v>
      </c>
      <c r="M1207" s="1" t="s">
        <v>16</v>
      </c>
      <c r="N1207" s="1" t="s">
        <v>17</v>
      </c>
      <c r="O1207" s="1" t="s">
        <v>2057</v>
      </c>
      <c r="P1207" s="1" t="s">
        <v>2056</v>
      </c>
      <c r="Q1207" s="1" t="s">
        <v>1578</v>
      </c>
      <c r="R1207" s="1">
        <f t="shared" si="18"/>
        <v>4</v>
      </c>
      <c r="S1207" s="4">
        <f>J1207*K1207*M1207</f>
        <v>360000</v>
      </c>
    </row>
    <row r="1208" spans="1:19" ht="43" hidden="1" customHeight="1">
      <c r="A1208" s="1" t="s">
        <v>2280</v>
      </c>
      <c r="B1208" s="1" t="s">
        <v>1462</v>
      </c>
      <c r="C1208" s="29">
        <v>45928.944135983802</v>
      </c>
      <c r="D1208" s="1" t="s">
        <v>3052</v>
      </c>
      <c r="E1208" s="1" t="s">
        <v>3053</v>
      </c>
      <c r="F1208" s="1">
        <v>33</v>
      </c>
      <c r="G1208" s="12" t="s">
        <v>677</v>
      </c>
      <c r="H1208" s="1" t="s">
        <v>677</v>
      </c>
      <c r="I1208" s="1" t="s">
        <v>1268</v>
      </c>
      <c r="J1208" s="30">
        <v>50</v>
      </c>
      <c r="K1208" s="30">
        <v>18000</v>
      </c>
      <c r="L1208" s="31">
        <v>900000</v>
      </c>
      <c r="M1208" s="1" t="s">
        <v>16</v>
      </c>
      <c r="N1208" s="1" t="s">
        <v>17</v>
      </c>
      <c r="O1208" s="1" t="s">
        <v>2057</v>
      </c>
      <c r="P1208" s="1" t="s">
        <v>2056</v>
      </c>
      <c r="Q1208" s="1" t="s">
        <v>546</v>
      </c>
      <c r="R1208" s="1">
        <f t="shared" si="18"/>
        <v>3</v>
      </c>
      <c r="S1208" s="4">
        <f>J1208*K1208*M1208</f>
        <v>72000</v>
      </c>
    </row>
    <row r="1209" spans="1:19" ht="43" hidden="1" customHeight="1">
      <c r="A1209" s="1" t="s">
        <v>2280</v>
      </c>
      <c r="B1209" s="1" t="s">
        <v>1467</v>
      </c>
      <c r="C1209" s="29">
        <v>45928.732318564798</v>
      </c>
      <c r="D1209" s="1" t="s">
        <v>3052</v>
      </c>
      <c r="E1209" s="1" t="s">
        <v>3053</v>
      </c>
      <c r="F1209" s="1">
        <v>61</v>
      </c>
      <c r="G1209" s="12" t="s">
        <v>677</v>
      </c>
      <c r="H1209" s="1" t="s">
        <v>677</v>
      </c>
      <c r="I1209" s="1" t="s">
        <v>1268</v>
      </c>
      <c r="J1209" s="30">
        <v>20</v>
      </c>
      <c r="K1209" s="30">
        <v>110000</v>
      </c>
      <c r="L1209" s="31">
        <v>2200000</v>
      </c>
      <c r="M1209" s="1" t="s">
        <v>16</v>
      </c>
      <c r="N1209" s="1" t="s">
        <v>17</v>
      </c>
      <c r="O1209" s="1" t="s">
        <v>2057</v>
      </c>
      <c r="P1209" s="1" t="s">
        <v>2056</v>
      </c>
      <c r="Q1209" s="1" t="s">
        <v>546</v>
      </c>
      <c r="R1209" s="1">
        <f t="shared" si="18"/>
        <v>3</v>
      </c>
      <c r="S1209" s="4">
        <f>J1209*K1209*M1209</f>
        <v>176000</v>
      </c>
    </row>
    <row r="1210" spans="1:19" ht="43" hidden="1" customHeight="1">
      <c r="A1210" s="1" t="s">
        <v>2280</v>
      </c>
      <c r="B1210" s="1" t="s">
        <v>91</v>
      </c>
      <c r="C1210" s="29">
        <v>45899.644512638901</v>
      </c>
      <c r="D1210" s="1" t="s">
        <v>3052</v>
      </c>
      <c r="E1210" s="1" t="s">
        <v>3053</v>
      </c>
      <c r="F1210" s="1">
        <v>8</v>
      </c>
      <c r="G1210" s="12" t="s">
        <v>2926</v>
      </c>
      <c r="H1210" s="1" t="s">
        <v>1656</v>
      </c>
      <c r="I1210" s="1" t="s">
        <v>130</v>
      </c>
      <c r="J1210" s="30">
        <v>5</v>
      </c>
      <c r="K1210" s="30">
        <v>15000</v>
      </c>
      <c r="L1210" s="31">
        <v>75000</v>
      </c>
      <c r="M1210" s="1" t="s">
        <v>16</v>
      </c>
      <c r="N1210" s="1" t="s">
        <v>17</v>
      </c>
      <c r="O1210" s="1" t="s">
        <v>2057</v>
      </c>
      <c r="P1210" s="1" t="s">
        <v>2056</v>
      </c>
      <c r="Q1210" s="1" t="s">
        <v>636</v>
      </c>
      <c r="R1210" s="1">
        <f t="shared" si="18"/>
        <v>3</v>
      </c>
      <c r="S1210" s="4">
        <f>J1210*K1210*M1210</f>
        <v>6000</v>
      </c>
    </row>
    <row r="1211" spans="1:19" ht="43" hidden="1" customHeight="1">
      <c r="A1211" s="1" t="s">
        <v>2280</v>
      </c>
      <c r="B1211" s="1" t="s">
        <v>1467</v>
      </c>
      <c r="C1211" s="29">
        <v>45928.732318564798</v>
      </c>
      <c r="D1211" s="1" t="s">
        <v>3052</v>
      </c>
      <c r="E1211" s="1" t="s">
        <v>3053</v>
      </c>
      <c r="F1211" s="1">
        <v>41</v>
      </c>
      <c r="G1211" s="12" t="s">
        <v>1275</v>
      </c>
      <c r="H1211" s="1" t="s">
        <v>1275</v>
      </c>
      <c r="I1211" s="1" t="s">
        <v>130</v>
      </c>
      <c r="J1211" s="30">
        <v>10</v>
      </c>
      <c r="K1211" s="30">
        <v>25750</v>
      </c>
      <c r="L1211" s="31">
        <v>257500</v>
      </c>
      <c r="M1211" s="1" t="s">
        <v>16</v>
      </c>
      <c r="N1211" s="1" t="s">
        <v>17</v>
      </c>
      <c r="O1211" s="1" t="s">
        <v>2057</v>
      </c>
      <c r="P1211" s="1" t="s">
        <v>2056</v>
      </c>
      <c r="Q1211" s="1" t="s">
        <v>546</v>
      </c>
      <c r="R1211" s="1">
        <f t="shared" si="18"/>
        <v>3</v>
      </c>
      <c r="S1211" s="4">
        <f>J1211*K1211*M1211</f>
        <v>20600</v>
      </c>
    </row>
    <row r="1212" spans="1:19" ht="43" hidden="1" customHeight="1">
      <c r="A1212" s="1" t="s">
        <v>2280</v>
      </c>
      <c r="B1212" s="1" t="s">
        <v>1467</v>
      </c>
      <c r="C1212" s="29">
        <v>45928.732318564798</v>
      </c>
      <c r="D1212" s="1" t="s">
        <v>3052</v>
      </c>
      <c r="E1212" s="1" t="s">
        <v>3053</v>
      </c>
      <c r="F1212" s="1">
        <v>70</v>
      </c>
      <c r="G1212" s="12" t="s">
        <v>1275</v>
      </c>
      <c r="H1212" s="1" t="s">
        <v>1275</v>
      </c>
      <c r="I1212" s="1" t="s">
        <v>130</v>
      </c>
      <c r="J1212" s="30">
        <v>12</v>
      </c>
      <c r="K1212" s="30">
        <v>18000</v>
      </c>
      <c r="L1212" s="31">
        <v>216000</v>
      </c>
      <c r="M1212" s="1" t="s">
        <v>16</v>
      </c>
      <c r="N1212" s="1" t="s">
        <v>17</v>
      </c>
      <c r="O1212" s="1" t="s">
        <v>2057</v>
      </c>
      <c r="P1212" s="1" t="s">
        <v>2056</v>
      </c>
      <c r="Q1212" s="1" t="s">
        <v>546</v>
      </c>
      <c r="R1212" s="1">
        <f t="shared" si="18"/>
        <v>3</v>
      </c>
      <c r="S1212" s="4">
        <f>J1212*K1212*M1212</f>
        <v>17280</v>
      </c>
    </row>
    <row r="1213" spans="1:19" ht="43" hidden="1" customHeight="1">
      <c r="A1213" s="1" t="s">
        <v>2072</v>
      </c>
      <c r="B1213" s="1" t="s">
        <v>1294</v>
      </c>
      <c r="C1213" s="29">
        <v>46021.613942164397</v>
      </c>
      <c r="D1213" s="1" t="s">
        <v>3052</v>
      </c>
      <c r="E1213" s="1" t="s">
        <v>3053</v>
      </c>
      <c r="F1213" s="1">
        <v>74</v>
      </c>
      <c r="G1213" s="12" t="s">
        <v>1492</v>
      </c>
      <c r="H1213" s="1" t="s">
        <v>1492</v>
      </c>
      <c r="I1213" s="1" t="s">
        <v>130</v>
      </c>
      <c r="J1213" s="30">
        <v>35</v>
      </c>
      <c r="K1213" s="30">
        <v>50000</v>
      </c>
      <c r="L1213" s="31">
        <v>1750000</v>
      </c>
      <c r="M1213" s="1" t="s">
        <v>16</v>
      </c>
      <c r="N1213" s="1" t="s">
        <v>17</v>
      </c>
      <c r="O1213" s="1" t="s">
        <v>2057</v>
      </c>
      <c r="P1213" s="1" t="s">
        <v>2056</v>
      </c>
      <c r="Q1213" s="1" t="s">
        <v>1474</v>
      </c>
      <c r="R1213" s="1">
        <f t="shared" si="18"/>
        <v>4</v>
      </c>
      <c r="S1213" s="4">
        <f>J1213*K1213*M1213</f>
        <v>140000</v>
      </c>
    </row>
    <row r="1214" spans="1:19" ht="43" hidden="1" customHeight="1">
      <c r="A1214" s="1" t="s">
        <v>2280</v>
      </c>
      <c r="B1214" s="1" t="s">
        <v>1467</v>
      </c>
      <c r="C1214" s="29">
        <v>45928.732318564798</v>
      </c>
      <c r="D1214" s="1" t="s">
        <v>3052</v>
      </c>
      <c r="E1214" s="1" t="s">
        <v>3053</v>
      </c>
      <c r="F1214" s="1">
        <v>50</v>
      </c>
      <c r="G1214" s="12" t="s">
        <v>1256</v>
      </c>
      <c r="H1214" s="1" t="s">
        <v>1256</v>
      </c>
      <c r="I1214" s="1" t="s">
        <v>130</v>
      </c>
      <c r="J1214" s="30">
        <v>4</v>
      </c>
      <c r="K1214" s="30">
        <v>70000</v>
      </c>
      <c r="L1214" s="31">
        <v>280000</v>
      </c>
      <c r="M1214" s="1" t="s">
        <v>16</v>
      </c>
      <c r="N1214" s="1" t="s">
        <v>17</v>
      </c>
      <c r="O1214" s="1" t="s">
        <v>2057</v>
      </c>
      <c r="P1214" s="1" t="s">
        <v>2056</v>
      </c>
      <c r="Q1214" s="1" t="s">
        <v>546</v>
      </c>
      <c r="R1214" s="1">
        <f t="shared" si="18"/>
        <v>3</v>
      </c>
      <c r="S1214" s="4">
        <f>J1214*K1214*M1214</f>
        <v>22400</v>
      </c>
    </row>
    <row r="1215" spans="1:19" ht="43" hidden="1" customHeight="1">
      <c r="A1215" s="1" t="s">
        <v>2280</v>
      </c>
      <c r="B1215" s="1" t="s">
        <v>91</v>
      </c>
      <c r="C1215" s="29">
        <v>45899.644512638901</v>
      </c>
      <c r="D1215" s="1" t="s">
        <v>3052</v>
      </c>
      <c r="E1215" s="1" t="s">
        <v>3053</v>
      </c>
      <c r="F1215" s="1">
        <v>17</v>
      </c>
      <c r="G1215" s="12" t="s">
        <v>1256</v>
      </c>
      <c r="H1215" s="1" t="s">
        <v>1256</v>
      </c>
      <c r="I1215" s="1" t="s">
        <v>130</v>
      </c>
      <c r="J1215" s="30">
        <v>10</v>
      </c>
      <c r="K1215" s="30">
        <v>260000</v>
      </c>
      <c r="L1215" s="31">
        <v>2600000</v>
      </c>
      <c r="M1215" s="1" t="s">
        <v>16</v>
      </c>
      <c r="N1215" s="1" t="s">
        <v>17</v>
      </c>
      <c r="O1215" s="1" t="s">
        <v>2057</v>
      </c>
      <c r="P1215" s="1" t="s">
        <v>2056</v>
      </c>
      <c r="Q1215" s="1" t="s">
        <v>636</v>
      </c>
      <c r="R1215" s="1">
        <f t="shared" si="18"/>
        <v>3</v>
      </c>
      <c r="S1215" s="4">
        <f>J1215*K1215*M1215</f>
        <v>208000</v>
      </c>
    </row>
    <row r="1216" spans="1:19" ht="43" hidden="1" customHeight="1">
      <c r="A1216" s="1" t="s">
        <v>2280</v>
      </c>
      <c r="B1216" s="1" t="s">
        <v>1262</v>
      </c>
      <c r="C1216" s="29">
        <v>45838.622051655097</v>
      </c>
      <c r="D1216" s="1" t="s">
        <v>3052</v>
      </c>
      <c r="E1216" s="1" t="s">
        <v>3053</v>
      </c>
      <c r="F1216" s="1">
        <v>7</v>
      </c>
      <c r="G1216" s="12" t="s">
        <v>1256</v>
      </c>
      <c r="H1216" s="1" t="s">
        <v>1256</v>
      </c>
      <c r="I1216" s="1" t="s">
        <v>130</v>
      </c>
      <c r="J1216" s="30">
        <v>5</v>
      </c>
      <c r="K1216" s="30">
        <v>150000</v>
      </c>
      <c r="L1216" s="31">
        <v>750000</v>
      </c>
      <c r="M1216" s="1" t="s">
        <v>30</v>
      </c>
      <c r="N1216" s="1" t="s">
        <v>17</v>
      </c>
      <c r="O1216" s="1" t="s">
        <v>2057</v>
      </c>
      <c r="P1216" s="1" t="s">
        <v>2056</v>
      </c>
      <c r="Q1216" s="1" t="s">
        <v>828</v>
      </c>
      <c r="R1216" s="1">
        <f t="shared" si="18"/>
        <v>2</v>
      </c>
      <c r="S1216" s="4">
        <f>J1216*K1216*M1216</f>
        <v>75000</v>
      </c>
    </row>
    <row r="1217" spans="1:19" ht="43" hidden="1" customHeight="1">
      <c r="A1217" s="1" t="s">
        <v>2280</v>
      </c>
      <c r="B1217" s="1" t="s">
        <v>1295</v>
      </c>
      <c r="C1217" s="29">
        <v>45807.7287575347</v>
      </c>
      <c r="D1217" s="1" t="s">
        <v>3052</v>
      </c>
      <c r="E1217" s="1" t="s">
        <v>3053</v>
      </c>
      <c r="F1217" s="1">
        <v>5</v>
      </c>
      <c r="G1217" s="12" t="s">
        <v>1256</v>
      </c>
      <c r="H1217" s="1" t="s">
        <v>1256</v>
      </c>
      <c r="I1217" s="1" t="s">
        <v>130</v>
      </c>
      <c r="J1217" s="30">
        <v>4</v>
      </c>
      <c r="K1217" s="30">
        <v>50000</v>
      </c>
      <c r="L1217" s="31">
        <v>200000</v>
      </c>
      <c r="M1217" s="1" t="s">
        <v>16</v>
      </c>
      <c r="N1217" s="1" t="s">
        <v>17</v>
      </c>
      <c r="O1217" s="1" t="s">
        <v>2057</v>
      </c>
      <c r="P1217" s="1" t="s">
        <v>2056</v>
      </c>
      <c r="Q1217" s="1" t="s">
        <v>925</v>
      </c>
      <c r="R1217" s="1">
        <f t="shared" si="18"/>
        <v>2</v>
      </c>
      <c r="S1217" s="4">
        <f>J1217*K1217*M1217</f>
        <v>16000</v>
      </c>
    </row>
    <row r="1218" spans="1:19" ht="43" hidden="1" customHeight="1">
      <c r="A1218" s="1" t="s">
        <v>2280</v>
      </c>
      <c r="B1218" s="1" t="s">
        <v>91</v>
      </c>
      <c r="C1218" s="29">
        <v>45899.644512638901</v>
      </c>
      <c r="D1218" s="1" t="s">
        <v>3052</v>
      </c>
      <c r="E1218" s="1" t="s">
        <v>3053</v>
      </c>
      <c r="F1218" s="1">
        <v>4</v>
      </c>
      <c r="G1218" s="12" t="s">
        <v>1492</v>
      </c>
      <c r="H1218" s="1" t="s">
        <v>1655</v>
      </c>
      <c r="I1218" s="1" t="s">
        <v>130</v>
      </c>
      <c r="J1218" s="30">
        <v>10</v>
      </c>
      <c r="K1218" s="30">
        <v>70000</v>
      </c>
      <c r="L1218" s="31">
        <v>700000</v>
      </c>
      <c r="M1218" s="1" t="s">
        <v>16</v>
      </c>
      <c r="N1218" s="1" t="s">
        <v>17</v>
      </c>
      <c r="O1218" s="1" t="s">
        <v>2057</v>
      </c>
      <c r="P1218" s="1" t="s">
        <v>2056</v>
      </c>
      <c r="Q1218" s="1" t="s">
        <v>636</v>
      </c>
      <c r="R1218" s="1">
        <f t="shared" si="18"/>
        <v>3</v>
      </c>
      <c r="S1218" s="4">
        <f>J1218*K1218*M1218</f>
        <v>56000</v>
      </c>
    </row>
    <row r="1219" spans="1:19" ht="43" hidden="1" customHeight="1">
      <c r="A1219" s="1" t="s">
        <v>2072</v>
      </c>
      <c r="B1219" s="1" t="s">
        <v>20</v>
      </c>
      <c r="C1219" s="29">
        <v>46021.446857789299</v>
      </c>
      <c r="D1219" s="1" t="s">
        <v>3058</v>
      </c>
      <c r="E1219" s="1" t="s">
        <v>3059</v>
      </c>
      <c r="F1219" s="1">
        <v>2</v>
      </c>
      <c r="G1219" s="12" t="s">
        <v>1496</v>
      </c>
      <c r="H1219" s="1" t="s">
        <v>1496</v>
      </c>
      <c r="I1219" s="1" t="s">
        <v>130</v>
      </c>
      <c r="J1219" s="30">
        <v>12</v>
      </c>
      <c r="K1219" s="30">
        <v>70000</v>
      </c>
      <c r="L1219" s="31">
        <v>840000</v>
      </c>
      <c r="M1219" s="1" t="s">
        <v>16</v>
      </c>
      <c r="N1219" s="1" t="s">
        <v>17</v>
      </c>
      <c r="O1219" s="1" t="s">
        <v>2057</v>
      </c>
      <c r="P1219" s="1" t="s">
        <v>2056</v>
      </c>
      <c r="Q1219" s="1" t="s">
        <v>1474</v>
      </c>
      <c r="R1219" s="1">
        <f t="shared" ref="R1219:R1282" si="19">ROUNDUP(MONTH(Q1219)/3,0)</f>
        <v>4</v>
      </c>
      <c r="S1219" s="4">
        <f>J1219*K1219*M1219</f>
        <v>67200</v>
      </c>
    </row>
    <row r="1220" spans="1:19" ht="43" hidden="1" customHeight="1">
      <c r="A1220" s="1" t="s">
        <v>2280</v>
      </c>
      <c r="B1220" s="1" t="s">
        <v>1467</v>
      </c>
      <c r="C1220" s="29">
        <v>45928.732318564798</v>
      </c>
      <c r="D1220" s="1" t="s">
        <v>3052</v>
      </c>
      <c r="E1220" s="1" t="s">
        <v>3053</v>
      </c>
      <c r="F1220" s="1">
        <v>30</v>
      </c>
      <c r="G1220" s="12" t="s">
        <v>1496</v>
      </c>
      <c r="H1220" s="1" t="s">
        <v>1496</v>
      </c>
      <c r="I1220" s="1" t="s">
        <v>130</v>
      </c>
      <c r="J1220" s="30">
        <v>10</v>
      </c>
      <c r="K1220" s="30">
        <v>75000</v>
      </c>
      <c r="L1220" s="31">
        <v>750000</v>
      </c>
      <c r="M1220" s="1" t="s">
        <v>16</v>
      </c>
      <c r="N1220" s="1" t="s">
        <v>17</v>
      </c>
      <c r="O1220" s="1" t="s">
        <v>2057</v>
      </c>
      <c r="P1220" s="1" t="s">
        <v>2056</v>
      </c>
      <c r="Q1220" s="1" t="s">
        <v>546</v>
      </c>
      <c r="R1220" s="1">
        <f t="shared" si="19"/>
        <v>3</v>
      </c>
      <c r="S1220" s="4">
        <f>J1220*K1220*M1220</f>
        <v>60000</v>
      </c>
    </row>
    <row r="1221" spans="1:19" ht="43" hidden="1" customHeight="1">
      <c r="A1221" s="1" t="s">
        <v>2280</v>
      </c>
      <c r="B1221" s="1" t="s">
        <v>1467</v>
      </c>
      <c r="C1221" s="29">
        <v>45928.732318564798</v>
      </c>
      <c r="D1221" s="1" t="s">
        <v>3052</v>
      </c>
      <c r="E1221" s="1" t="s">
        <v>3053</v>
      </c>
      <c r="F1221" s="1">
        <v>68</v>
      </c>
      <c r="G1221" s="12" t="s">
        <v>1496</v>
      </c>
      <c r="H1221" s="1" t="s">
        <v>1496</v>
      </c>
      <c r="I1221" s="1" t="s">
        <v>130</v>
      </c>
      <c r="J1221" s="30">
        <v>6</v>
      </c>
      <c r="K1221" s="30">
        <v>82000</v>
      </c>
      <c r="L1221" s="31">
        <v>492000</v>
      </c>
      <c r="M1221" s="1" t="s">
        <v>16</v>
      </c>
      <c r="N1221" s="1" t="s">
        <v>17</v>
      </c>
      <c r="O1221" s="1" t="s">
        <v>2057</v>
      </c>
      <c r="P1221" s="1" t="s">
        <v>2056</v>
      </c>
      <c r="Q1221" s="1" t="s">
        <v>546</v>
      </c>
      <c r="R1221" s="1">
        <f t="shared" si="19"/>
        <v>3</v>
      </c>
      <c r="S1221" s="4">
        <f>J1221*K1221*M1221</f>
        <v>39360</v>
      </c>
    </row>
    <row r="1222" spans="1:19" ht="43" hidden="1" customHeight="1">
      <c r="A1222" s="1" t="s">
        <v>2280</v>
      </c>
      <c r="B1222" s="1" t="s">
        <v>91</v>
      </c>
      <c r="C1222" s="29">
        <v>45899.644512638901</v>
      </c>
      <c r="D1222" s="1" t="s">
        <v>3052</v>
      </c>
      <c r="E1222" s="1" t="s">
        <v>3053</v>
      </c>
      <c r="F1222" s="1">
        <v>10</v>
      </c>
      <c r="G1222" s="12" t="s">
        <v>1496</v>
      </c>
      <c r="H1222" s="1" t="s">
        <v>1496</v>
      </c>
      <c r="I1222" s="1" t="s">
        <v>130</v>
      </c>
      <c r="J1222" s="30">
        <v>3</v>
      </c>
      <c r="K1222" s="30">
        <v>320000</v>
      </c>
      <c r="L1222" s="31">
        <v>960000</v>
      </c>
      <c r="M1222" s="1" t="s">
        <v>16</v>
      </c>
      <c r="N1222" s="1" t="s">
        <v>17</v>
      </c>
      <c r="O1222" s="1" t="s">
        <v>2057</v>
      </c>
      <c r="P1222" s="1" t="s">
        <v>2056</v>
      </c>
      <c r="Q1222" s="1" t="s">
        <v>636</v>
      </c>
      <c r="R1222" s="1">
        <f t="shared" si="19"/>
        <v>3</v>
      </c>
      <c r="S1222" s="4">
        <f>J1222*K1222*M1222</f>
        <v>76800</v>
      </c>
    </row>
    <row r="1223" spans="1:19" ht="43" hidden="1" customHeight="1">
      <c r="A1223" s="1" t="s">
        <v>2280</v>
      </c>
      <c r="B1223" s="1" t="s">
        <v>1262</v>
      </c>
      <c r="C1223" s="29">
        <v>45838.622051655097</v>
      </c>
      <c r="D1223" s="1" t="s">
        <v>3052</v>
      </c>
      <c r="E1223" s="1" t="s">
        <v>3053</v>
      </c>
      <c r="F1223" s="1">
        <v>8</v>
      </c>
      <c r="G1223" s="12" t="s">
        <v>1496</v>
      </c>
      <c r="H1223" s="1" t="s">
        <v>1496</v>
      </c>
      <c r="I1223" s="1" t="s">
        <v>130</v>
      </c>
      <c r="J1223" s="30">
        <v>5</v>
      </c>
      <c r="K1223" s="30">
        <v>135000</v>
      </c>
      <c r="L1223" s="31">
        <v>675000</v>
      </c>
      <c r="M1223" s="1" t="s">
        <v>30</v>
      </c>
      <c r="N1223" s="1" t="s">
        <v>17</v>
      </c>
      <c r="O1223" s="1" t="s">
        <v>2057</v>
      </c>
      <c r="P1223" s="1" t="s">
        <v>2056</v>
      </c>
      <c r="Q1223" s="1" t="s">
        <v>828</v>
      </c>
      <c r="R1223" s="1">
        <f t="shared" si="19"/>
        <v>2</v>
      </c>
      <c r="S1223" s="4">
        <f>J1223*K1223*M1223</f>
        <v>67500</v>
      </c>
    </row>
    <row r="1224" spans="1:19" ht="43" hidden="1" customHeight="1">
      <c r="A1224" s="1" t="s">
        <v>2072</v>
      </c>
      <c r="B1224" s="1" t="s">
        <v>1294</v>
      </c>
      <c r="C1224" s="29">
        <v>46021.613942164397</v>
      </c>
      <c r="D1224" s="1" t="s">
        <v>3052</v>
      </c>
      <c r="E1224" s="1" t="s">
        <v>3053</v>
      </c>
      <c r="F1224" s="1">
        <v>56</v>
      </c>
      <c r="G1224" s="12" t="s">
        <v>644</v>
      </c>
      <c r="H1224" s="1" t="s">
        <v>644</v>
      </c>
      <c r="I1224" s="1" t="s">
        <v>130</v>
      </c>
      <c r="J1224" s="30">
        <v>20</v>
      </c>
      <c r="K1224" s="30">
        <v>25000</v>
      </c>
      <c r="L1224" s="31">
        <v>500000</v>
      </c>
      <c r="M1224" s="1" t="s">
        <v>16</v>
      </c>
      <c r="N1224" s="1" t="s">
        <v>17</v>
      </c>
      <c r="O1224" s="1" t="s">
        <v>2057</v>
      </c>
      <c r="P1224" s="1" t="s">
        <v>2056</v>
      </c>
      <c r="Q1224" s="1" t="s">
        <v>1474</v>
      </c>
      <c r="R1224" s="1">
        <f t="shared" si="19"/>
        <v>4</v>
      </c>
      <c r="S1224" s="4">
        <f>J1224*K1224*M1224</f>
        <v>40000</v>
      </c>
    </row>
    <row r="1225" spans="1:19" ht="43" hidden="1" customHeight="1">
      <c r="A1225" s="1" t="s">
        <v>2072</v>
      </c>
      <c r="B1225" s="1" t="s">
        <v>146</v>
      </c>
      <c r="C1225" s="29">
        <v>46020.386763703696</v>
      </c>
      <c r="D1225" s="1" t="s">
        <v>3052</v>
      </c>
      <c r="E1225" s="1" t="s">
        <v>3053</v>
      </c>
      <c r="F1225" s="1">
        <v>8</v>
      </c>
      <c r="G1225" s="12" t="s">
        <v>644</v>
      </c>
      <c r="H1225" s="1" t="s">
        <v>644</v>
      </c>
      <c r="I1225" s="1" t="s">
        <v>130</v>
      </c>
      <c r="J1225" s="30">
        <v>10</v>
      </c>
      <c r="K1225" s="30">
        <v>30000</v>
      </c>
      <c r="L1225" s="31">
        <v>300000</v>
      </c>
      <c r="M1225" s="1" t="s">
        <v>16</v>
      </c>
      <c r="N1225" s="1" t="s">
        <v>17</v>
      </c>
      <c r="O1225" s="1" t="s">
        <v>2057</v>
      </c>
      <c r="P1225" s="1" t="s">
        <v>2056</v>
      </c>
      <c r="Q1225" s="1" t="s">
        <v>275</v>
      </c>
      <c r="R1225" s="1">
        <f t="shared" si="19"/>
        <v>4</v>
      </c>
      <c r="S1225" s="4">
        <f>J1225*K1225*M1225</f>
        <v>24000</v>
      </c>
    </row>
    <row r="1226" spans="1:19" ht="43" hidden="1" customHeight="1">
      <c r="A1226" s="1" t="s">
        <v>2280</v>
      </c>
      <c r="B1226" s="1" t="s">
        <v>326</v>
      </c>
      <c r="C1226" s="29">
        <v>45960.658345080999</v>
      </c>
      <c r="D1226" s="1" t="s">
        <v>3052</v>
      </c>
      <c r="E1226" s="1" t="s">
        <v>3053</v>
      </c>
      <c r="F1226" s="1">
        <v>17</v>
      </c>
      <c r="G1226" s="12" t="s">
        <v>644</v>
      </c>
      <c r="H1226" s="1" t="s">
        <v>644</v>
      </c>
      <c r="I1226" s="1" t="s">
        <v>130</v>
      </c>
      <c r="J1226" s="30">
        <v>3</v>
      </c>
      <c r="K1226" s="30">
        <v>30000</v>
      </c>
      <c r="L1226" s="31">
        <v>90000</v>
      </c>
      <c r="M1226" s="1" t="s">
        <v>16</v>
      </c>
      <c r="N1226" s="1" t="s">
        <v>17</v>
      </c>
      <c r="O1226" s="1" t="s">
        <v>2057</v>
      </c>
      <c r="P1226" s="1" t="s">
        <v>2056</v>
      </c>
      <c r="Q1226" s="1" t="s">
        <v>533</v>
      </c>
      <c r="R1226" s="1">
        <f t="shared" si="19"/>
        <v>4</v>
      </c>
      <c r="S1226" s="4">
        <f>J1226*K1226*M1226</f>
        <v>7200</v>
      </c>
    </row>
    <row r="1227" spans="1:19" ht="43" hidden="1" customHeight="1">
      <c r="A1227" s="1" t="s">
        <v>2280</v>
      </c>
      <c r="B1227" s="1" t="s">
        <v>1462</v>
      </c>
      <c r="C1227" s="29">
        <v>45928.944135983802</v>
      </c>
      <c r="D1227" s="1" t="s">
        <v>3052</v>
      </c>
      <c r="E1227" s="1" t="s">
        <v>3053</v>
      </c>
      <c r="F1227" s="1">
        <v>30</v>
      </c>
      <c r="G1227" s="12" t="s">
        <v>644</v>
      </c>
      <c r="H1227" s="1" t="s">
        <v>644</v>
      </c>
      <c r="I1227" s="1" t="s">
        <v>130</v>
      </c>
      <c r="J1227" s="30">
        <v>2</v>
      </c>
      <c r="K1227" s="30">
        <v>35000</v>
      </c>
      <c r="L1227" s="31">
        <v>70000</v>
      </c>
      <c r="M1227" s="1" t="s">
        <v>16</v>
      </c>
      <c r="N1227" s="1" t="s">
        <v>17</v>
      </c>
      <c r="O1227" s="1" t="s">
        <v>2057</v>
      </c>
      <c r="P1227" s="1" t="s">
        <v>2056</v>
      </c>
      <c r="Q1227" s="1" t="s">
        <v>546</v>
      </c>
      <c r="R1227" s="1">
        <f t="shared" si="19"/>
        <v>3</v>
      </c>
      <c r="S1227" s="4">
        <f>J1227*K1227*M1227</f>
        <v>5600</v>
      </c>
    </row>
    <row r="1228" spans="1:19" ht="43" hidden="1" customHeight="1">
      <c r="A1228" s="1" t="s">
        <v>2280</v>
      </c>
      <c r="B1228" s="1" t="s">
        <v>1467</v>
      </c>
      <c r="C1228" s="29">
        <v>45928.732318564798</v>
      </c>
      <c r="D1228" s="1" t="s">
        <v>3052</v>
      </c>
      <c r="E1228" s="1" t="s">
        <v>3053</v>
      </c>
      <c r="F1228" s="1">
        <v>15</v>
      </c>
      <c r="G1228" s="12" t="s">
        <v>644</v>
      </c>
      <c r="H1228" s="1" t="s">
        <v>644</v>
      </c>
      <c r="I1228" s="1" t="s">
        <v>130</v>
      </c>
      <c r="J1228" s="30">
        <v>12</v>
      </c>
      <c r="K1228" s="30">
        <v>20000</v>
      </c>
      <c r="L1228" s="31">
        <v>240000</v>
      </c>
      <c r="M1228" s="1" t="s">
        <v>16</v>
      </c>
      <c r="N1228" s="1" t="s">
        <v>17</v>
      </c>
      <c r="O1228" s="1" t="s">
        <v>2057</v>
      </c>
      <c r="P1228" s="1" t="s">
        <v>2056</v>
      </c>
      <c r="Q1228" s="1" t="s">
        <v>546</v>
      </c>
      <c r="R1228" s="1">
        <f t="shared" si="19"/>
        <v>3</v>
      </c>
      <c r="S1228" s="4">
        <f>J1228*K1228*M1228</f>
        <v>19200</v>
      </c>
    </row>
    <row r="1229" spans="1:19" ht="43" hidden="1" customHeight="1">
      <c r="A1229" s="1" t="s">
        <v>2280</v>
      </c>
      <c r="B1229" s="1" t="s">
        <v>1412</v>
      </c>
      <c r="C1229" s="29">
        <v>45898.896986157401</v>
      </c>
      <c r="D1229" s="1" t="s">
        <v>3052</v>
      </c>
      <c r="E1229" s="1" t="s">
        <v>3053</v>
      </c>
      <c r="F1229" s="1">
        <v>52</v>
      </c>
      <c r="G1229" s="12" t="s">
        <v>644</v>
      </c>
      <c r="H1229" s="1" t="s">
        <v>644</v>
      </c>
      <c r="I1229" s="1" t="s">
        <v>130</v>
      </c>
      <c r="J1229" s="30">
        <v>10</v>
      </c>
      <c r="K1229" s="30">
        <v>8000</v>
      </c>
      <c r="L1229" s="31">
        <v>80000</v>
      </c>
      <c r="M1229" s="1" t="s">
        <v>16</v>
      </c>
      <c r="N1229" s="1" t="s">
        <v>17</v>
      </c>
      <c r="O1229" s="1" t="s">
        <v>2057</v>
      </c>
      <c r="P1229" s="1" t="s">
        <v>2056</v>
      </c>
      <c r="Q1229" s="1" t="s">
        <v>652</v>
      </c>
      <c r="R1229" s="1">
        <f t="shared" si="19"/>
        <v>3</v>
      </c>
      <c r="S1229" s="4">
        <f>J1229*K1229*M1229</f>
        <v>6400</v>
      </c>
    </row>
    <row r="1230" spans="1:19" ht="43" hidden="1" customHeight="1">
      <c r="A1230" s="1" t="s">
        <v>2280</v>
      </c>
      <c r="B1230" s="1" t="s">
        <v>1422</v>
      </c>
      <c r="C1230" s="29">
        <v>45864.4394789699</v>
      </c>
      <c r="D1230" s="1" t="s">
        <v>3058</v>
      </c>
      <c r="E1230" s="1" t="s">
        <v>3059</v>
      </c>
      <c r="F1230" s="1">
        <v>3</v>
      </c>
      <c r="G1230" s="12" t="s">
        <v>644</v>
      </c>
      <c r="H1230" s="1" t="s">
        <v>644</v>
      </c>
      <c r="I1230" s="1" t="s">
        <v>53</v>
      </c>
      <c r="J1230" s="30">
        <v>2</v>
      </c>
      <c r="K1230" s="30">
        <v>30000</v>
      </c>
      <c r="L1230" s="31">
        <v>60000</v>
      </c>
      <c r="M1230" s="1" t="s">
        <v>16</v>
      </c>
      <c r="N1230" s="1" t="s">
        <v>17</v>
      </c>
      <c r="O1230" s="1" t="s">
        <v>2057</v>
      </c>
      <c r="P1230" s="1" t="s">
        <v>2056</v>
      </c>
      <c r="Q1230" s="1" t="s">
        <v>1785</v>
      </c>
      <c r="R1230" s="1">
        <f t="shared" si="19"/>
        <v>3</v>
      </c>
      <c r="S1230" s="4">
        <f>J1230*K1230*M1230</f>
        <v>4800</v>
      </c>
    </row>
    <row r="1231" spans="1:19" ht="43" hidden="1" customHeight="1">
      <c r="A1231" s="1" t="s">
        <v>2280</v>
      </c>
      <c r="B1231" s="1" t="s">
        <v>152</v>
      </c>
      <c r="C1231" s="29">
        <v>45836.413450243097</v>
      </c>
      <c r="D1231" s="1" t="s">
        <v>3052</v>
      </c>
      <c r="E1231" s="1" t="s">
        <v>3053</v>
      </c>
      <c r="F1231" s="1">
        <v>21</v>
      </c>
      <c r="G1231" s="12" t="s">
        <v>644</v>
      </c>
      <c r="H1231" s="1" t="s">
        <v>644</v>
      </c>
      <c r="I1231" s="1" t="s">
        <v>130</v>
      </c>
      <c r="J1231" s="30">
        <v>2</v>
      </c>
      <c r="K1231" s="30">
        <v>40000</v>
      </c>
      <c r="L1231" s="31">
        <v>80000</v>
      </c>
      <c r="M1231" s="1" t="s">
        <v>16</v>
      </c>
      <c r="N1231" s="1" t="s">
        <v>17</v>
      </c>
      <c r="O1231" s="1" t="s">
        <v>2057</v>
      </c>
      <c r="P1231" s="1" t="s">
        <v>2056</v>
      </c>
      <c r="Q1231" s="1" t="s">
        <v>845</v>
      </c>
      <c r="R1231" s="1">
        <f t="shared" si="19"/>
        <v>2</v>
      </c>
      <c r="S1231" s="4">
        <f>J1231*K1231*M1231</f>
        <v>6400</v>
      </c>
    </row>
    <row r="1232" spans="1:19" ht="43" hidden="1" customHeight="1">
      <c r="A1232" s="1" t="s">
        <v>2072</v>
      </c>
      <c r="B1232" s="1" t="s">
        <v>84</v>
      </c>
      <c r="C1232" s="29">
        <v>46019.5634834722</v>
      </c>
      <c r="F1232" s="1">
        <v>2</v>
      </c>
      <c r="G1232" s="12" t="s">
        <v>1506</v>
      </c>
      <c r="H1232" s="1" t="s">
        <v>1506</v>
      </c>
      <c r="I1232" s="1" t="s">
        <v>173</v>
      </c>
      <c r="J1232" s="30">
        <v>1</v>
      </c>
      <c r="K1232" s="30">
        <v>573000</v>
      </c>
      <c r="L1232" s="31">
        <v>573000</v>
      </c>
      <c r="M1232" s="1" t="s">
        <v>16</v>
      </c>
      <c r="N1232" s="1" t="s">
        <v>17</v>
      </c>
      <c r="O1232" s="1" t="s">
        <v>2057</v>
      </c>
      <c r="P1232" s="1" t="s">
        <v>2056</v>
      </c>
      <c r="Q1232" s="1" t="s">
        <v>260</v>
      </c>
      <c r="R1232" s="1">
        <f t="shared" si="19"/>
        <v>4</v>
      </c>
      <c r="S1232" s="4">
        <f>J1232*K1232*M1232</f>
        <v>45840</v>
      </c>
    </row>
    <row r="1233" spans="1:19" ht="43" hidden="1" customHeight="1">
      <c r="A1233" s="1" t="s">
        <v>2280</v>
      </c>
      <c r="B1233" s="1" t="s">
        <v>120</v>
      </c>
      <c r="C1233" s="29">
        <v>45838.621748888901</v>
      </c>
      <c r="D1233" s="1" t="s">
        <v>3052</v>
      </c>
      <c r="E1233" s="1" t="s">
        <v>3053</v>
      </c>
      <c r="F1233" s="1">
        <v>37</v>
      </c>
      <c r="G1233" s="12" t="s">
        <v>1837</v>
      </c>
      <c r="H1233" s="1" t="s">
        <v>1837</v>
      </c>
      <c r="I1233" s="1" t="s">
        <v>130</v>
      </c>
      <c r="J1233" s="30">
        <v>1</v>
      </c>
      <c r="K1233" s="30">
        <v>28000000</v>
      </c>
      <c r="L1233" s="31">
        <v>28000000</v>
      </c>
      <c r="M1233" s="1" t="s">
        <v>16</v>
      </c>
      <c r="N1233" s="1" t="s">
        <v>17</v>
      </c>
      <c r="O1233" s="1" t="s">
        <v>2057</v>
      </c>
      <c r="P1233" s="1" t="s">
        <v>2056</v>
      </c>
      <c r="Q1233" s="1" t="s">
        <v>828</v>
      </c>
      <c r="R1233" s="1">
        <f t="shared" si="19"/>
        <v>2</v>
      </c>
      <c r="S1233" s="4">
        <f>J1233*K1233*M1233</f>
        <v>2240000</v>
      </c>
    </row>
    <row r="1234" spans="1:19" ht="43" hidden="1" customHeight="1">
      <c r="A1234" s="1" t="s">
        <v>2072</v>
      </c>
      <c r="B1234" s="1" t="s">
        <v>1226</v>
      </c>
      <c r="C1234" s="29">
        <v>46011.8318799884</v>
      </c>
      <c r="F1234" s="1">
        <v>1</v>
      </c>
      <c r="G1234" s="12" t="s">
        <v>1363</v>
      </c>
      <c r="H1234" s="1" t="s">
        <v>59</v>
      </c>
      <c r="I1234" s="1" t="s">
        <v>71</v>
      </c>
      <c r="J1234" s="30">
        <v>1</v>
      </c>
      <c r="K1234" s="30">
        <v>45455</v>
      </c>
      <c r="L1234" s="31">
        <v>45455</v>
      </c>
      <c r="M1234" s="1" t="s">
        <v>30</v>
      </c>
      <c r="N1234" s="1" t="s">
        <v>17</v>
      </c>
      <c r="O1234" s="1" t="s">
        <v>2057</v>
      </c>
      <c r="P1234" s="1" t="s">
        <v>2056</v>
      </c>
      <c r="Q1234" s="1" t="s">
        <v>1473</v>
      </c>
      <c r="R1234" s="1">
        <f t="shared" si="19"/>
        <v>4</v>
      </c>
      <c r="S1234" s="4">
        <f>J1234*K1234*M1234</f>
        <v>4545.5</v>
      </c>
    </row>
    <row r="1235" spans="1:19" ht="43" hidden="1" customHeight="1">
      <c r="A1235" s="1" t="s">
        <v>2072</v>
      </c>
      <c r="B1235" s="1" t="s">
        <v>25</v>
      </c>
      <c r="C1235" s="29">
        <v>46011.829160706002</v>
      </c>
      <c r="F1235" s="1">
        <v>1</v>
      </c>
      <c r="G1235" s="12" t="s">
        <v>1363</v>
      </c>
      <c r="H1235" s="1" t="s">
        <v>59</v>
      </c>
      <c r="I1235" s="1" t="s">
        <v>71</v>
      </c>
      <c r="J1235" s="30">
        <v>1.4</v>
      </c>
      <c r="K1235" s="30">
        <v>65000</v>
      </c>
      <c r="L1235" s="31">
        <v>91000</v>
      </c>
      <c r="M1235" s="1" t="s">
        <v>30</v>
      </c>
      <c r="N1235" s="1" t="s">
        <v>17</v>
      </c>
      <c r="O1235" s="1" t="s">
        <v>2057</v>
      </c>
      <c r="P1235" s="1" t="s">
        <v>2056</v>
      </c>
      <c r="Q1235" s="1" t="s">
        <v>1473</v>
      </c>
      <c r="R1235" s="1">
        <f t="shared" si="19"/>
        <v>4</v>
      </c>
      <c r="S1235" s="4">
        <f>J1235*K1235*M1235</f>
        <v>9100</v>
      </c>
    </row>
    <row r="1236" spans="1:19" ht="43" hidden="1" customHeight="1">
      <c r="A1236" s="1" t="s">
        <v>2072</v>
      </c>
      <c r="B1236" s="1" t="s">
        <v>1129</v>
      </c>
      <c r="C1236" s="29">
        <v>46013.848899027798</v>
      </c>
      <c r="F1236" s="1">
        <v>1</v>
      </c>
      <c r="G1236" s="12" t="s">
        <v>1363</v>
      </c>
      <c r="H1236" s="1" t="s">
        <v>59</v>
      </c>
      <c r="I1236" s="1" t="s">
        <v>71</v>
      </c>
      <c r="J1236" s="30">
        <v>40</v>
      </c>
      <c r="K1236" s="30">
        <v>41818.199999999997</v>
      </c>
      <c r="L1236" s="31">
        <v>1672728</v>
      </c>
      <c r="M1236" s="1" t="s">
        <v>30</v>
      </c>
      <c r="N1236" s="1" t="s">
        <v>17</v>
      </c>
      <c r="O1236" s="1" t="s">
        <v>2057</v>
      </c>
      <c r="P1236" s="1" t="s">
        <v>2056</v>
      </c>
      <c r="Q1236" s="1" t="s">
        <v>1508</v>
      </c>
      <c r="R1236" s="1">
        <f t="shared" si="19"/>
        <v>4</v>
      </c>
      <c r="S1236" s="4">
        <f>J1236*K1236*M1236</f>
        <v>167272.80000000002</v>
      </c>
    </row>
    <row r="1237" spans="1:19" ht="43" hidden="1" customHeight="1">
      <c r="A1237" s="1" t="s">
        <v>2072</v>
      </c>
      <c r="B1237" s="1" t="s">
        <v>136</v>
      </c>
      <c r="C1237" s="29">
        <v>46011.832275717599</v>
      </c>
      <c r="F1237" s="1">
        <v>1</v>
      </c>
      <c r="G1237" s="12" t="s">
        <v>1363</v>
      </c>
      <c r="H1237" s="1" t="s">
        <v>59</v>
      </c>
      <c r="I1237" s="1" t="s">
        <v>71</v>
      </c>
      <c r="J1237" s="30">
        <v>9.8000000000000007</v>
      </c>
      <c r="K1237" s="30">
        <v>41750</v>
      </c>
      <c r="L1237" s="31">
        <v>409150</v>
      </c>
      <c r="M1237" s="1" t="s">
        <v>30</v>
      </c>
      <c r="N1237" s="1" t="s">
        <v>17</v>
      </c>
      <c r="O1237" s="1" t="s">
        <v>2057</v>
      </c>
      <c r="P1237" s="1" t="s">
        <v>2056</v>
      </c>
      <c r="Q1237" s="1" t="s">
        <v>1473</v>
      </c>
      <c r="R1237" s="1">
        <f t="shared" si="19"/>
        <v>4</v>
      </c>
      <c r="S1237" s="4">
        <f>J1237*K1237*M1237</f>
        <v>40915.000000000007</v>
      </c>
    </row>
    <row r="1238" spans="1:19" ht="43" hidden="1" customHeight="1">
      <c r="A1238" s="1" t="s">
        <v>2072</v>
      </c>
      <c r="B1238" s="1" t="s">
        <v>33</v>
      </c>
      <c r="C1238" s="29">
        <v>46011.828179328702</v>
      </c>
      <c r="F1238" s="1">
        <v>1</v>
      </c>
      <c r="G1238" s="12" t="s">
        <v>1363</v>
      </c>
      <c r="H1238" s="1" t="s">
        <v>59</v>
      </c>
      <c r="I1238" s="1" t="s">
        <v>71</v>
      </c>
      <c r="J1238" s="30">
        <v>95</v>
      </c>
      <c r="K1238" s="30">
        <v>42106</v>
      </c>
      <c r="L1238" s="31">
        <v>4000070</v>
      </c>
      <c r="M1238" s="1" t="s">
        <v>30</v>
      </c>
      <c r="N1238" s="1" t="s">
        <v>17</v>
      </c>
      <c r="O1238" s="1" t="s">
        <v>2057</v>
      </c>
      <c r="P1238" s="1" t="s">
        <v>2056</v>
      </c>
      <c r="Q1238" s="1" t="s">
        <v>1473</v>
      </c>
      <c r="R1238" s="1">
        <f t="shared" si="19"/>
        <v>4</v>
      </c>
      <c r="S1238" s="4">
        <f>J1238*K1238*M1238</f>
        <v>400007</v>
      </c>
    </row>
    <row r="1239" spans="1:19" ht="43" hidden="1" customHeight="1">
      <c r="A1239" s="1" t="s">
        <v>2280</v>
      </c>
      <c r="B1239" s="1" t="s">
        <v>49</v>
      </c>
      <c r="C1239" s="29">
        <v>46007.706284525499</v>
      </c>
      <c r="F1239" s="1">
        <v>1</v>
      </c>
      <c r="G1239" s="12" t="s">
        <v>1363</v>
      </c>
      <c r="H1239" s="1" t="s">
        <v>59</v>
      </c>
      <c r="I1239" s="1" t="s">
        <v>71</v>
      </c>
      <c r="J1239" s="30">
        <v>6</v>
      </c>
      <c r="K1239" s="30">
        <v>42424</v>
      </c>
      <c r="L1239" s="31">
        <v>254545</v>
      </c>
      <c r="M1239" s="1" t="s">
        <v>30</v>
      </c>
      <c r="N1239" s="1" t="s">
        <v>17</v>
      </c>
      <c r="O1239" s="1" t="s">
        <v>2057</v>
      </c>
      <c r="P1239" s="1" t="s">
        <v>2056</v>
      </c>
      <c r="Q1239" s="1" t="s">
        <v>262</v>
      </c>
      <c r="R1239" s="1">
        <f t="shared" si="19"/>
        <v>4</v>
      </c>
      <c r="S1239" s="4">
        <f>J1239*K1239*M1239</f>
        <v>25454.400000000001</v>
      </c>
    </row>
    <row r="1240" spans="1:19" ht="43" hidden="1" customHeight="1">
      <c r="A1240" s="1" t="s">
        <v>2280</v>
      </c>
      <c r="B1240" s="1" t="s">
        <v>1387</v>
      </c>
      <c r="C1240" s="29">
        <v>46007.3629367014</v>
      </c>
      <c r="F1240" s="1">
        <v>1</v>
      </c>
      <c r="G1240" s="12" t="s">
        <v>1363</v>
      </c>
      <c r="H1240" s="1" t="s">
        <v>59</v>
      </c>
      <c r="I1240" s="1" t="s">
        <v>78</v>
      </c>
      <c r="J1240" s="30">
        <v>15.1</v>
      </c>
      <c r="K1240" s="30">
        <v>75000</v>
      </c>
      <c r="L1240" s="31">
        <v>1132500</v>
      </c>
      <c r="M1240" s="1" t="s">
        <v>30</v>
      </c>
      <c r="N1240" s="1" t="s">
        <v>17</v>
      </c>
      <c r="O1240" s="1" t="s">
        <v>2057</v>
      </c>
      <c r="P1240" s="1" t="s">
        <v>2056</v>
      </c>
      <c r="Q1240" s="1" t="s">
        <v>262</v>
      </c>
      <c r="R1240" s="1">
        <f t="shared" si="19"/>
        <v>4</v>
      </c>
      <c r="S1240" s="4">
        <f>J1240*K1240*M1240</f>
        <v>113250</v>
      </c>
    </row>
    <row r="1241" spans="1:19" ht="43" hidden="1" customHeight="1">
      <c r="A1241" s="1" t="s">
        <v>2280</v>
      </c>
      <c r="B1241" s="1" t="s">
        <v>1388</v>
      </c>
      <c r="C1241" s="29">
        <v>46007.361858912001</v>
      </c>
      <c r="F1241" s="1">
        <v>1</v>
      </c>
      <c r="G1241" s="12" t="s">
        <v>1363</v>
      </c>
      <c r="H1241" s="1" t="s">
        <v>59</v>
      </c>
      <c r="I1241" s="1" t="s">
        <v>78</v>
      </c>
      <c r="J1241" s="30">
        <v>41.28</v>
      </c>
      <c r="K1241" s="30">
        <v>75000</v>
      </c>
      <c r="L1241" s="31">
        <v>3096000</v>
      </c>
      <c r="M1241" s="1" t="s">
        <v>30</v>
      </c>
      <c r="N1241" s="1" t="s">
        <v>17</v>
      </c>
      <c r="O1241" s="1" t="s">
        <v>2057</v>
      </c>
      <c r="P1241" s="1" t="s">
        <v>2056</v>
      </c>
      <c r="Q1241" s="1" t="s">
        <v>262</v>
      </c>
      <c r="R1241" s="1">
        <f t="shared" si="19"/>
        <v>4</v>
      </c>
      <c r="S1241" s="4">
        <f>J1241*K1241*M1241</f>
        <v>309600</v>
      </c>
    </row>
    <row r="1242" spans="1:19" ht="43" hidden="1" customHeight="1">
      <c r="A1242" s="1" t="s">
        <v>2280</v>
      </c>
      <c r="B1242" s="1" t="s">
        <v>1242</v>
      </c>
      <c r="C1242" s="29">
        <v>45999.6123198727</v>
      </c>
      <c r="F1242" s="1">
        <v>1</v>
      </c>
      <c r="G1242" s="12" t="s">
        <v>1363</v>
      </c>
      <c r="H1242" s="1" t="s">
        <v>59</v>
      </c>
      <c r="I1242" s="1" t="s">
        <v>78</v>
      </c>
      <c r="J1242" s="30">
        <v>213.94</v>
      </c>
      <c r="K1242" s="30">
        <v>75000</v>
      </c>
      <c r="L1242" s="31">
        <v>16045500</v>
      </c>
      <c r="M1242" s="1" t="s">
        <v>30</v>
      </c>
      <c r="N1242" s="1" t="s">
        <v>17</v>
      </c>
      <c r="O1242" s="1" t="s">
        <v>2057</v>
      </c>
      <c r="P1242" s="1" t="s">
        <v>2056</v>
      </c>
      <c r="Q1242" s="1" t="s">
        <v>1528</v>
      </c>
      <c r="R1242" s="1">
        <f t="shared" si="19"/>
        <v>4</v>
      </c>
      <c r="S1242" s="4">
        <f>J1242*K1242*M1242</f>
        <v>1604550</v>
      </c>
    </row>
    <row r="1243" spans="1:19" ht="43" hidden="1" customHeight="1">
      <c r="A1243" s="1" t="s">
        <v>2280</v>
      </c>
      <c r="B1243" s="1" t="s">
        <v>1392</v>
      </c>
      <c r="C1243" s="29">
        <v>45999.612099826401</v>
      </c>
      <c r="F1243" s="1">
        <v>1</v>
      </c>
      <c r="G1243" s="12" t="s">
        <v>1363</v>
      </c>
      <c r="H1243" s="1" t="s">
        <v>59</v>
      </c>
      <c r="I1243" s="1" t="s">
        <v>78</v>
      </c>
      <c r="J1243" s="30">
        <v>153.94</v>
      </c>
      <c r="K1243" s="30">
        <v>75000</v>
      </c>
      <c r="L1243" s="31">
        <v>11545500</v>
      </c>
      <c r="M1243" s="1" t="s">
        <v>30</v>
      </c>
      <c r="N1243" s="1" t="s">
        <v>17</v>
      </c>
      <c r="O1243" s="1" t="s">
        <v>2057</v>
      </c>
      <c r="P1243" s="1" t="s">
        <v>2056</v>
      </c>
      <c r="Q1243" s="1" t="s">
        <v>1528</v>
      </c>
      <c r="R1243" s="1">
        <f t="shared" si="19"/>
        <v>4</v>
      </c>
      <c r="S1243" s="4">
        <f>J1243*K1243*M1243</f>
        <v>1154550</v>
      </c>
    </row>
    <row r="1244" spans="1:19" ht="43" hidden="1" customHeight="1">
      <c r="A1244" s="1" t="s">
        <v>2280</v>
      </c>
      <c r="B1244" s="1" t="s">
        <v>168</v>
      </c>
      <c r="C1244" s="29">
        <v>45999.611597210598</v>
      </c>
      <c r="F1244" s="1">
        <v>1</v>
      </c>
      <c r="G1244" s="12" t="s">
        <v>1363</v>
      </c>
      <c r="H1244" s="1" t="s">
        <v>59</v>
      </c>
      <c r="I1244" s="1" t="s">
        <v>78</v>
      </c>
      <c r="J1244" s="30">
        <v>69.7</v>
      </c>
      <c r="K1244" s="30">
        <v>75000</v>
      </c>
      <c r="L1244" s="31">
        <v>5227500</v>
      </c>
      <c r="M1244" s="1" t="s">
        <v>30</v>
      </c>
      <c r="N1244" s="1" t="s">
        <v>17</v>
      </c>
      <c r="O1244" s="1" t="s">
        <v>2057</v>
      </c>
      <c r="P1244" s="1" t="s">
        <v>2056</v>
      </c>
      <c r="Q1244" s="1" t="s">
        <v>1528</v>
      </c>
      <c r="R1244" s="1">
        <f t="shared" si="19"/>
        <v>4</v>
      </c>
      <c r="S1244" s="4">
        <f>J1244*K1244*M1244</f>
        <v>522750</v>
      </c>
    </row>
    <row r="1245" spans="1:19" ht="43" hidden="1" customHeight="1">
      <c r="A1245" s="1" t="s">
        <v>2280</v>
      </c>
      <c r="B1245" s="1" t="s">
        <v>52</v>
      </c>
      <c r="C1245" s="29">
        <v>45999.611324097197</v>
      </c>
      <c r="F1245" s="1">
        <v>1</v>
      </c>
      <c r="G1245" s="12" t="s">
        <v>1363</v>
      </c>
      <c r="H1245" s="1" t="s">
        <v>59</v>
      </c>
      <c r="I1245" s="1" t="s">
        <v>78</v>
      </c>
      <c r="J1245" s="30">
        <v>54.55</v>
      </c>
      <c r="K1245" s="30">
        <v>75000</v>
      </c>
      <c r="L1245" s="31">
        <v>4091250</v>
      </c>
      <c r="M1245" s="1" t="s">
        <v>30</v>
      </c>
      <c r="N1245" s="1" t="s">
        <v>17</v>
      </c>
      <c r="O1245" s="1" t="s">
        <v>2057</v>
      </c>
      <c r="P1245" s="1" t="s">
        <v>2056</v>
      </c>
      <c r="Q1245" s="1" t="s">
        <v>1528</v>
      </c>
      <c r="R1245" s="1">
        <f t="shared" si="19"/>
        <v>4</v>
      </c>
      <c r="S1245" s="4">
        <f>J1245*K1245*M1245</f>
        <v>409125</v>
      </c>
    </row>
    <row r="1246" spans="1:19" ht="43" hidden="1" customHeight="1">
      <c r="A1246" s="1" t="s">
        <v>2280</v>
      </c>
      <c r="B1246" s="1" t="s">
        <v>1394</v>
      </c>
      <c r="C1246" s="29">
        <v>45999.611025381899</v>
      </c>
      <c r="F1246" s="1">
        <v>1</v>
      </c>
      <c r="G1246" s="12" t="s">
        <v>1363</v>
      </c>
      <c r="H1246" s="1" t="s">
        <v>59</v>
      </c>
      <c r="I1246" s="1" t="s">
        <v>78</v>
      </c>
      <c r="J1246" s="30">
        <v>48.49</v>
      </c>
      <c r="K1246" s="30">
        <v>75000</v>
      </c>
      <c r="L1246" s="31">
        <v>3636750</v>
      </c>
      <c r="M1246" s="1" t="s">
        <v>30</v>
      </c>
      <c r="N1246" s="1" t="s">
        <v>17</v>
      </c>
      <c r="O1246" s="1" t="s">
        <v>2057</v>
      </c>
      <c r="P1246" s="1" t="s">
        <v>2056</v>
      </c>
      <c r="Q1246" s="1" t="s">
        <v>1528</v>
      </c>
      <c r="R1246" s="1">
        <f t="shared" si="19"/>
        <v>4</v>
      </c>
      <c r="S1246" s="4">
        <f>J1246*K1246*M1246</f>
        <v>363675</v>
      </c>
    </row>
    <row r="1247" spans="1:19" ht="43" hidden="1" customHeight="1">
      <c r="A1247" s="1" t="s">
        <v>2280</v>
      </c>
      <c r="B1247" s="1" t="s">
        <v>1396</v>
      </c>
      <c r="C1247" s="29">
        <v>45999.610525671298</v>
      </c>
      <c r="F1247" s="1">
        <v>1</v>
      </c>
      <c r="G1247" s="12" t="s">
        <v>1363</v>
      </c>
      <c r="H1247" s="1" t="s">
        <v>59</v>
      </c>
      <c r="I1247" s="1" t="s">
        <v>78</v>
      </c>
      <c r="J1247" s="30">
        <v>52.6</v>
      </c>
      <c r="K1247" s="30">
        <v>75000</v>
      </c>
      <c r="L1247" s="31">
        <v>3945000</v>
      </c>
      <c r="M1247" s="1" t="s">
        <v>30</v>
      </c>
      <c r="N1247" s="1" t="s">
        <v>17</v>
      </c>
      <c r="O1247" s="1" t="s">
        <v>2057</v>
      </c>
      <c r="P1247" s="1" t="s">
        <v>2056</v>
      </c>
      <c r="Q1247" s="1" t="s">
        <v>1528</v>
      </c>
      <c r="R1247" s="1">
        <f t="shared" si="19"/>
        <v>4</v>
      </c>
      <c r="S1247" s="4">
        <f>J1247*K1247*M1247</f>
        <v>394500</v>
      </c>
    </row>
    <row r="1248" spans="1:19" ht="43" hidden="1" customHeight="1">
      <c r="A1248" s="1" t="s">
        <v>2280</v>
      </c>
      <c r="B1248" s="1" t="s">
        <v>1397</v>
      </c>
      <c r="C1248" s="29">
        <v>45999.610208761602</v>
      </c>
      <c r="F1248" s="1">
        <v>1</v>
      </c>
      <c r="G1248" s="12" t="s">
        <v>1363</v>
      </c>
      <c r="H1248" s="1" t="s">
        <v>59</v>
      </c>
      <c r="I1248" s="1" t="s">
        <v>78</v>
      </c>
      <c r="J1248" s="30">
        <v>99.04</v>
      </c>
      <c r="K1248" s="30">
        <v>75000</v>
      </c>
      <c r="L1248" s="31">
        <v>7428000</v>
      </c>
      <c r="M1248" s="1" t="s">
        <v>30</v>
      </c>
      <c r="N1248" s="1" t="s">
        <v>17</v>
      </c>
      <c r="O1248" s="1" t="s">
        <v>2057</v>
      </c>
      <c r="P1248" s="1" t="s">
        <v>2056</v>
      </c>
      <c r="Q1248" s="1" t="s">
        <v>1528</v>
      </c>
      <c r="R1248" s="1">
        <f t="shared" si="19"/>
        <v>4</v>
      </c>
      <c r="S1248" s="4">
        <f>J1248*K1248*M1248</f>
        <v>742800.00000000012</v>
      </c>
    </row>
    <row r="1249" spans="1:19" ht="43" hidden="1" customHeight="1">
      <c r="A1249" s="1" t="s">
        <v>2280</v>
      </c>
      <c r="B1249" s="1" t="s">
        <v>1408</v>
      </c>
      <c r="C1249" s="29">
        <v>45986.602418229202</v>
      </c>
      <c r="F1249" s="1">
        <v>1</v>
      </c>
      <c r="G1249" s="12" t="s">
        <v>1363</v>
      </c>
      <c r="H1249" s="1" t="s">
        <v>59</v>
      </c>
      <c r="I1249" s="1" t="s">
        <v>78</v>
      </c>
      <c r="J1249" s="30">
        <v>60.61</v>
      </c>
      <c r="K1249" s="30">
        <v>75000</v>
      </c>
      <c r="L1249" s="31">
        <v>4545750</v>
      </c>
      <c r="M1249" s="1" t="s">
        <v>30</v>
      </c>
      <c r="N1249" s="1" t="s">
        <v>17</v>
      </c>
      <c r="O1249" s="1" t="s">
        <v>2057</v>
      </c>
      <c r="P1249" s="1" t="s">
        <v>2056</v>
      </c>
      <c r="Q1249" s="1" t="s">
        <v>1562</v>
      </c>
      <c r="R1249" s="1">
        <f t="shared" si="19"/>
        <v>4</v>
      </c>
      <c r="S1249" s="4">
        <f>J1249*K1249*M1249</f>
        <v>454575</v>
      </c>
    </row>
    <row r="1250" spans="1:19" ht="43" hidden="1" customHeight="1">
      <c r="A1250" s="1" t="s">
        <v>2280</v>
      </c>
      <c r="B1250" s="1" t="s">
        <v>870</v>
      </c>
      <c r="C1250" s="29">
        <v>45986.6021657292</v>
      </c>
      <c r="F1250" s="1">
        <v>2</v>
      </c>
      <c r="G1250" s="12" t="s">
        <v>1363</v>
      </c>
      <c r="H1250" s="1" t="s">
        <v>59</v>
      </c>
      <c r="I1250" s="1" t="s">
        <v>78</v>
      </c>
      <c r="J1250" s="30">
        <v>304.41000000000003</v>
      </c>
      <c r="K1250" s="30">
        <v>75000</v>
      </c>
      <c r="L1250" s="31">
        <v>22830750</v>
      </c>
      <c r="M1250" s="1" t="s">
        <v>30</v>
      </c>
      <c r="N1250" s="1" t="s">
        <v>17</v>
      </c>
      <c r="O1250" s="1" t="s">
        <v>2057</v>
      </c>
      <c r="P1250" s="1" t="s">
        <v>2056</v>
      </c>
      <c r="Q1250" s="1" t="s">
        <v>1562</v>
      </c>
      <c r="R1250" s="1">
        <f t="shared" si="19"/>
        <v>4</v>
      </c>
      <c r="S1250" s="4">
        <f>J1250*K1250*M1250</f>
        <v>2283075.0000000005</v>
      </c>
    </row>
    <row r="1251" spans="1:19" ht="43" hidden="1" customHeight="1">
      <c r="A1251" s="1" t="s">
        <v>2280</v>
      </c>
      <c r="B1251" s="1" t="s">
        <v>1409</v>
      </c>
      <c r="C1251" s="29">
        <v>45986.6019212963</v>
      </c>
      <c r="F1251" s="1">
        <v>1</v>
      </c>
      <c r="G1251" s="12" t="s">
        <v>1363</v>
      </c>
      <c r="H1251" s="1" t="s">
        <v>59</v>
      </c>
      <c r="I1251" s="1" t="s">
        <v>78</v>
      </c>
      <c r="J1251" s="30">
        <v>121.22</v>
      </c>
      <c r="K1251" s="30">
        <v>75000</v>
      </c>
      <c r="L1251" s="31">
        <v>9091500</v>
      </c>
      <c r="M1251" s="1" t="s">
        <v>30</v>
      </c>
      <c r="N1251" s="1" t="s">
        <v>17</v>
      </c>
      <c r="O1251" s="1" t="s">
        <v>2057</v>
      </c>
      <c r="P1251" s="1" t="s">
        <v>2056</v>
      </c>
      <c r="Q1251" s="1" t="s">
        <v>1562</v>
      </c>
      <c r="R1251" s="1">
        <f t="shared" si="19"/>
        <v>4</v>
      </c>
      <c r="S1251" s="4">
        <f>J1251*K1251*M1251</f>
        <v>909150</v>
      </c>
    </row>
    <row r="1252" spans="1:19" ht="43" hidden="1" customHeight="1">
      <c r="A1252" s="1" t="s">
        <v>2280</v>
      </c>
      <c r="B1252" s="1" t="s">
        <v>900</v>
      </c>
      <c r="C1252" s="29">
        <v>45986.601690509298</v>
      </c>
      <c r="F1252" s="1">
        <v>1</v>
      </c>
      <c r="G1252" s="12" t="s">
        <v>1363</v>
      </c>
      <c r="H1252" s="1" t="s">
        <v>59</v>
      </c>
      <c r="I1252" s="1" t="s">
        <v>78</v>
      </c>
      <c r="J1252" s="30">
        <v>48.5</v>
      </c>
      <c r="K1252" s="30">
        <v>75000</v>
      </c>
      <c r="L1252" s="31">
        <v>3637500</v>
      </c>
      <c r="M1252" s="1" t="s">
        <v>30</v>
      </c>
      <c r="N1252" s="1" t="s">
        <v>17</v>
      </c>
      <c r="O1252" s="1" t="s">
        <v>2057</v>
      </c>
      <c r="P1252" s="1" t="s">
        <v>2056</v>
      </c>
      <c r="Q1252" s="1" t="s">
        <v>1562</v>
      </c>
      <c r="R1252" s="1">
        <f t="shared" si="19"/>
        <v>4</v>
      </c>
      <c r="S1252" s="4">
        <f>J1252*K1252*M1252</f>
        <v>363750</v>
      </c>
    </row>
    <row r="1253" spans="1:19" ht="43" hidden="1" customHeight="1">
      <c r="A1253" s="1" t="s">
        <v>2280</v>
      </c>
      <c r="B1253" s="1" t="s">
        <v>908</v>
      </c>
      <c r="C1253" s="29">
        <v>45983.679372303202</v>
      </c>
      <c r="F1253" s="1">
        <v>1</v>
      </c>
      <c r="G1253" s="12" t="s">
        <v>1363</v>
      </c>
      <c r="H1253" s="1" t="s">
        <v>59</v>
      </c>
      <c r="I1253" s="1" t="s">
        <v>78</v>
      </c>
      <c r="J1253" s="30">
        <v>97.04</v>
      </c>
      <c r="K1253" s="30">
        <v>75000</v>
      </c>
      <c r="L1253" s="31">
        <v>7278000</v>
      </c>
      <c r="M1253" s="1" t="s">
        <v>30</v>
      </c>
      <c r="N1253" s="1" t="s">
        <v>17</v>
      </c>
      <c r="O1253" s="1" t="s">
        <v>2057</v>
      </c>
      <c r="P1253" s="1" t="s">
        <v>2056</v>
      </c>
      <c r="Q1253" s="1" t="s">
        <v>1563</v>
      </c>
      <c r="R1253" s="1">
        <f t="shared" si="19"/>
        <v>4</v>
      </c>
      <c r="S1253" s="4">
        <f>J1253*K1253*M1253</f>
        <v>727800.00000000012</v>
      </c>
    </row>
    <row r="1254" spans="1:19" ht="43" hidden="1" customHeight="1">
      <c r="A1254" s="1" t="s">
        <v>2280</v>
      </c>
      <c r="B1254" s="1" t="s">
        <v>1410</v>
      </c>
      <c r="C1254" s="29">
        <v>45983.678511041697</v>
      </c>
      <c r="F1254" s="1">
        <v>1</v>
      </c>
      <c r="G1254" s="12" t="s">
        <v>1363</v>
      </c>
      <c r="H1254" s="1" t="s">
        <v>59</v>
      </c>
      <c r="I1254" s="1" t="s">
        <v>78</v>
      </c>
      <c r="J1254" s="30">
        <v>121.22</v>
      </c>
      <c r="K1254" s="30">
        <v>75000</v>
      </c>
      <c r="L1254" s="31">
        <v>9091500</v>
      </c>
      <c r="M1254" s="1" t="s">
        <v>30</v>
      </c>
      <c r="N1254" s="1" t="s">
        <v>17</v>
      </c>
      <c r="O1254" s="1" t="s">
        <v>2057</v>
      </c>
      <c r="P1254" s="1" t="s">
        <v>2056</v>
      </c>
      <c r="Q1254" s="1" t="s">
        <v>1563</v>
      </c>
      <c r="R1254" s="1">
        <f t="shared" si="19"/>
        <v>4</v>
      </c>
      <c r="S1254" s="4">
        <f>J1254*K1254*M1254</f>
        <v>909150</v>
      </c>
    </row>
    <row r="1255" spans="1:19" ht="43" hidden="1" customHeight="1">
      <c r="A1255" s="1" t="s">
        <v>2280</v>
      </c>
      <c r="B1255" s="1" t="s">
        <v>124</v>
      </c>
      <c r="C1255" s="29">
        <v>45983.677887303202</v>
      </c>
      <c r="F1255" s="1">
        <v>1</v>
      </c>
      <c r="G1255" s="12" t="s">
        <v>1363</v>
      </c>
      <c r="H1255" s="1" t="s">
        <v>59</v>
      </c>
      <c r="I1255" s="1" t="s">
        <v>78</v>
      </c>
      <c r="J1255" s="30">
        <v>247.28</v>
      </c>
      <c r="K1255" s="30">
        <v>75000</v>
      </c>
      <c r="L1255" s="31">
        <v>18546000</v>
      </c>
      <c r="M1255" s="1" t="s">
        <v>30</v>
      </c>
      <c r="N1255" s="1" t="s">
        <v>17</v>
      </c>
      <c r="O1255" s="1" t="s">
        <v>2057</v>
      </c>
      <c r="P1255" s="1" t="s">
        <v>2056</v>
      </c>
      <c r="Q1255" s="1" t="s">
        <v>1563</v>
      </c>
      <c r="R1255" s="1">
        <f t="shared" si="19"/>
        <v>4</v>
      </c>
      <c r="S1255" s="4">
        <f>J1255*K1255*M1255</f>
        <v>1854600</v>
      </c>
    </row>
    <row r="1256" spans="1:19" ht="43" hidden="1" customHeight="1">
      <c r="A1256" s="1" t="s">
        <v>2280</v>
      </c>
      <c r="B1256" s="1" t="s">
        <v>1427</v>
      </c>
      <c r="C1256" s="29">
        <v>45983.677455381898</v>
      </c>
      <c r="F1256" s="1">
        <v>1</v>
      </c>
      <c r="G1256" s="12" t="s">
        <v>1363</v>
      </c>
      <c r="H1256" s="1" t="s">
        <v>59</v>
      </c>
      <c r="I1256" s="1" t="s">
        <v>78</v>
      </c>
      <c r="J1256" s="30">
        <v>147.28</v>
      </c>
      <c r="K1256" s="30">
        <v>75000</v>
      </c>
      <c r="L1256" s="31">
        <v>11046000</v>
      </c>
      <c r="M1256" s="1" t="s">
        <v>30</v>
      </c>
      <c r="N1256" s="1" t="s">
        <v>17</v>
      </c>
      <c r="O1256" s="1" t="s">
        <v>2057</v>
      </c>
      <c r="P1256" s="1" t="s">
        <v>2056</v>
      </c>
      <c r="Q1256" s="1" t="s">
        <v>1563</v>
      </c>
      <c r="R1256" s="1">
        <f t="shared" si="19"/>
        <v>4</v>
      </c>
      <c r="S1256" s="4">
        <f>J1256*K1256*M1256</f>
        <v>1104600</v>
      </c>
    </row>
    <row r="1257" spans="1:19" ht="43" hidden="1" customHeight="1">
      <c r="A1257" s="1" t="s">
        <v>2280</v>
      </c>
      <c r="B1257" s="1" t="s">
        <v>1428</v>
      </c>
      <c r="C1257" s="29">
        <v>45983.677166122703</v>
      </c>
      <c r="F1257" s="1">
        <v>1</v>
      </c>
      <c r="G1257" s="12" t="s">
        <v>1363</v>
      </c>
      <c r="H1257" s="1" t="s">
        <v>59</v>
      </c>
      <c r="I1257" s="1" t="s">
        <v>78</v>
      </c>
      <c r="J1257" s="30">
        <v>62.02</v>
      </c>
      <c r="K1257" s="30">
        <v>75000</v>
      </c>
      <c r="L1257" s="31">
        <v>4651500</v>
      </c>
      <c r="M1257" s="1" t="s">
        <v>30</v>
      </c>
      <c r="N1257" s="1" t="s">
        <v>17</v>
      </c>
      <c r="O1257" s="1" t="s">
        <v>2057</v>
      </c>
      <c r="P1257" s="1" t="s">
        <v>2056</v>
      </c>
      <c r="Q1257" s="1" t="s">
        <v>1563</v>
      </c>
      <c r="R1257" s="1">
        <f t="shared" si="19"/>
        <v>4</v>
      </c>
      <c r="S1257" s="4">
        <f>J1257*K1257*M1257</f>
        <v>465150</v>
      </c>
    </row>
    <row r="1258" spans="1:19" ht="43" hidden="1" customHeight="1">
      <c r="A1258" s="1" t="s">
        <v>2280</v>
      </c>
      <c r="B1258" s="1" t="s">
        <v>1430</v>
      </c>
      <c r="C1258" s="29">
        <v>45983.674963044003</v>
      </c>
      <c r="F1258" s="1">
        <v>1</v>
      </c>
      <c r="G1258" s="12" t="s">
        <v>1363</v>
      </c>
      <c r="H1258" s="1" t="s">
        <v>59</v>
      </c>
      <c r="I1258" s="1" t="s">
        <v>78</v>
      </c>
      <c r="J1258" s="30">
        <v>148.16999999999999</v>
      </c>
      <c r="K1258" s="30">
        <v>75000</v>
      </c>
      <c r="L1258" s="31">
        <v>11112750</v>
      </c>
      <c r="M1258" s="1" t="s">
        <v>30</v>
      </c>
      <c r="N1258" s="1" t="s">
        <v>17</v>
      </c>
      <c r="O1258" s="1" t="s">
        <v>2057</v>
      </c>
      <c r="P1258" s="1" t="s">
        <v>2056</v>
      </c>
      <c r="Q1258" s="1" t="s">
        <v>1563</v>
      </c>
      <c r="R1258" s="1">
        <f t="shared" si="19"/>
        <v>4</v>
      </c>
      <c r="S1258" s="4">
        <f>J1258*K1258*M1258</f>
        <v>1111274.9999999998</v>
      </c>
    </row>
    <row r="1259" spans="1:19" ht="43" hidden="1" customHeight="1">
      <c r="A1259" s="1" t="s">
        <v>2280</v>
      </c>
      <c r="B1259" s="1" t="s">
        <v>871</v>
      </c>
      <c r="C1259" s="29">
        <v>45983.674317395802</v>
      </c>
      <c r="F1259" s="1">
        <v>2</v>
      </c>
      <c r="G1259" s="12" t="s">
        <v>1363</v>
      </c>
      <c r="H1259" s="1" t="s">
        <v>59</v>
      </c>
      <c r="I1259" s="1" t="s">
        <v>78</v>
      </c>
      <c r="J1259" s="30">
        <v>207</v>
      </c>
      <c r="K1259" s="30">
        <v>75000</v>
      </c>
      <c r="L1259" s="31">
        <v>15525000</v>
      </c>
      <c r="M1259" s="1" t="s">
        <v>30</v>
      </c>
      <c r="N1259" s="1" t="s">
        <v>17</v>
      </c>
      <c r="O1259" s="1" t="s">
        <v>2057</v>
      </c>
      <c r="P1259" s="1" t="s">
        <v>2056</v>
      </c>
      <c r="Q1259" s="1" t="s">
        <v>1563</v>
      </c>
      <c r="R1259" s="1">
        <f t="shared" si="19"/>
        <v>4</v>
      </c>
      <c r="S1259" s="4">
        <f>J1259*K1259*M1259</f>
        <v>1552500</v>
      </c>
    </row>
    <row r="1260" spans="1:19" ht="43" hidden="1" customHeight="1">
      <c r="A1260" s="1" t="s">
        <v>2280</v>
      </c>
      <c r="B1260" s="1" t="s">
        <v>1431</v>
      </c>
      <c r="C1260" s="29">
        <v>45981.397493217599</v>
      </c>
      <c r="D1260" s="1" t="s">
        <v>3068</v>
      </c>
      <c r="E1260" s="1" t="s">
        <v>3069</v>
      </c>
      <c r="F1260" s="1">
        <v>1</v>
      </c>
      <c r="G1260" s="12" t="s">
        <v>1363</v>
      </c>
      <c r="H1260" s="1" t="s">
        <v>59</v>
      </c>
      <c r="I1260" s="1" t="s">
        <v>78</v>
      </c>
      <c r="J1260" s="30">
        <v>96</v>
      </c>
      <c r="K1260" s="30">
        <v>95000</v>
      </c>
      <c r="L1260" s="31">
        <v>9120000</v>
      </c>
      <c r="M1260" s="1" t="s">
        <v>30</v>
      </c>
      <c r="N1260" s="1" t="s">
        <v>17</v>
      </c>
      <c r="O1260" s="1" t="s">
        <v>2057</v>
      </c>
      <c r="P1260" s="1" t="s">
        <v>2056</v>
      </c>
      <c r="Q1260" s="1" t="s">
        <v>324</v>
      </c>
      <c r="R1260" s="1">
        <f t="shared" si="19"/>
        <v>4</v>
      </c>
      <c r="S1260" s="4">
        <f>J1260*K1260*M1260</f>
        <v>912000</v>
      </c>
    </row>
    <row r="1261" spans="1:19" ht="43" hidden="1" customHeight="1">
      <c r="A1261" s="1" t="s">
        <v>2280</v>
      </c>
      <c r="B1261" s="1" t="s">
        <v>1432</v>
      </c>
      <c r="C1261" s="29">
        <v>45966.660315763897</v>
      </c>
      <c r="D1261" s="1" t="s">
        <v>3075</v>
      </c>
      <c r="E1261" s="1" t="s">
        <v>3076</v>
      </c>
      <c r="F1261" s="1">
        <v>1</v>
      </c>
      <c r="G1261" s="12" t="s">
        <v>1363</v>
      </c>
      <c r="H1261" s="1" t="s">
        <v>59</v>
      </c>
      <c r="I1261" s="1" t="s">
        <v>62</v>
      </c>
      <c r="J1261" s="30">
        <v>125</v>
      </c>
      <c r="K1261" s="30">
        <v>17500</v>
      </c>
      <c r="L1261" s="31">
        <v>2187500</v>
      </c>
      <c r="M1261" s="1" t="s">
        <v>30</v>
      </c>
      <c r="N1261" s="1" t="s">
        <v>17</v>
      </c>
      <c r="O1261" s="1" t="s">
        <v>2057</v>
      </c>
      <c r="P1261" s="1" t="s">
        <v>2056</v>
      </c>
      <c r="Q1261" s="1" t="s">
        <v>400</v>
      </c>
      <c r="R1261" s="1">
        <f t="shared" si="19"/>
        <v>4</v>
      </c>
      <c r="S1261" s="4">
        <f>J1261*K1261*M1261</f>
        <v>218750</v>
      </c>
    </row>
    <row r="1262" spans="1:19" ht="43" hidden="1" customHeight="1">
      <c r="A1262" s="1" t="s">
        <v>2280</v>
      </c>
      <c r="B1262" s="1" t="s">
        <v>156</v>
      </c>
      <c r="C1262" s="29">
        <v>45952.379467696803</v>
      </c>
      <c r="F1262" s="1">
        <v>2</v>
      </c>
      <c r="G1262" s="12" t="s">
        <v>1363</v>
      </c>
      <c r="H1262" s="1" t="s">
        <v>59</v>
      </c>
      <c r="I1262" s="1" t="s">
        <v>78</v>
      </c>
      <c r="J1262" s="30">
        <v>15</v>
      </c>
      <c r="K1262" s="30">
        <v>75000</v>
      </c>
      <c r="L1262" s="31">
        <v>1125000</v>
      </c>
      <c r="M1262" s="1" t="s">
        <v>30</v>
      </c>
      <c r="N1262" s="1" t="s">
        <v>17</v>
      </c>
      <c r="O1262" s="1" t="s">
        <v>2057</v>
      </c>
      <c r="P1262" s="1" t="s">
        <v>2056</v>
      </c>
      <c r="Q1262" s="1" t="s">
        <v>1585</v>
      </c>
      <c r="R1262" s="1">
        <f t="shared" si="19"/>
        <v>4</v>
      </c>
      <c r="S1262" s="4">
        <f>J1262*K1262*M1262</f>
        <v>112500</v>
      </c>
    </row>
    <row r="1263" spans="1:19" ht="43" hidden="1" customHeight="1">
      <c r="A1263" s="1" t="s">
        <v>2280</v>
      </c>
      <c r="B1263" s="1" t="s">
        <v>187</v>
      </c>
      <c r="C1263" s="29">
        <v>45952.3778569676</v>
      </c>
      <c r="F1263" s="1">
        <v>1</v>
      </c>
      <c r="G1263" s="12" t="s">
        <v>1363</v>
      </c>
      <c r="H1263" s="1" t="s">
        <v>59</v>
      </c>
      <c r="I1263" s="1" t="s">
        <v>78</v>
      </c>
      <c r="J1263" s="30">
        <v>8.85</v>
      </c>
      <c r="K1263" s="30">
        <v>75000</v>
      </c>
      <c r="L1263" s="31">
        <v>663750</v>
      </c>
      <c r="M1263" s="1" t="s">
        <v>30</v>
      </c>
      <c r="N1263" s="1" t="s">
        <v>17</v>
      </c>
      <c r="O1263" s="1" t="s">
        <v>2057</v>
      </c>
      <c r="P1263" s="1" t="s">
        <v>2056</v>
      </c>
      <c r="Q1263" s="1" t="s">
        <v>1585</v>
      </c>
      <c r="R1263" s="1">
        <f t="shared" si="19"/>
        <v>4</v>
      </c>
      <c r="S1263" s="4">
        <f>J1263*K1263*M1263</f>
        <v>66375</v>
      </c>
    </row>
    <row r="1264" spans="1:19" ht="43" hidden="1" customHeight="1">
      <c r="A1264" s="1" t="s">
        <v>2280</v>
      </c>
      <c r="B1264" s="1" t="s">
        <v>1448</v>
      </c>
      <c r="C1264" s="29">
        <v>45951.611659502298</v>
      </c>
      <c r="D1264" s="1" t="s">
        <v>3068</v>
      </c>
      <c r="E1264" s="1" t="s">
        <v>3069</v>
      </c>
      <c r="F1264" s="1">
        <v>2</v>
      </c>
      <c r="G1264" s="12" t="s">
        <v>1363</v>
      </c>
      <c r="H1264" s="1" t="s">
        <v>59</v>
      </c>
      <c r="I1264" s="1" t="s">
        <v>78</v>
      </c>
      <c r="J1264" s="30">
        <v>192</v>
      </c>
      <c r="K1264" s="30">
        <v>95000</v>
      </c>
      <c r="L1264" s="31">
        <v>18240000</v>
      </c>
      <c r="M1264" s="1" t="s">
        <v>30</v>
      </c>
      <c r="N1264" s="1" t="s">
        <v>17</v>
      </c>
      <c r="O1264" s="1" t="s">
        <v>2057</v>
      </c>
      <c r="P1264" s="1" t="s">
        <v>2056</v>
      </c>
      <c r="Q1264" s="1" t="s">
        <v>1586</v>
      </c>
      <c r="R1264" s="1">
        <f t="shared" si="19"/>
        <v>4</v>
      </c>
      <c r="S1264" s="4">
        <f>J1264*K1264*M1264</f>
        <v>1824000</v>
      </c>
    </row>
    <row r="1265" spans="1:19" ht="43" hidden="1" customHeight="1">
      <c r="A1265" s="1" t="s">
        <v>2280</v>
      </c>
      <c r="B1265" s="1" t="s">
        <v>1451</v>
      </c>
      <c r="C1265" s="29">
        <v>45944.415354907404</v>
      </c>
      <c r="F1265" s="1">
        <v>2</v>
      </c>
      <c r="G1265" s="12" t="s">
        <v>1363</v>
      </c>
      <c r="H1265" s="1" t="s">
        <v>59</v>
      </c>
      <c r="I1265" s="1" t="s">
        <v>71</v>
      </c>
      <c r="J1265" s="30">
        <v>45</v>
      </c>
      <c r="K1265" s="30">
        <v>74591</v>
      </c>
      <c r="L1265" s="31">
        <v>3356595</v>
      </c>
      <c r="M1265" s="1" t="s">
        <v>30</v>
      </c>
      <c r="N1265" s="1" t="s">
        <v>17</v>
      </c>
      <c r="O1265" s="1" t="s">
        <v>2057</v>
      </c>
      <c r="P1265" s="1" t="s">
        <v>2056</v>
      </c>
      <c r="Q1265" s="1" t="s">
        <v>523</v>
      </c>
      <c r="R1265" s="1">
        <f t="shared" si="19"/>
        <v>4</v>
      </c>
      <c r="S1265" s="4">
        <f>J1265*K1265*M1265</f>
        <v>335659.5</v>
      </c>
    </row>
    <row r="1266" spans="1:19" ht="43" hidden="1" customHeight="1">
      <c r="A1266" s="1" t="s">
        <v>2280</v>
      </c>
      <c r="B1266" s="1" t="s">
        <v>1257</v>
      </c>
      <c r="C1266" s="29">
        <v>45838.753301898098</v>
      </c>
      <c r="D1266" s="1" t="s">
        <v>3048</v>
      </c>
      <c r="E1266" s="1" t="s">
        <v>3049</v>
      </c>
      <c r="F1266" s="1">
        <v>2</v>
      </c>
      <c r="G1266" s="12" t="s">
        <v>1363</v>
      </c>
      <c r="H1266" s="1" t="s">
        <v>59</v>
      </c>
      <c r="I1266" s="1" t="s">
        <v>71</v>
      </c>
      <c r="J1266" s="30">
        <v>364</v>
      </c>
      <c r="K1266" s="30">
        <v>75000</v>
      </c>
      <c r="L1266" s="31">
        <v>27300000</v>
      </c>
      <c r="M1266" s="1" t="s">
        <v>30</v>
      </c>
      <c r="N1266" s="1" t="s">
        <v>17</v>
      </c>
      <c r="O1266" s="1" t="s">
        <v>2057</v>
      </c>
      <c r="P1266" s="1" t="s">
        <v>2056</v>
      </c>
      <c r="Q1266" s="1" t="s">
        <v>828</v>
      </c>
      <c r="R1266" s="1">
        <f t="shared" si="19"/>
        <v>2</v>
      </c>
      <c r="S1266" s="4">
        <f>J1266*K1266*M1266</f>
        <v>2730000</v>
      </c>
    </row>
    <row r="1267" spans="1:19" ht="43" hidden="1" customHeight="1">
      <c r="A1267" s="1" t="s">
        <v>2280</v>
      </c>
      <c r="B1267" s="1" t="s">
        <v>221</v>
      </c>
      <c r="C1267" s="29">
        <v>45776.500553657403</v>
      </c>
      <c r="D1267" s="1" t="s">
        <v>3052</v>
      </c>
      <c r="E1267" s="1" t="s">
        <v>3053</v>
      </c>
      <c r="F1267" s="1">
        <v>34</v>
      </c>
      <c r="G1267" s="12" t="s">
        <v>1363</v>
      </c>
      <c r="H1267" s="1" t="s">
        <v>59</v>
      </c>
      <c r="I1267" s="1" t="s">
        <v>78</v>
      </c>
      <c r="J1267" s="30">
        <v>500.23</v>
      </c>
      <c r="K1267" s="30">
        <v>55000</v>
      </c>
      <c r="L1267" s="31">
        <v>27512650</v>
      </c>
      <c r="M1267" s="1" t="s">
        <v>30</v>
      </c>
      <c r="N1267" s="1" t="s">
        <v>17</v>
      </c>
      <c r="O1267" s="1" t="s">
        <v>2057</v>
      </c>
      <c r="P1267" s="1" t="s">
        <v>2056</v>
      </c>
      <c r="Q1267" s="1" t="s">
        <v>937</v>
      </c>
      <c r="R1267" s="1">
        <f t="shared" si="19"/>
        <v>2</v>
      </c>
      <c r="S1267" s="4">
        <f>J1267*K1267*M1267</f>
        <v>2751265</v>
      </c>
    </row>
    <row r="1268" spans="1:19" ht="43" hidden="1" customHeight="1">
      <c r="A1268" s="1" t="s">
        <v>2280</v>
      </c>
      <c r="B1268" s="1" t="s">
        <v>1307</v>
      </c>
      <c r="C1268" s="29">
        <v>45758.665550092599</v>
      </c>
      <c r="D1268" s="1" t="s">
        <v>3070</v>
      </c>
      <c r="E1268" s="1" t="s">
        <v>3059</v>
      </c>
      <c r="F1268" s="1">
        <v>1</v>
      </c>
      <c r="G1268" s="12" t="s">
        <v>1363</v>
      </c>
      <c r="H1268" s="1" t="s">
        <v>59</v>
      </c>
      <c r="I1268" s="1" t="s">
        <v>71</v>
      </c>
      <c r="J1268" s="30">
        <v>408</v>
      </c>
      <c r="K1268" s="30">
        <v>78000</v>
      </c>
      <c r="L1268" s="31">
        <v>31824000</v>
      </c>
      <c r="M1268" s="1" t="s">
        <v>30</v>
      </c>
      <c r="N1268" s="1" t="s">
        <v>17</v>
      </c>
      <c r="O1268" s="1" t="s">
        <v>2057</v>
      </c>
      <c r="P1268" s="1" t="s">
        <v>2056</v>
      </c>
      <c r="Q1268" s="1" t="s">
        <v>1979</v>
      </c>
      <c r="R1268" s="1">
        <f t="shared" si="19"/>
        <v>2</v>
      </c>
      <c r="S1268" s="4">
        <f>J1268*K1268*M1268</f>
        <v>3182400</v>
      </c>
    </row>
    <row r="1269" spans="1:19" ht="43" hidden="1" customHeight="1">
      <c r="A1269" s="1" t="s">
        <v>2280</v>
      </c>
      <c r="B1269" s="1" t="s">
        <v>221</v>
      </c>
      <c r="C1269" s="29">
        <v>45776.500553657403</v>
      </c>
      <c r="D1269" s="1" t="s">
        <v>3052</v>
      </c>
      <c r="E1269" s="1" t="s">
        <v>3053</v>
      </c>
      <c r="F1269" s="1">
        <v>12</v>
      </c>
      <c r="G1269" s="12" t="s">
        <v>1363</v>
      </c>
      <c r="H1269" s="1" t="s">
        <v>72</v>
      </c>
      <c r="I1269" s="1" t="s">
        <v>78</v>
      </c>
      <c r="J1269" s="30">
        <v>139.21</v>
      </c>
      <c r="K1269" s="30">
        <v>109091</v>
      </c>
      <c r="L1269" s="31">
        <v>15186558.109999999</v>
      </c>
      <c r="M1269" s="1" t="s">
        <v>30</v>
      </c>
      <c r="N1269" s="1" t="s">
        <v>17</v>
      </c>
      <c r="O1269" s="1" t="s">
        <v>2057</v>
      </c>
      <c r="P1269" s="1" t="s">
        <v>2056</v>
      </c>
      <c r="Q1269" s="1" t="s">
        <v>937</v>
      </c>
      <c r="R1269" s="1">
        <f t="shared" si="19"/>
        <v>2</v>
      </c>
      <c r="S1269" s="4">
        <f>J1269*K1269*M1269</f>
        <v>1518655.8110000002</v>
      </c>
    </row>
    <row r="1270" spans="1:19" ht="43" hidden="1" customHeight="1">
      <c r="A1270" s="1" t="s">
        <v>2072</v>
      </c>
      <c r="B1270" s="1" t="s">
        <v>97</v>
      </c>
      <c r="C1270" s="29">
        <v>46011.830782430603</v>
      </c>
      <c r="F1270" s="1">
        <v>1</v>
      </c>
      <c r="G1270" s="12" t="s">
        <v>1363</v>
      </c>
      <c r="H1270" s="1" t="s">
        <v>1363</v>
      </c>
      <c r="I1270" s="1" t="s">
        <v>71</v>
      </c>
      <c r="J1270" s="30">
        <v>7.4</v>
      </c>
      <c r="K1270" s="30">
        <v>41800</v>
      </c>
      <c r="L1270" s="31">
        <v>309320</v>
      </c>
      <c r="M1270" s="1" t="s">
        <v>30</v>
      </c>
      <c r="N1270" s="1" t="s">
        <v>17</v>
      </c>
      <c r="O1270" s="1" t="s">
        <v>2057</v>
      </c>
      <c r="P1270" s="1" t="s">
        <v>2056</v>
      </c>
      <c r="Q1270" s="1" t="s">
        <v>1473</v>
      </c>
      <c r="R1270" s="1">
        <f t="shared" si="19"/>
        <v>4</v>
      </c>
      <c r="S1270" s="4">
        <f>J1270*K1270*M1270</f>
        <v>30932</v>
      </c>
    </row>
    <row r="1271" spans="1:19" ht="43" hidden="1" customHeight="1">
      <c r="A1271" s="1" t="s">
        <v>2072</v>
      </c>
      <c r="B1271" s="1" t="s">
        <v>1306</v>
      </c>
      <c r="C1271" s="29">
        <v>46015.661748333303</v>
      </c>
      <c r="D1271" s="1" t="s">
        <v>3063</v>
      </c>
      <c r="E1271" s="1" t="s">
        <v>3062</v>
      </c>
      <c r="F1271" s="1">
        <v>1</v>
      </c>
      <c r="G1271" s="12" t="s">
        <v>1363</v>
      </c>
      <c r="H1271" s="1" t="s">
        <v>1363</v>
      </c>
      <c r="I1271" s="1" t="s">
        <v>71</v>
      </c>
      <c r="J1271" s="30">
        <v>2162.4</v>
      </c>
      <c r="K1271" s="30">
        <v>75002</v>
      </c>
      <c r="L1271" s="31">
        <v>162184325</v>
      </c>
      <c r="M1271" s="1" t="s">
        <v>30</v>
      </c>
      <c r="N1271" s="1" t="s">
        <v>17</v>
      </c>
      <c r="O1271" s="1" t="s">
        <v>2057</v>
      </c>
      <c r="P1271" s="1" t="s">
        <v>2056</v>
      </c>
      <c r="Q1271" s="1" t="s">
        <v>1507</v>
      </c>
      <c r="R1271" s="1">
        <f t="shared" si="19"/>
        <v>4</v>
      </c>
      <c r="S1271" s="4">
        <f>J1271*K1271*M1271</f>
        <v>16218432.480000002</v>
      </c>
    </row>
    <row r="1272" spans="1:19" ht="43" hidden="1" customHeight="1">
      <c r="A1272" s="1" t="s">
        <v>2072</v>
      </c>
      <c r="B1272" s="1" t="s">
        <v>288</v>
      </c>
      <c r="C1272" s="29">
        <v>46011.828548495403</v>
      </c>
      <c r="F1272" s="1">
        <v>1</v>
      </c>
      <c r="G1272" s="12" t="s">
        <v>1363</v>
      </c>
      <c r="H1272" s="1" t="s">
        <v>1363</v>
      </c>
      <c r="I1272" s="1" t="s">
        <v>71</v>
      </c>
      <c r="J1272" s="30">
        <v>95</v>
      </c>
      <c r="K1272" s="30">
        <v>42000</v>
      </c>
      <c r="L1272" s="31">
        <v>3990000</v>
      </c>
      <c r="M1272" s="1" t="s">
        <v>30</v>
      </c>
      <c r="N1272" s="1" t="s">
        <v>17</v>
      </c>
      <c r="O1272" s="1" t="s">
        <v>2057</v>
      </c>
      <c r="P1272" s="1" t="s">
        <v>2056</v>
      </c>
      <c r="Q1272" s="1" t="s">
        <v>1473</v>
      </c>
      <c r="R1272" s="1">
        <f t="shared" si="19"/>
        <v>4</v>
      </c>
      <c r="S1272" s="4">
        <f>J1272*K1272*M1272</f>
        <v>399000</v>
      </c>
    </row>
    <row r="1273" spans="1:19" ht="43" hidden="1" customHeight="1">
      <c r="A1273" s="1" t="s">
        <v>2280</v>
      </c>
      <c r="B1273" s="1" t="s">
        <v>212</v>
      </c>
      <c r="C1273" s="29">
        <v>46007.405125590303</v>
      </c>
      <c r="F1273" s="1">
        <v>1</v>
      </c>
      <c r="G1273" s="12" t="s">
        <v>1363</v>
      </c>
      <c r="H1273" s="1" t="s">
        <v>1363</v>
      </c>
      <c r="I1273" s="1" t="s">
        <v>78</v>
      </c>
      <c r="J1273" s="30">
        <v>9.16</v>
      </c>
      <c r="K1273" s="30">
        <v>75000</v>
      </c>
      <c r="L1273" s="31">
        <v>687000</v>
      </c>
      <c r="M1273" s="1" t="s">
        <v>30</v>
      </c>
      <c r="N1273" s="1" t="s">
        <v>17</v>
      </c>
      <c r="O1273" s="1" t="s">
        <v>2057</v>
      </c>
      <c r="P1273" s="1" t="s">
        <v>2056</v>
      </c>
      <c r="Q1273" s="1" t="s">
        <v>262</v>
      </c>
      <c r="R1273" s="1">
        <f t="shared" si="19"/>
        <v>4</v>
      </c>
      <c r="S1273" s="4">
        <f>J1273*K1273*M1273</f>
        <v>68700</v>
      </c>
    </row>
    <row r="1274" spans="1:19" ht="43" hidden="1" customHeight="1">
      <c r="A1274" s="1" t="s">
        <v>2280</v>
      </c>
      <c r="B1274" s="1" t="s">
        <v>878</v>
      </c>
      <c r="C1274" s="29">
        <v>46007.363558564801</v>
      </c>
      <c r="F1274" s="1">
        <v>1</v>
      </c>
      <c r="G1274" s="12" t="s">
        <v>1363</v>
      </c>
      <c r="H1274" s="1" t="s">
        <v>1363</v>
      </c>
      <c r="I1274" s="1" t="s">
        <v>78</v>
      </c>
      <c r="J1274" s="30">
        <v>12.6</v>
      </c>
      <c r="K1274" s="30">
        <v>26000</v>
      </c>
      <c r="L1274" s="31">
        <v>327600</v>
      </c>
      <c r="M1274" s="1" t="s">
        <v>30</v>
      </c>
      <c r="N1274" s="1" t="s">
        <v>17</v>
      </c>
      <c r="O1274" s="1" t="s">
        <v>2057</v>
      </c>
      <c r="P1274" s="1" t="s">
        <v>2056</v>
      </c>
      <c r="Q1274" s="1" t="s">
        <v>262</v>
      </c>
      <c r="R1274" s="1">
        <f t="shared" si="19"/>
        <v>4</v>
      </c>
      <c r="S1274" s="4">
        <f>J1274*K1274*M1274</f>
        <v>32760</v>
      </c>
    </row>
    <row r="1275" spans="1:19" ht="43" hidden="1" customHeight="1">
      <c r="A1275" s="1" t="s">
        <v>2280</v>
      </c>
      <c r="B1275" s="1" t="s">
        <v>166</v>
      </c>
      <c r="C1275" s="29">
        <v>46007.363281562502</v>
      </c>
      <c r="F1275" s="1">
        <v>1</v>
      </c>
      <c r="G1275" s="12" t="s">
        <v>1363</v>
      </c>
      <c r="H1275" s="1" t="s">
        <v>1363</v>
      </c>
      <c r="I1275" s="1" t="s">
        <v>78</v>
      </c>
      <c r="J1275" s="30">
        <v>10.5</v>
      </c>
      <c r="K1275" s="30">
        <v>26000</v>
      </c>
      <c r="L1275" s="31">
        <v>273000</v>
      </c>
      <c r="M1275" s="1" t="s">
        <v>30</v>
      </c>
      <c r="N1275" s="1" t="s">
        <v>17</v>
      </c>
      <c r="O1275" s="1" t="s">
        <v>2057</v>
      </c>
      <c r="P1275" s="1" t="s">
        <v>2056</v>
      </c>
      <c r="Q1275" s="1" t="s">
        <v>262</v>
      </c>
      <c r="R1275" s="1">
        <f t="shared" si="19"/>
        <v>4</v>
      </c>
      <c r="S1275" s="4">
        <f>J1275*K1275*M1275</f>
        <v>27300</v>
      </c>
    </row>
    <row r="1276" spans="1:19" ht="43" hidden="1" customHeight="1">
      <c r="A1276" s="1" t="s">
        <v>2280</v>
      </c>
      <c r="B1276" s="1" t="s">
        <v>1389</v>
      </c>
      <c r="C1276" s="29">
        <v>46003.932192615699</v>
      </c>
      <c r="F1276" s="1">
        <v>1</v>
      </c>
      <c r="G1276" s="12" t="s">
        <v>1363</v>
      </c>
      <c r="H1276" s="1" t="s">
        <v>1363</v>
      </c>
      <c r="I1276" s="1" t="s">
        <v>78</v>
      </c>
      <c r="J1276" s="30">
        <v>9.4499999999999993</v>
      </c>
      <c r="K1276" s="30">
        <v>26000</v>
      </c>
      <c r="L1276" s="31">
        <v>245700</v>
      </c>
      <c r="M1276" s="1" t="s">
        <v>30</v>
      </c>
      <c r="N1276" s="1" t="s">
        <v>17</v>
      </c>
      <c r="O1276" s="1" t="s">
        <v>2057</v>
      </c>
      <c r="P1276" s="1" t="s">
        <v>2056</v>
      </c>
      <c r="Q1276" s="1" t="s">
        <v>270</v>
      </c>
      <c r="R1276" s="1">
        <f t="shared" si="19"/>
        <v>4</v>
      </c>
      <c r="S1276" s="4">
        <f>J1276*K1276*M1276</f>
        <v>24570</v>
      </c>
    </row>
    <row r="1277" spans="1:19" ht="43" hidden="1" customHeight="1">
      <c r="A1277" s="1" t="s">
        <v>2280</v>
      </c>
      <c r="B1277" s="1" t="s">
        <v>1404</v>
      </c>
      <c r="C1277" s="29">
        <v>45990.3818009838</v>
      </c>
      <c r="D1277" s="1" t="s">
        <v>3052</v>
      </c>
      <c r="E1277" s="1" t="s">
        <v>3053</v>
      </c>
      <c r="F1277" s="1">
        <v>1</v>
      </c>
      <c r="G1277" s="12" t="s">
        <v>1363</v>
      </c>
      <c r="H1277" s="1" t="s">
        <v>1363</v>
      </c>
      <c r="I1277" s="1" t="s">
        <v>71</v>
      </c>
      <c r="J1277" s="30">
        <v>10</v>
      </c>
      <c r="K1277" s="30">
        <v>68000</v>
      </c>
      <c r="L1277" s="31">
        <v>680000</v>
      </c>
      <c r="M1277" s="1" t="s">
        <v>30</v>
      </c>
      <c r="N1277" s="1" t="s">
        <v>17</v>
      </c>
      <c r="O1277" s="1" t="s">
        <v>2057</v>
      </c>
      <c r="P1277" s="1" t="s">
        <v>2056</v>
      </c>
      <c r="Q1277" s="1" t="s">
        <v>1531</v>
      </c>
      <c r="R1277" s="1">
        <f t="shared" si="19"/>
        <v>4</v>
      </c>
      <c r="S1277" s="4">
        <f>J1277*K1277*M1277</f>
        <v>68000</v>
      </c>
    </row>
    <row r="1278" spans="1:19" ht="43" hidden="1" customHeight="1">
      <c r="A1278" s="1" t="s">
        <v>2280</v>
      </c>
      <c r="B1278" s="1" t="s">
        <v>882</v>
      </c>
      <c r="C1278" s="29">
        <v>45989.803104988401</v>
      </c>
      <c r="D1278" s="1" t="s">
        <v>3054</v>
      </c>
      <c r="E1278" s="1" t="s">
        <v>3055</v>
      </c>
      <c r="F1278" s="1">
        <v>5</v>
      </c>
      <c r="G1278" s="12" t="s">
        <v>1363</v>
      </c>
      <c r="H1278" s="1" t="s">
        <v>1363</v>
      </c>
      <c r="I1278" s="1" t="s">
        <v>78</v>
      </c>
      <c r="J1278" s="30">
        <v>424</v>
      </c>
      <c r="K1278" s="30">
        <v>23000</v>
      </c>
      <c r="L1278" s="31">
        <v>9752000</v>
      </c>
      <c r="M1278" s="1" t="s">
        <v>30</v>
      </c>
      <c r="N1278" s="1" t="s">
        <v>17</v>
      </c>
      <c r="O1278" s="1" t="s">
        <v>2057</v>
      </c>
      <c r="P1278" s="1" t="s">
        <v>2056</v>
      </c>
      <c r="Q1278" s="1" t="s">
        <v>394</v>
      </c>
      <c r="R1278" s="1">
        <f t="shared" si="19"/>
        <v>4</v>
      </c>
      <c r="S1278" s="4">
        <f>J1278*K1278*M1278</f>
        <v>975200</v>
      </c>
    </row>
    <row r="1279" spans="1:19" ht="43" hidden="1" customHeight="1">
      <c r="A1279" s="1" t="s">
        <v>2280</v>
      </c>
      <c r="B1279" s="1" t="s">
        <v>1452</v>
      </c>
      <c r="C1279" s="29">
        <v>45943.635212222202</v>
      </c>
      <c r="F1279" s="1">
        <v>1</v>
      </c>
      <c r="G1279" s="12" t="s">
        <v>1363</v>
      </c>
      <c r="H1279" s="1" t="s">
        <v>1363</v>
      </c>
      <c r="I1279" s="1" t="s">
        <v>71</v>
      </c>
      <c r="J1279" s="30">
        <v>43.19</v>
      </c>
      <c r="K1279" s="30">
        <v>75000</v>
      </c>
      <c r="L1279" s="31">
        <v>3239250</v>
      </c>
      <c r="M1279" s="1" t="s">
        <v>30</v>
      </c>
      <c r="N1279" s="1" t="s">
        <v>17</v>
      </c>
      <c r="O1279" s="1" t="s">
        <v>2057</v>
      </c>
      <c r="P1279" s="1" t="s">
        <v>2056</v>
      </c>
      <c r="Q1279" s="1" t="s">
        <v>515</v>
      </c>
      <c r="R1279" s="1">
        <f t="shared" si="19"/>
        <v>4</v>
      </c>
      <c r="S1279" s="4">
        <f>J1279*K1279*M1279</f>
        <v>323925</v>
      </c>
    </row>
    <row r="1280" spans="1:19" ht="43" hidden="1" customHeight="1">
      <c r="A1280" s="1" t="s">
        <v>2280</v>
      </c>
      <c r="B1280" s="1" t="s">
        <v>1454</v>
      </c>
      <c r="C1280" s="29">
        <v>45943.634399270799</v>
      </c>
      <c r="F1280" s="1">
        <v>1</v>
      </c>
      <c r="G1280" s="12" t="s">
        <v>1363</v>
      </c>
      <c r="H1280" s="1" t="s">
        <v>1363</v>
      </c>
      <c r="I1280" s="1" t="s">
        <v>71</v>
      </c>
      <c r="J1280" s="30">
        <v>121.38</v>
      </c>
      <c r="K1280" s="30">
        <v>75000</v>
      </c>
      <c r="L1280" s="31">
        <v>9103500</v>
      </c>
      <c r="M1280" s="1" t="s">
        <v>30</v>
      </c>
      <c r="N1280" s="1" t="s">
        <v>17</v>
      </c>
      <c r="O1280" s="1" t="s">
        <v>2057</v>
      </c>
      <c r="P1280" s="1" t="s">
        <v>2056</v>
      </c>
      <c r="Q1280" s="1" t="s">
        <v>515</v>
      </c>
      <c r="R1280" s="1">
        <f t="shared" si="19"/>
        <v>4</v>
      </c>
      <c r="S1280" s="4">
        <f>J1280*K1280*M1280</f>
        <v>910350</v>
      </c>
    </row>
    <row r="1281" spans="1:19" ht="43" hidden="1" customHeight="1">
      <c r="A1281" s="1" t="s">
        <v>2280</v>
      </c>
      <c r="B1281" s="1" t="s">
        <v>1132</v>
      </c>
      <c r="C1281" s="29">
        <v>45943.634116898102</v>
      </c>
      <c r="F1281" s="1">
        <v>1</v>
      </c>
      <c r="G1281" s="12" t="s">
        <v>1363</v>
      </c>
      <c r="H1281" s="1" t="s">
        <v>1363</v>
      </c>
      <c r="I1281" s="1" t="s">
        <v>71</v>
      </c>
      <c r="J1281" s="30">
        <v>47.542000000000002</v>
      </c>
      <c r="K1281" s="30">
        <v>75000</v>
      </c>
      <c r="L1281" s="31">
        <v>3565650</v>
      </c>
      <c r="M1281" s="1" t="s">
        <v>30</v>
      </c>
      <c r="N1281" s="1" t="s">
        <v>17</v>
      </c>
      <c r="O1281" s="1" t="s">
        <v>2057</v>
      </c>
      <c r="P1281" s="1" t="s">
        <v>2056</v>
      </c>
      <c r="Q1281" s="1" t="s">
        <v>515</v>
      </c>
      <c r="R1281" s="1">
        <f t="shared" si="19"/>
        <v>4</v>
      </c>
      <c r="S1281" s="4">
        <f>J1281*K1281*M1281</f>
        <v>356565</v>
      </c>
    </row>
    <row r="1282" spans="1:19" ht="43" hidden="1" customHeight="1">
      <c r="A1282" s="1" t="s">
        <v>2280</v>
      </c>
      <c r="B1282" s="1" t="s">
        <v>1455</v>
      </c>
      <c r="C1282" s="29">
        <v>45943.633788101899</v>
      </c>
      <c r="F1282" s="1">
        <v>1</v>
      </c>
      <c r="G1282" s="12" t="s">
        <v>1363</v>
      </c>
      <c r="H1282" s="1" t="s">
        <v>1363</v>
      </c>
      <c r="I1282" s="1" t="s">
        <v>71</v>
      </c>
      <c r="J1282" s="30">
        <v>24.120999999999999</v>
      </c>
      <c r="K1282" s="30">
        <v>75000</v>
      </c>
      <c r="L1282" s="31">
        <v>1809075</v>
      </c>
      <c r="M1282" s="1" t="s">
        <v>30</v>
      </c>
      <c r="N1282" s="1" t="s">
        <v>17</v>
      </c>
      <c r="O1282" s="1" t="s">
        <v>2057</v>
      </c>
      <c r="P1282" s="1" t="s">
        <v>2056</v>
      </c>
      <c r="Q1282" s="1" t="s">
        <v>515</v>
      </c>
      <c r="R1282" s="1">
        <f t="shared" si="19"/>
        <v>4</v>
      </c>
      <c r="S1282" s="4">
        <f>J1282*K1282*M1282</f>
        <v>180907.5</v>
      </c>
    </row>
    <row r="1283" spans="1:19" ht="43" hidden="1" customHeight="1">
      <c r="A1283" s="1" t="s">
        <v>2280</v>
      </c>
      <c r="B1283" s="1" t="s">
        <v>765</v>
      </c>
      <c r="C1283" s="29">
        <v>45883.488647291699</v>
      </c>
      <c r="D1283" s="1" t="s">
        <v>3056</v>
      </c>
      <c r="E1283" s="1" t="s">
        <v>3057</v>
      </c>
      <c r="F1283" s="1">
        <v>1</v>
      </c>
      <c r="G1283" s="12" t="s">
        <v>1363</v>
      </c>
      <c r="H1283" s="1" t="s">
        <v>1363</v>
      </c>
      <c r="I1283" s="1" t="s">
        <v>62</v>
      </c>
      <c r="J1283" s="30">
        <v>648</v>
      </c>
      <c r="K1283" s="30">
        <v>17500</v>
      </c>
      <c r="L1283" s="31">
        <v>11340000</v>
      </c>
      <c r="M1283" s="1" t="s">
        <v>30</v>
      </c>
      <c r="N1283" s="1" t="s">
        <v>17</v>
      </c>
      <c r="O1283" s="1" t="s">
        <v>2057</v>
      </c>
      <c r="P1283" s="1" t="s">
        <v>2056</v>
      </c>
      <c r="Q1283" s="1" t="s">
        <v>678</v>
      </c>
      <c r="R1283" s="1">
        <f t="shared" ref="R1283:R1346" si="20">ROUNDUP(MONTH(Q1283)/3,0)</f>
        <v>3</v>
      </c>
      <c r="S1283" s="4">
        <f>J1283*K1283*M1283</f>
        <v>1134000</v>
      </c>
    </row>
    <row r="1284" spans="1:19" ht="43" hidden="1" customHeight="1">
      <c r="A1284" s="1" t="s">
        <v>2280</v>
      </c>
      <c r="B1284" s="1" t="s">
        <v>1417</v>
      </c>
      <c r="C1284" s="29">
        <v>45868.607072511601</v>
      </c>
      <c r="D1284" s="1" t="s">
        <v>3052</v>
      </c>
      <c r="E1284" s="1" t="s">
        <v>3053</v>
      </c>
      <c r="F1284" s="1">
        <v>13</v>
      </c>
      <c r="G1284" s="12" t="s">
        <v>1363</v>
      </c>
      <c r="H1284" s="1" t="s">
        <v>1363</v>
      </c>
      <c r="I1284" s="1" t="s">
        <v>71</v>
      </c>
      <c r="J1284" s="30">
        <v>20</v>
      </c>
      <c r="K1284" s="30">
        <v>25000</v>
      </c>
      <c r="L1284" s="31">
        <v>500000</v>
      </c>
      <c r="M1284" s="1" t="s">
        <v>30</v>
      </c>
      <c r="N1284" s="1" t="s">
        <v>17</v>
      </c>
      <c r="O1284" s="1" t="s">
        <v>2057</v>
      </c>
      <c r="P1284" s="1" t="s">
        <v>2056</v>
      </c>
      <c r="Q1284" s="1" t="s">
        <v>800</v>
      </c>
      <c r="R1284" s="1">
        <f t="shared" si="20"/>
        <v>3</v>
      </c>
      <c r="S1284" s="4">
        <f>J1284*K1284*M1284</f>
        <v>50000</v>
      </c>
    </row>
    <row r="1285" spans="1:19" ht="43" hidden="1" customHeight="1">
      <c r="A1285" s="1" t="s">
        <v>2280</v>
      </c>
      <c r="B1285" s="1" t="s">
        <v>1272</v>
      </c>
      <c r="C1285" s="29">
        <v>45836.414122164402</v>
      </c>
      <c r="D1285" s="1" t="s">
        <v>3052</v>
      </c>
      <c r="E1285" s="1" t="s">
        <v>3053</v>
      </c>
      <c r="F1285" s="1">
        <v>23</v>
      </c>
      <c r="G1285" s="12" t="s">
        <v>1363</v>
      </c>
      <c r="H1285" s="1" t="s">
        <v>1363</v>
      </c>
      <c r="I1285" s="1" t="s">
        <v>71</v>
      </c>
      <c r="J1285" s="30">
        <v>48.66</v>
      </c>
      <c r="K1285" s="30">
        <v>75000</v>
      </c>
      <c r="L1285" s="31">
        <v>3649500</v>
      </c>
      <c r="M1285" s="1" t="s">
        <v>30</v>
      </c>
      <c r="N1285" s="1" t="s">
        <v>17</v>
      </c>
      <c r="O1285" s="1" t="s">
        <v>2057</v>
      </c>
      <c r="P1285" s="1" t="s">
        <v>2056</v>
      </c>
      <c r="Q1285" s="1" t="s">
        <v>845</v>
      </c>
      <c r="R1285" s="1">
        <f t="shared" si="20"/>
        <v>2</v>
      </c>
      <c r="S1285" s="4">
        <f>J1285*K1285*M1285</f>
        <v>364950</v>
      </c>
    </row>
    <row r="1286" spans="1:19" ht="43" hidden="1" customHeight="1">
      <c r="A1286" s="1" t="s">
        <v>2280</v>
      </c>
      <c r="B1286" s="1" t="s">
        <v>1126</v>
      </c>
      <c r="C1286" s="29">
        <v>45826.433636481503</v>
      </c>
      <c r="D1286" s="1" t="s">
        <v>3058</v>
      </c>
      <c r="E1286" s="1" t="s">
        <v>3059</v>
      </c>
      <c r="F1286" s="1">
        <v>4</v>
      </c>
      <c r="G1286" s="12" t="s">
        <v>1363</v>
      </c>
      <c r="H1286" s="1" t="s">
        <v>1363</v>
      </c>
      <c r="I1286" s="1" t="s">
        <v>71</v>
      </c>
      <c r="J1286" s="30">
        <v>28.31</v>
      </c>
      <c r="K1286" s="30">
        <v>74000</v>
      </c>
      <c r="L1286" s="31">
        <v>2094940</v>
      </c>
      <c r="M1286" s="1" t="s">
        <v>30</v>
      </c>
      <c r="N1286" s="1" t="s">
        <v>17</v>
      </c>
      <c r="O1286" s="1" t="s">
        <v>2057</v>
      </c>
      <c r="P1286" s="1" t="s">
        <v>2056</v>
      </c>
      <c r="Q1286" s="1" t="s">
        <v>863</v>
      </c>
      <c r="R1286" s="1">
        <f t="shared" si="20"/>
        <v>2</v>
      </c>
      <c r="S1286" s="4">
        <f>J1286*K1286*M1286</f>
        <v>209494</v>
      </c>
    </row>
    <row r="1287" spans="1:19" ht="43" hidden="1" customHeight="1">
      <c r="A1287" s="1" t="s">
        <v>2280</v>
      </c>
      <c r="B1287" s="1" t="s">
        <v>1292</v>
      </c>
      <c r="C1287" s="29">
        <v>45812.375067858797</v>
      </c>
      <c r="D1287" s="1" t="s">
        <v>3085</v>
      </c>
      <c r="E1287" s="1" t="s">
        <v>3086</v>
      </c>
      <c r="F1287" s="1">
        <v>1</v>
      </c>
      <c r="G1287" s="12" t="s">
        <v>1363</v>
      </c>
      <c r="H1287" s="1" t="s">
        <v>1363</v>
      </c>
      <c r="I1287" s="1" t="s">
        <v>71</v>
      </c>
      <c r="J1287" s="30">
        <v>13.88</v>
      </c>
      <c r="K1287" s="30">
        <v>95000</v>
      </c>
      <c r="L1287" s="31">
        <v>1318600</v>
      </c>
      <c r="M1287" s="1" t="s">
        <v>30</v>
      </c>
      <c r="N1287" s="1" t="s">
        <v>17</v>
      </c>
      <c r="O1287" s="1" t="s">
        <v>2057</v>
      </c>
      <c r="P1287" s="1" t="s">
        <v>2056</v>
      </c>
      <c r="Q1287" s="1" t="s">
        <v>1865</v>
      </c>
      <c r="R1287" s="1">
        <f t="shared" si="20"/>
        <v>2</v>
      </c>
      <c r="S1287" s="4">
        <f>J1287*K1287*M1287</f>
        <v>131860</v>
      </c>
    </row>
    <row r="1288" spans="1:19" ht="43" hidden="1" customHeight="1">
      <c r="A1288" s="1" t="s">
        <v>2280</v>
      </c>
      <c r="B1288" s="1" t="s">
        <v>126</v>
      </c>
      <c r="C1288" s="29">
        <v>45898.896719536999</v>
      </c>
      <c r="D1288" s="1" t="s">
        <v>3052</v>
      </c>
      <c r="E1288" s="1" t="s">
        <v>3053</v>
      </c>
      <c r="F1288" s="1">
        <v>26</v>
      </c>
      <c r="G1288" s="12" t="s">
        <v>1363</v>
      </c>
      <c r="H1288" s="1" t="s">
        <v>1362</v>
      </c>
      <c r="I1288" s="1" t="s">
        <v>71</v>
      </c>
      <c r="J1288" s="30">
        <v>53</v>
      </c>
      <c r="K1288" s="30">
        <v>90000</v>
      </c>
      <c r="L1288" s="31">
        <v>4770000</v>
      </c>
      <c r="M1288" s="1" t="s">
        <v>30</v>
      </c>
      <c r="N1288" s="1" t="s">
        <v>17</v>
      </c>
      <c r="O1288" s="1" t="s">
        <v>2057</v>
      </c>
      <c r="P1288" s="1" t="s">
        <v>2056</v>
      </c>
      <c r="Q1288" s="1" t="s">
        <v>652</v>
      </c>
      <c r="R1288" s="1">
        <f t="shared" si="20"/>
        <v>3</v>
      </c>
      <c r="S1288" s="4">
        <f>J1288*K1288*M1288</f>
        <v>477000</v>
      </c>
    </row>
    <row r="1289" spans="1:19" ht="43" hidden="1" customHeight="1">
      <c r="A1289" s="1" t="s">
        <v>2280</v>
      </c>
      <c r="B1289" s="1" t="s">
        <v>190</v>
      </c>
      <c r="C1289" s="29">
        <v>45898.578290150501</v>
      </c>
      <c r="D1289" s="1" t="s">
        <v>3058</v>
      </c>
      <c r="E1289" s="1" t="s">
        <v>3059</v>
      </c>
      <c r="F1289" s="1">
        <v>4</v>
      </c>
      <c r="G1289" s="12" t="s">
        <v>1363</v>
      </c>
      <c r="H1289" s="1" t="s">
        <v>1362</v>
      </c>
      <c r="I1289" s="1" t="s">
        <v>71</v>
      </c>
      <c r="J1289" s="30">
        <v>32.746000000000002</v>
      </c>
      <c r="K1289" s="30">
        <v>90000</v>
      </c>
      <c r="L1289" s="31">
        <v>2947140</v>
      </c>
      <c r="M1289" s="1" t="s">
        <v>30</v>
      </c>
      <c r="N1289" s="1" t="s">
        <v>17</v>
      </c>
      <c r="O1289" s="1" t="s">
        <v>2057</v>
      </c>
      <c r="P1289" s="1" t="s">
        <v>2056</v>
      </c>
      <c r="Q1289" s="1" t="s">
        <v>652</v>
      </c>
      <c r="R1289" s="1">
        <f t="shared" si="20"/>
        <v>3</v>
      </c>
      <c r="S1289" s="4">
        <f>J1289*K1289*M1289</f>
        <v>294714</v>
      </c>
    </row>
    <row r="1290" spans="1:19" ht="43" hidden="1" customHeight="1">
      <c r="A1290" s="1" t="s">
        <v>2280</v>
      </c>
      <c r="B1290" s="1" t="s">
        <v>206</v>
      </c>
      <c r="C1290" s="29">
        <v>45892.673756828699</v>
      </c>
      <c r="D1290" s="1" t="s">
        <v>3060</v>
      </c>
      <c r="E1290" s="1" t="s">
        <v>3049</v>
      </c>
      <c r="F1290" s="1">
        <v>2</v>
      </c>
      <c r="G1290" s="12" t="s">
        <v>1363</v>
      </c>
      <c r="H1290" s="1" t="s">
        <v>1362</v>
      </c>
      <c r="I1290" s="1" t="s">
        <v>78</v>
      </c>
      <c r="J1290" s="30">
        <v>62.5</v>
      </c>
      <c r="K1290" s="30">
        <v>80000</v>
      </c>
      <c r="L1290" s="31">
        <v>5000000</v>
      </c>
      <c r="M1290" s="1" t="s">
        <v>30</v>
      </c>
      <c r="N1290" s="1" t="s">
        <v>17</v>
      </c>
      <c r="O1290" s="1" t="s">
        <v>2057</v>
      </c>
      <c r="P1290" s="1" t="s">
        <v>2056</v>
      </c>
      <c r="Q1290" s="1" t="s">
        <v>686</v>
      </c>
      <c r="R1290" s="1">
        <f t="shared" si="20"/>
        <v>3</v>
      </c>
      <c r="S1290" s="4">
        <f>J1290*K1290*M1290</f>
        <v>500000</v>
      </c>
    </row>
    <row r="1291" spans="1:19" ht="43" hidden="1" customHeight="1">
      <c r="A1291" s="1" t="s">
        <v>2280</v>
      </c>
      <c r="B1291" s="1" t="s">
        <v>1472</v>
      </c>
      <c r="C1291" s="29">
        <v>45899.6448496991</v>
      </c>
      <c r="D1291" s="1" t="s">
        <v>3052</v>
      </c>
      <c r="E1291" s="1" t="s">
        <v>3053</v>
      </c>
      <c r="F1291" s="1">
        <v>3</v>
      </c>
      <c r="G1291" s="12" t="s">
        <v>1363</v>
      </c>
      <c r="H1291" s="1" t="s">
        <v>1362</v>
      </c>
      <c r="I1291" s="1" t="s">
        <v>1342</v>
      </c>
      <c r="J1291" s="30">
        <v>12</v>
      </c>
      <c r="K1291" s="30">
        <v>70000</v>
      </c>
      <c r="L1291" s="31">
        <v>840000</v>
      </c>
      <c r="M1291" s="1" t="s">
        <v>30</v>
      </c>
      <c r="N1291" s="1" t="s">
        <v>17</v>
      </c>
      <c r="O1291" s="1" t="s">
        <v>2057</v>
      </c>
      <c r="P1291" s="1" t="s">
        <v>2056</v>
      </c>
      <c r="Q1291" s="1" t="s">
        <v>636</v>
      </c>
      <c r="R1291" s="1">
        <f t="shared" si="20"/>
        <v>3</v>
      </c>
      <c r="S1291" s="4">
        <f>J1291*K1291*M1291</f>
        <v>84000</v>
      </c>
    </row>
    <row r="1292" spans="1:19" ht="43" hidden="1" customHeight="1">
      <c r="A1292" s="1" t="s">
        <v>2280</v>
      </c>
      <c r="B1292" s="1" t="s">
        <v>126</v>
      </c>
      <c r="C1292" s="29">
        <v>45898.896719536999</v>
      </c>
      <c r="D1292" s="1" t="s">
        <v>3052</v>
      </c>
      <c r="E1292" s="1" t="s">
        <v>3053</v>
      </c>
      <c r="F1292" s="1">
        <v>16</v>
      </c>
      <c r="G1292" s="12" t="s">
        <v>1363</v>
      </c>
      <c r="H1292" s="1" t="s">
        <v>1415</v>
      </c>
      <c r="I1292" s="1" t="s">
        <v>71</v>
      </c>
      <c r="J1292" s="30">
        <v>1.7</v>
      </c>
      <c r="K1292" s="30">
        <v>90000</v>
      </c>
      <c r="L1292" s="31">
        <v>153000</v>
      </c>
      <c r="M1292" s="1" t="s">
        <v>30</v>
      </c>
      <c r="N1292" s="1" t="s">
        <v>17</v>
      </c>
      <c r="O1292" s="1" t="s">
        <v>2057</v>
      </c>
      <c r="P1292" s="1" t="s">
        <v>2056</v>
      </c>
      <c r="Q1292" s="1" t="s">
        <v>652</v>
      </c>
      <c r="R1292" s="1">
        <f t="shared" si="20"/>
        <v>3</v>
      </c>
      <c r="S1292" s="4">
        <f>J1292*K1292*M1292</f>
        <v>15300</v>
      </c>
    </row>
    <row r="1293" spans="1:19" ht="43" hidden="1" customHeight="1">
      <c r="A1293" s="1" t="s">
        <v>2280</v>
      </c>
      <c r="B1293" s="1" t="s">
        <v>125</v>
      </c>
      <c r="C1293" s="29">
        <v>45927.918464398201</v>
      </c>
      <c r="D1293" s="1" t="s">
        <v>3054</v>
      </c>
      <c r="E1293" s="1" t="s">
        <v>3055</v>
      </c>
      <c r="F1293" s="1">
        <v>3</v>
      </c>
      <c r="G1293" s="12" t="s">
        <v>1363</v>
      </c>
      <c r="H1293" s="1" t="s">
        <v>1641</v>
      </c>
      <c r="I1293" s="1" t="s">
        <v>1342</v>
      </c>
      <c r="J1293" s="30">
        <v>12</v>
      </c>
      <c r="K1293" s="30">
        <v>50000</v>
      </c>
      <c r="L1293" s="31">
        <v>600000</v>
      </c>
      <c r="M1293" s="1" t="s">
        <v>30</v>
      </c>
      <c r="N1293" s="1" t="s">
        <v>17</v>
      </c>
      <c r="O1293" s="1" t="s">
        <v>2057</v>
      </c>
      <c r="P1293" s="1" t="s">
        <v>2056</v>
      </c>
      <c r="Q1293" s="1" t="s">
        <v>588</v>
      </c>
      <c r="R1293" s="1">
        <f t="shared" si="20"/>
        <v>3</v>
      </c>
      <c r="S1293" s="4">
        <f>J1293*K1293*M1293</f>
        <v>60000</v>
      </c>
    </row>
    <row r="1294" spans="1:19" ht="43" customHeight="1">
      <c r="A1294" s="1" t="s">
        <v>2280</v>
      </c>
      <c r="B1294" s="1" t="s">
        <v>188</v>
      </c>
      <c r="C1294" s="29">
        <v>45928.944600393501</v>
      </c>
      <c r="D1294" s="1" t="s">
        <v>3052</v>
      </c>
      <c r="E1294" s="1" t="s">
        <v>3053</v>
      </c>
      <c r="F1294" s="1">
        <v>2</v>
      </c>
      <c r="H1294" s="1" t="s">
        <v>1594</v>
      </c>
      <c r="I1294" s="1" t="s">
        <v>78</v>
      </c>
      <c r="J1294" s="30">
        <v>12</v>
      </c>
      <c r="K1294" s="30">
        <v>70000</v>
      </c>
      <c r="L1294" s="31">
        <v>840000</v>
      </c>
      <c r="M1294" s="1" t="s">
        <v>30</v>
      </c>
      <c r="N1294" s="1" t="s">
        <v>17</v>
      </c>
      <c r="O1294" s="1" t="s">
        <v>2057</v>
      </c>
      <c r="P1294" s="1" t="s">
        <v>2056</v>
      </c>
      <c r="Q1294" s="1" t="s">
        <v>546</v>
      </c>
      <c r="R1294" s="1">
        <f t="shared" si="20"/>
        <v>3</v>
      </c>
      <c r="S1294" s="4">
        <f>J1294*K1294*M1294</f>
        <v>84000</v>
      </c>
    </row>
    <row r="1295" spans="1:19" ht="43" customHeight="1">
      <c r="A1295" s="1" t="s">
        <v>2280</v>
      </c>
      <c r="B1295" s="1" t="s">
        <v>85</v>
      </c>
      <c r="C1295" s="29">
        <v>45793.569302812502</v>
      </c>
      <c r="D1295" s="1" t="s">
        <v>3050</v>
      </c>
      <c r="E1295" s="1" t="s">
        <v>3051</v>
      </c>
      <c r="F1295" s="1">
        <v>2</v>
      </c>
      <c r="H1295" s="1" t="s">
        <v>1892</v>
      </c>
      <c r="I1295" s="1" t="s">
        <v>78</v>
      </c>
      <c r="J1295" s="30">
        <v>142.51</v>
      </c>
      <c r="K1295" s="30">
        <v>90909</v>
      </c>
      <c r="L1295" s="31">
        <v>12955441.59</v>
      </c>
      <c r="M1295" s="1" t="s">
        <v>30</v>
      </c>
      <c r="N1295" s="1" t="s">
        <v>17</v>
      </c>
      <c r="O1295" s="1" t="s">
        <v>2057</v>
      </c>
      <c r="P1295" s="1" t="s">
        <v>2056</v>
      </c>
      <c r="Q1295" s="1" t="s">
        <v>1056</v>
      </c>
      <c r="R1295" s="1">
        <f t="shared" si="20"/>
        <v>2</v>
      </c>
      <c r="S1295" s="4">
        <f>J1295*K1295*M1295</f>
        <v>1295544.159</v>
      </c>
    </row>
    <row r="1296" spans="1:19" ht="43" customHeight="1">
      <c r="A1296" s="1" t="s">
        <v>2280</v>
      </c>
      <c r="B1296" s="1" t="s">
        <v>1417</v>
      </c>
      <c r="C1296" s="29">
        <v>45868.607072511601</v>
      </c>
      <c r="D1296" s="1" t="s">
        <v>3052</v>
      </c>
      <c r="E1296" s="1" t="s">
        <v>3053</v>
      </c>
      <c r="F1296" s="1">
        <v>7</v>
      </c>
      <c r="H1296" s="1" t="s">
        <v>1746</v>
      </c>
      <c r="I1296" s="1" t="s">
        <v>78</v>
      </c>
      <c r="J1296" s="30">
        <v>75.28</v>
      </c>
      <c r="K1296" s="30">
        <v>85000</v>
      </c>
      <c r="L1296" s="31">
        <v>6398460</v>
      </c>
      <c r="M1296" s="1" t="s">
        <v>30</v>
      </c>
      <c r="N1296" s="1" t="s">
        <v>17</v>
      </c>
      <c r="O1296" s="1" t="s">
        <v>2057</v>
      </c>
      <c r="P1296" s="1" t="s">
        <v>2056</v>
      </c>
      <c r="Q1296" s="1" t="s">
        <v>800</v>
      </c>
      <c r="R1296" s="1">
        <f t="shared" si="20"/>
        <v>3</v>
      </c>
      <c r="S1296" s="4">
        <f>J1296*K1296*M1296</f>
        <v>639880</v>
      </c>
    </row>
    <row r="1297" spans="1:19" ht="43" customHeight="1">
      <c r="A1297" s="1" t="s">
        <v>2280</v>
      </c>
      <c r="B1297" s="1" t="s">
        <v>1449</v>
      </c>
      <c r="C1297" s="29">
        <v>45948.596865787003</v>
      </c>
      <c r="D1297" s="1" t="s">
        <v>3079</v>
      </c>
      <c r="E1297" s="1" t="s">
        <v>3080</v>
      </c>
      <c r="F1297" s="1">
        <v>1</v>
      </c>
      <c r="H1297" s="1" t="s">
        <v>1381</v>
      </c>
      <c r="I1297" s="1" t="s">
        <v>78</v>
      </c>
      <c r="J1297" s="30">
        <v>91.313999999999993</v>
      </c>
      <c r="K1297" s="30">
        <v>81818.179999999993</v>
      </c>
      <c r="L1297" s="31">
        <v>7471145</v>
      </c>
      <c r="M1297" s="1" t="s">
        <v>30</v>
      </c>
      <c r="N1297" s="1" t="s">
        <v>17</v>
      </c>
      <c r="O1297" s="1" t="s">
        <v>2057</v>
      </c>
      <c r="P1297" s="1" t="s">
        <v>2056</v>
      </c>
      <c r="Q1297" s="1" t="s">
        <v>459</v>
      </c>
      <c r="R1297" s="1">
        <f t="shared" si="20"/>
        <v>4</v>
      </c>
      <c r="S1297" s="4">
        <f>J1297*K1297*M1297</f>
        <v>747114.5288519999</v>
      </c>
    </row>
    <row r="1298" spans="1:19" ht="43" customHeight="1">
      <c r="A1298" s="1" t="s">
        <v>2280</v>
      </c>
      <c r="B1298" s="1" t="s">
        <v>221</v>
      </c>
      <c r="C1298" s="29">
        <v>45776.500553657403</v>
      </c>
      <c r="D1298" s="1" t="s">
        <v>3052</v>
      </c>
      <c r="E1298" s="1" t="s">
        <v>3053</v>
      </c>
      <c r="F1298" s="1">
        <v>28</v>
      </c>
      <c r="G1298" s="33"/>
      <c r="H1298" s="1" t="s">
        <v>1381</v>
      </c>
      <c r="I1298" s="1" t="s">
        <v>78</v>
      </c>
      <c r="J1298" s="30">
        <v>72.680000000000007</v>
      </c>
      <c r="K1298" s="30">
        <v>70000</v>
      </c>
      <c r="L1298" s="31">
        <v>5087600</v>
      </c>
      <c r="M1298" s="1" t="s">
        <v>30</v>
      </c>
      <c r="N1298" s="1" t="s">
        <v>17</v>
      </c>
      <c r="O1298" s="1" t="s">
        <v>2057</v>
      </c>
      <c r="P1298" s="1" t="s">
        <v>2056</v>
      </c>
      <c r="Q1298" s="1" t="s">
        <v>937</v>
      </c>
      <c r="R1298" s="1">
        <f t="shared" si="20"/>
        <v>2</v>
      </c>
      <c r="S1298" s="4">
        <f>J1298*K1298*M1298</f>
        <v>508760.00000000012</v>
      </c>
    </row>
    <row r="1299" spans="1:19" ht="43" customHeight="1">
      <c r="A1299" s="1" t="s">
        <v>2280</v>
      </c>
      <c r="B1299" s="1" t="s">
        <v>200</v>
      </c>
      <c r="C1299" s="29">
        <v>45723.340621296302</v>
      </c>
      <c r="D1299" s="1" t="s">
        <v>3087</v>
      </c>
      <c r="E1299" s="1" t="s">
        <v>3088</v>
      </c>
      <c r="F1299" s="1">
        <v>1</v>
      </c>
      <c r="H1299" s="1" t="s">
        <v>1381</v>
      </c>
      <c r="I1299" s="1" t="s">
        <v>78</v>
      </c>
      <c r="J1299" s="30">
        <v>226.12</v>
      </c>
      <c r="K1299" s="30">
        <v>87000</v>
      </c>
      <c r="L1299" s="31">
        <v>19672440</v>
      </c>
      <c r="M1299" s="1" t="s">
        <v>30</v>
      </c>
      <c r="N1299" s="1" t="s">
        <v>17</v>
      </c>
      <c r="O1299" s="1" t="s">
        <v>2057</v>
      </c>
      <c r="P1299" s="1" t="s">
        <v>2056</v>
      </c>
      <c r="Q1299" s="1" t="s">
        <v>2038</v>
      </c>
      <c r="R1299" s="1">
        <f t="shared" si="20"/>
        <v>1</v>
      </c>
      <c r="S1299" s="4">
        <f>J1299*K1299*M1299</f>
        <v>1967244</v>
      </c>
    </row>
    <row r="1300" spans="1:19" ht="43" customHeight="1">
      <c r="A1300" s="1" t="s">
        <v>2280</v>
      </c>
      <c r="B1300" s="1" t="s">
        <v>137</v>
      </c>
      <c r="C1300" s="29">
        <v>45868.572525138901</v>
      </c>
      <c r="D1300" s="1" t="s">
        <v>3056</v>
      </c>
      <c r="E1300" s="1" t="s">
        <v>3057</v>
      </c>
      <c r="F1300" s="1">
        <v>3</v>
      </c>
      <c r="H1300" s="1" t="s">
        <v>1758</v>
      </c>
      <c r="I1300" s="1" t="s">
        <v>78</v>
      </c>
      <c r="J1300" s="30">
        <v>49.14</v>
      </c>
      <c r="K1300" s="30">
        <v>65000</v>
      </c>
      <c r="L1300" s="31">
        <v>3194100</v>
      </c>
      <c r="M1300" s="1" t="s">
        <v>30</v>
      </c>
      <c r="N1300" s="1" t="s">
        <v>17</v>
      </c>
      <c r="O1300" s="1" t="s">
        <v>2057</v>
      </c>
      <c r="P1300" s="1" t="s">
        <v>2056</v>
      </c>
      <c r="Q1300" s="1" t="s">
        <v>800</v>
      </c>
      <c r="R1300" s="1">
        <f t="shared" si="20"/>
        <v>3</v>
      </c>
      <c r="S1300" s="4">
        <f>J1300*K1300*M1300</f>
        <v>319410</v>
      </c>
    </row>
    <row r="1301" spans="1:19" ht="43" customHeight="1">
      <c r="A1301" s="1" t="s">
        <v>2280</v>
      </c>
      <c r="B1301" s="1" t="s">
        <v>125</v>
      </c>
      <c r="C1301" s="29">
        <v>45927.918464398201</v>
      </c>
      <c r="D1301" s="1" t="s">
        <v>3054</v>
      </c>
      <c r="E1301" s="1" t="s">
        <v>3055</v>
      </c>
      <c r="F1301" s="1">
        <v>2</v>
      </c>
      <c r="H1301" s="1" t="s">
        <v>1640</v>
      </c>
      <c r="I1301" s="1" t="s">
        <v>78</v>
      </c>
      <c r="J1301" s="30">
        <v>66.096000000000004</v>
      </c>
      <c r="K1301" s="30">
        <v>95000</v>
      </c>
      <c r="L1301" s="31">
        <v>6279120</v>
      </c>
      <c r="M1301" s="1" t="s">
        <v>30</v>
      </c>
      <c r="N1301" s="1" t="s">
        <v>17</v>
      </c>
      <c r="O1301" s="1" t="s">
        <v>2057</v>
      </c>
      <c r="P1301" s="1" t="s">
        <v>2056</v>
      </c>
      <c r="Q1301" s="1" t="s">
        <v>588</v>
      </c>
      <c r="R1301" s="1">
        <f t="shared" si="20"/>
        <v>3</v>
      </c>
      <c r="S1301" s="4">
        <f>J1301*K1301*M1301</f>
        <v>627912</v>
      </c>
    </row>
    <row r="1302" spans="1:19" ht="43" customHeight="1">
      <c r="A1302" s="1" t="s">
        <v>2280</v>
      </c>
      <c r="B1302" s="1" t="s">
        <v>194</v>
      </c>
      <c r="C1302" s="29">
        <v>45747.667547175901</v>
      </c>
      <c r="D1302" s="1" t="s">
        <v>3071</v>
      </c>
      <c r="E1302" s="1" t="s">
        <v>3053</v>
      </c>
      <c r="F1302" s="1">
        <v>11</v>
      </c>
      <c r="H1302" s="1" t="s">
        <v>1996</v>
      </c>
      <c r="I1302" s="1" t="s">
        <v>71</v>
      </c>
      <c r="J1302" s="30">
        <v>145.80000000000001</v>
      </c>
      <c r="K1302" s="30">
        <v>63636</v>
      </c>
      <c r="L1302" s="31">
        <v>9278128.8000000007</v>
      </c>
      <c r="M1302" s="1" t="s">
        <v>30</v>
      </c>
      <c r="N1302" s="1" t="s">
        <v>17</v>
      </c>
      <c r="O1302" s="1" t="s">
        <v>2057</v>
      </c>
      <c r="P1302" s="1" t="s">
        <v>2056</v>
      </c>
      <c r="Q1302" s="1" t="s">
        <v>42</v>
      </c>
      <c r="R1302" s="1">
        <f t="shared" si="20"/>
        <v>1</v>
      </c>
      <c r="S1302" s="4">
        <f>J1302*K1302*M1302</f>
        <v>927812.88000000012</v>
      </c>
    </row>
    <row r="1303" spans="1:19" ht="43" customHeight="1">
      <c r="A1303" s="1" t="s">
        <v>2280</v>
      </c>
      <c r="B1303" s="1" t="s">
        <v>1458</v>
      </c>
      <c r="C1303" s="29">
        <v>45937.406673483798</v>
      </c>
      <c r="D1303" s="1" t="s">
        <v>3089</v>
      </c>
      <c r="E1303" s="1" t="s">
        <v>3090</v>
      </c>
      <c r="F1303" s="1">
        <v>1</v>
      </c>
      <c r="H1303" s="1" t="s">
        <v>1590</v>
      </c>
      <c r="I1303" s="1" t="s">
        <v>78</v>
      </c>
      <c r="J1303" s="30">
        <v>17.82</v>
      </c>
      <c r="K1303" s="30">
        <v>65000</v>
      </c>
      <c r="L1303" s="31">
        <v>1158300</v>
      </c>
      <c r="M1303" s="1" t="s">
        <v>30</v>
      </c>
      <c r="N1303" s="1" t="s">
        <v>17</v>
      </c>
      <c r="O1303" s="1" t="s">
        <v>2057</v>
      </c>
      <c r="P1303" s="1" t="s">
        <v>2056</v>
      </c>
      <c r="Q1303" s="1" t="s">
        <v>1587</v>
      </c>
      <c r="R1303" s="1">
        <f t="shared" si="20"/>
        <v>4</v>
      </c>
      <c r="S1303" s="4">
        <f>J1303*K1303*M1303</f>
        <v>115830</v>
      </c>
    </row>
    <row r="1304" spans="1:19" ht="43" customHeight="1">
      <c r="A1304" s="1" t="s">
        <v>2280</v>
      </c>
      <c r="B1304" s="1" t="s">
        <v>1471</v>
      </c>
      <c r="C1304" s="29">
        <v>45910.438682407403</v>
      </c>
      <c r="D1304" s="1" t="s">
        <v>3052</v>
      </c>
      <c r="E1304" s="1" t="s">
        <v>3053</v>
      </c>
      <c r="F1304" s="1">
        <v>3</v>
      </c>
      <c r="H1304" s="1" t="s">
        <v>1653</v>
      </c>
      <c r="I1304" s="1" t="s">
        <v>78</v>
      </c>
      <c r="J1304" s="30">
        <v>145.80000000000001</v>
      </c>
      <c r="K1304" s="30">
        <v>70000</v>
      </c>
      <c r="L1304" s="31">
        <v>10206000</v>
      </c>
      <c r="M1304" s="1" t="s">
        <v>30</v>
      </c>
      <c r="N1304" s="1" t="s">
        <v>17</v>
      </c>
      <c r="O1304" s="1" t="s">
        <v>2057</v>
      </c>
      <c r="P1304" s="1" t="s">
        <v>2056</v>
      </c>
      <c r="Q1304" s="1" t="s">
        <v>1652</v>
      </c>
      <c r="R1304" s="1">
        <f t="shared" si="20"/>
        <v>3</v>
      </c>
      <c r="S1304" s="4">
        <f>J1304*K1304*M1304</f>
        <v>1020600</v>
      </c>
    </row>
    <row r="1305" spans="1:19" ht="43" hidden="1" customHeight="1">
      <c r="A1305" s="1" t="s">
        <v>2072</v>
      </c>
      <c r="B1305" s="1" t="s">
        <v>819</v>
      </c>
      <c r="C1305" s="29">
        <v>46019.405064398103</v>
      </c>
      <c r="F1305" s="1">
        <v>1</v>
      </c>
      <c r="G1305" s="12" t="s">
        <v>1346</v>
      </c>
      <c r="H1305" s="1" t="s">
        <v>1346</v>
      </c>
      <c r="I1305" s="1" t="s">
        <v>71</v>
      </c>
      <c r="J1305" s="30">
        <v>156</v>
      </c>
      <c r="K1305" s="30">
        <v>142006.70000000001</v>
      </c>
      <c r="L1305" s="31">
        <v>22153045</v>
      </c>
      <c r="M1305" s="1" t="s">
        <v>30</v>
      </c>
      <c r="N1305" s="1" t="s">
        <v>17</v>
      </c>
      <c r="O1305" s="1" t="s">
        <v>2057</v>
      </c>
      <c r="P1305" s="1" t="s">
        <v>2056</v>
      </c>
      <c r="Q1305" s="1" t="s">
        <v>260</v>
      </c>
      <c r="R1305" s="1">
        <f t="shared" si="20"/>
        <v>4</v>
      </c>
      <c r="S1305" s="4">
        <f>J1305*K1305*M1305</f>
        <v>2215304.5200000005</v>
      </c>
    </row>
    <row r="1306" spans="1:19" ht="43" hidden="1" customHeight="1">
      <c r="A1306" s="1" t="s">
        <v>2072</v>
      </c>
      <c r="B1306" s="1" t="s">
        <v>1306</v>
      </c>
      <c r="C1306" s="29">
        <v>46015.661748333303</v>
      </c>
      <c r="D1306" s="1" t="s">
        <v>3063</v>
      </c>
      <c r="E1306" s="1" t="s">
        <v>3062</v>
      </c>
      <c r="F1306" s="1">
        <v>2</v>
      </c>
      <c r="G1306" s="12" t="s">
        <v>1346</v>
      </c>
      <c r="H1306" s="1" t="s">
        <v>1346</v>
      </c>
      <c r="I1306" s="1" t="s">
        <v>71</v>
      </c>
      <c r="J1306" s="30">
        <v>976</v>
      </c>
      <c r="K1306" s="30">
        <v>142000</v>
      </c>
      <c r="L1306" s="31">
        <v>138592000</v>
      </c>
      <c r="M1306" s="1" t="s">
        <v>30</v>
      </c>
      <c r="N1306" s="1" t="s">
        <v>17</v>
      </c>
      <c r="O1306" s="1" t="s">
        <v>2057</v>
      </c>
      <c r="P1306" s="1" t="s">
        <v>2056</v>
      </c>
      <c r="Q1306" s="1" t="s">
        <v>1507</v>
      </c>
      <c r="R1306" s="1">
        <f t="shared" si="20"/>
        <v>4</v>
      </c>
      <c r="S1306" s="4">
        <f>J1306*K1306*M1306</f>
        <v>13859200</v>
      </c>
    </row>
    <row r="1307" spans="1:19" ht="43" hidden="1" customHeight="1">
      <c r="A1307" s="1" t="s">
        <v>2072</v>
      </c>
      <c r="B1307" s="1" t="s">
        <v>221</v>
      </c>
      <c r="C1307" s="29">
        <v>46015.409519594898</v>
      </c>
      <c r="F1307" s="1">
        <v>1</v>
      </c>
      <c r="G1307" s="12" t="s">
        <v>1346</v>
      </c>
      <c r="H1307" s="1" t="s">
        <v>1346</v>
      </c>
      <c r="I1307" s="1" t="s">
        <v>71</v>
      </c>
      <c r="J1307" s="30">
        <v>29</v>
      </c>
      <c r="K1307" s="30">
        <v>140752.35999999999</v>
      </c>
      <c r="L1307" s="31">
        <v>4081818</v>
      </c>
      <c r="M1307" s="1" t="s">
        <v>30</v>
      </c>
      <c r="N1307" s="1" t="s">
        <v>17</v>
      </c>
      <c r="O1307" s="1" t="s">
        <v>2057</v>
      </c>
      <c r="P1307" s="1" t="s">
        <v>2056</v>
      </c>
      <c r="Q1307" s="1" t="s">
        <v>1507</v>
      </c>
      <c r="R1307" s="1">
        <f t="shared" si="20"/>
        <v>4</v>
      </c>
      <c r="S1307" s="4">
        <f>J1307*K1307*M1307</f>
        <v>408181.84399999998</v>
      </c>
    </row>
    <row r="1308" spans="1:19" ht="43" hidden="1" customHeight="1">
      <c r="A1308" s="1" t="s">
        <v>2072</v>
      </c>
      <c r="B1308" s="1" t="s">
        <v>1308</v>
      </c>
      <c r="C1308" s="29">
        <v>46013.847444409701</v>
      </c>
      <c r="F1308" s="1">
        <v>1</v>
      </c>
      <c r="G1308" s="12" t="s">
        <v>1346</v>
      </c>
      <c r="H1308" s="1" t="s">
        <v>1346</v>
      </c>
      <c r="I1308" s="1" t="s">
        <v>71</v>
      </c>
      <c r="J1308" s="30">
        <v>32.5</v>
      </c>
      <c r="K1308" s="30">
        <v>139860.13</v>
      </c>
      <c r="L1308" s="31">
        <v>4545455</v>
      </c>
      <c r="M1308" s="1" t="s">
        <v>30</v>
      </c>
      <c r="N1308" s="1" t="s">
        <v>17</v>
      </c>
      <c r="O1308" s="1" t="s">
        <v>2057</v>
      </c>
      <c r="P1308" s="1" t="s">
        <v>2056</v>
      </c>
      <c r="Q1308" s="1" t="s">
        <v>1508</v>
      </c>
      <c r="R1308" s="1">
        <f t="shared" si="20"/>
        <v>4</v>
      </c>
      <c r="S1308" s="4">
        <f>J1308*K1308*M1308</f>
        <v>454545.4225000001</v>
      </c>
    </row>
    <row r="1309" spans="1:19" ht="43" hidden="1" customHeight="1">
      <c r="A1309" s="1" t="s">
        <v>2072</v>
      </c>
      <c r="B1309" s="1" t="s">
        <v>153</v>
      </c>
      <c r="C1309" s="29">
        <v>46013.846539571801</v>
      </c>
      <c r="F1309" s="1">
        <v>1</v>
      </c>
      <c r="G1309" s="12" t="s">
        <v>1346</v>
      </c>
      <c r="H1309" s="1" t="s">
        <v>1346</v>
      </c>
      <c r="I1309" s="1" t="s">
        <v>71</v>
      </c>
      <c r="J1309" s="30">
        <v>14.4</v>
      </c>
      <c r="K1309" s="30">
        <v>140214.68</v>
      </c>
      <c r="L1309" s="31">
        <v>2019091.392</v>
      </c>
      <c r="M1309" s="1" t="s">
        <v>30</v>
      </c>
      <c r="N1309" s="1" t="s">
        <v>17</v>
      </c>
      <c r="O1309" s="1" t="s">
        <v>2057</v>
      </c>
      <c r="P1309" s="1" t="s">
        <v>2056</v>
      </c>
      <c r="Q1309" s="1" t="s">
        <v>1508</v>
      </c>
      <c r="R1309" s="1">
        <f t="shared" si="20"/>
        <v>4</v>
      </c>
      <c r="S1309" s="4">
        <f>J1309*K1309*M1309</f>
        <v>201909.13920000001</v>
      </c>
    </row>
    <row r="1310" spans="1:19" ht="43" hidden="1" customHeight="1">
      <c r="A1310" s="1" t="s">
        <v>2072</v>
      </c>
      <c r="B1310" s="1" t="s">
        <v>1324</v>
      </c>
      <c r="C1310" s="29">
        <v>46012.934149918998</v>
      </c>
      <c r="F1310" s="1">
        <v>1</v>
      </c>
      <c r="G1310" s="12" t="s">
        <v>1346</v>
      </c>
      <c r="H1310" s="1" t="s">
        <v>1346</v>
      </c>
      <c r="I1310" s="1" t="s">
        <v>71</v>
      </c>
      <c r="J1310" s="30">
        <v>32.299999999999997</v>
      </c>
      <c r="K1310" s="30">
        <v>140000</v>
      </c>
      <c r="L1310" s="31">
        <v>4522000</v>
      </c>
      <c r="M1310" s="1" t="s">
        <v>30</v>
      </c>
      <c r="N1310" s="1" t="s">
        <v>17</v>
      </c>
      <c r="O1310" s="1" t="s">
        <v>2057</v>
      </c>
      <c r="P1310" s="1" t="s">
        <v>2056</v>
      </c>
      <c r="Q1310" s="1" t="s">
        <v>295</v>
      </c>
      <c r="R1310" s="1">
        <f t="shared" si="20"/>
        <v>4</v>
      </c>
      <c r="S1310" s="4">
        <f>J1310*K1310*M1310</f>
        <v>452200</v>
      </c>
    </row>
    <row r="1311" spans="1:19" ht="43" hidden="1" customHeight="1">
      <c r="A1311" s="1" t="s">
        <v>2280</v>
      </c>
      <c r="B1311" s="1" t="s">
        <v>798</v>
      </c>
      <c r="C1311" s="29">
        <v>46007.7069191435</v>
      </c>
      <c r="F1311" s="1">
        <v>1</v>
      </c>
      <c r="G1311" s="12" t="s">
        <v>1346</v>
      </c>
      <c r="H1311" s="1" t="s">
        <v>1346</v>
      </c>
      <c r="I1311" s="1" t="s">
        <v>71</v>
      </c>
      <c r="J1311" s="30">
        <v>120</v>
      </c>
      <c r="K1311" s="30">
        <v>137000</v>
      </c>
      <c r="L1311" s="31">
        <v>16440000</v>
      </c>
      <c r="M1311" s="1" t="s">
        <v>30</v>
      </c>
      <c r="N1311" s="1" t="s">
        <v>17</v>
      </c>
      <c r="O1311" s="1" t="s">
        <v>2057</v>
      </c>
      <c r="P1311" s="1" t="s">
        <v>2056</v>
      </c>
      <c r="Q1311" s="1" t="s">
        <v>262</v>
      </c>
      <c r="R1311" s="1">
        <f t="shared" si="20"/>
        <v>4</v>
      </c>
      <c r="S1311" s="4">
        <f>J1311*K1311*M1311</f>
        <v>1644000</v>
      </c>
    </row>
    <row r="1312" spans="1:19" ht="43" hidden="1" customHeight="1">
      <c r="A1312" s="1" t="s">
        <v>2280</v>
      </c>
      <c r="B1312" s="1" t="s">
        <v>932</v>
      </c>
      <c r="C1312" s="29">
        <v>45983.678793148101</v>
      </c>
      <c r="F1312" s="1">
        <v>1</v>
      </c>
      <c r="G1312" s="12" t="s">
        <v>1346</v>
      </c>
      <c r="H1312" s="1" t="s">
        <v>1346</v>
      </c>
      <c r="I1312" s="1" t="s">
        <v>71</v>
      </c>
      <c r="J1312" s="30">
        <v>58.45</v>
      </c>
      <c r="K1312" s="30">
        <v>140000</v>
      </c>
      <c r="L1312" s="31">
        <v>8183000</v>
      </c>
      <c r="M1312" s="1" t="s">
        <v>30</v>
      </c>
      <c r="N1312" s="1" t="s">
        <v>17</v>
      </c>
      <c r="O1312" s="1" t="s">
        <v>2057</v>
      </c>
      <c r="P1312" s="1" t="s">
        <v>2056</v>
      </c>
      <c r="Q1312" s="1" t="s">
        <v>1563</v>
      </c>
      <c r="R1312" s="1">
        <f t="shared" si="20"/>
        <v>4</v>
      </c>
      <c r="S1312" s="4">
        <f>J1312*K1312*M1312</f>
        <v>818300</v>
      </c>
    </row>
    <row r="1313" spans="1:19" ht="43" hidden="1" customHeight="1">
      <c r="A1313" s="1" t="s">
        <v>2280</v>
      </c>
      <c r="B1313" s="1" t="s">
        <v>1453</v>
      </c>
      <c r="C1313" s="29">
        <v>45943.6349594329</v>
      </c>
      <c r="F1313" s="1">
        <v>1</v>
      </c>
      <c r="G1313" s="12" t="s">
        <v>1346</v>
      </c>
      <c r="H1313" s="1" t="s">
        <v>1346</v>
      </c>
      <c r="I1313" s="1" t="s">
        <v>71</v>
      </c>
      <c r="J1313" s="30">
        <v>65.83</v>
      </c>
      <c r="K1313" s="30">
        <v>145000</v>
      </c>
      <c r="L1313" s="31">
        <v>9545350</v>
      </c>
      <c r="M1313" s="1" t="s">
        <v>30</v>
      </c>
      <c r="N1313" s="1" t="s">
        <v>17</v>
      </c>
      <c r="O1313" s="1" t="s">
        <v>2057</v>
      </c>
      <c r="P1313" s="1" t="s">
        <v>2056</v>
      </c>
      <c r="Q1313" s="1" t="s">
        <v>515</v>
      </c>
      <c r="R1313" s="1">
        <f t="shared" si="20"/>
        <v>4</v>
      </c>
      <c r="S1313" s="4">
        <f>J1313*K1313*M1313</f>
        <v>954535</v>
      </c>
    </row>
    <row r="1314" spans="1:19" ht="43" hidden="1" customHeight="1">
      <c r="A1314" s="1" t="s">
        <v>2280</v>
      </c>
      <c r="B1314" s="1" t="s">
        <v>111</v>
      </c>
      <c r="C1314" s="29">
        <v>45943.633479594901</v>
      </c>
      <c r="F1314" s="1">
        <v>1</v>
      </c>
      <c r="G1314" s="12" t="s">
        <v>1346</v>
      </c>
      <c r="H1314" s="1" t="s">
        <v>1346</v>
      </c>
      <c r="I1314" s="1" t="s">
        <v>71</v>
      </c>
      <c r="J1314" s="30">
        <v>79.290000000000006</v>
      </c>
      <c r="K1314" s="30">
        <v>145000</v>
      </c>
      <c r="L1314" s="31">
        <v>11497050</v>
      </c>
      <c r="M1314" s="1" t="s">
        <v>30</v>
      </c>
      <c r="N1314" s="1" t="s">
        <v>17</v>
      </c>
      <c r="O1314" s="1" t="s">
        <v>2057</v>
      </c>
      <c r="P1314" s="1" t="s">
        <v>2056</v>
      </c>
      <c r="Q1314" s="1" t="s">
        <v>515</v>
      </c>
      <c r="R1314" s="1">
        <f t="shared" si="20"/>
        <v>4</v>
      </c>
      <c r="S1314" s="4">
        <f>J1314*K1314*M1314</f>
        <v>1149705</v>
      </c>
    </row>
    <row r="1315" spans="1:19" ht="43" hidden="1" customHeight="1">
      <c r="A1315" s="1" t="s">
        <v>2280</v>
      </c>
      <c r="B1315" s="1" t="s">
        <v>1304</v>
      </c>
      <c r="C1315" s="29">
        <v>45785.609562407401</v>
      </c>
      <c r="D1315" s="1" t="s">
        <v>3054</v>
      </c>
      <c r="E1315" s="1" t="s">
        <v>3055</v>
      </c>
      <c r="F1315" s="1">
        <v>1</v>
      </c>
      <c r="G1315" s="12" t="s">
        <v>1346</v>
      </c>
      <c r="H1315" s="1" t="s">
        <v>1898</v>
      </c>
      <c r="I1315" s="1" t="s">
        <v>78</v>
      </c>
      <c r="J1315" s="30">
        <v>196.23</v>
      </c>
      <c r="K1315" s="30">
        <v>150000</v>
      </c>
      <c r="L1315" s="31">
        <v>29434500</v>
      </c>
      <c r="M1315" s="1" t="s">
        <v>30</v>
      </c>
      <c r="N1315" s="1" t="s">
        <v>17</v>
      </c>
      <c r="O1315" s="1" t="s">
        <v>2057</v>
      </c>
      <c r="P1315" s="1" t="s">
        <v>2056</v>
      </c>
      <c r="Q1315" s="1" t="s">
        <v>1899</v>
      </c>
      <c r="R1315" s="1">
        <f t="shared" si="20"/>
        <v>2</v>
      </c>
      <c r="S1315" s="4">
        <f>J1315*K1315*M1315</f>
        <v>2943450</v>
      </c>
    </row>
    <row r="1316" spans="1:19" ht="43" hidden="1" customHeight="1">
      <c r="A1316" s="1" t="s">
        <v>2280</v>
      </c>
      <c r="B1316" s="1" t="s">
        <v>1294</v>
      </c>
      <c r="C1316" s="29">
        <v>45808.709792268499</v>
      </c>
      <c r="D1316" s="1" t="s">
        <v>3052</v>
      </c>
      <c r="E1316" s="1" t="s">
        <v>3053</v>
      </c>
      <c r="F1316" s="1">
        <v>6</v>
      </c>
      <c r="G1316" s="12" t="s">
        <v>1346</v>
      </c>
      <c r="H1316" s="1" t="s">
        <v>1872</v>
      </c>
      <c r="I1316" s="1" t="s">
        <v>78</v>
      </c>
      <c r="J1316" s="30">
        <v>173.04</v>
      </c>
      <c r="K1316" s="30">
        <v>150000</v>
      </c>
      <c r="L1316" s="31">
        <v>25956000</v>
      </c>
      <c r="M1316" s="1" t="s">
        <v>30</v>
      </c>
      <c r="N1316" s="1" t="s">
        <v>17</v>
      </c>
      <c r="O1316" s="1" t="s">
        <v>2057</v>
      </c>
      <c r="P1316" s="1" t="s">
        <v>2056</v>
      </c>
      <c r="Q1316" s="1" t="s">
        <v>36</v>
      </c>
      <c r="R1316" s="1">
        <f t="shared" si="20"/>
        <v>2</v>
      </c>
      <c r="S1316" s="4">
        <f>J1316*K1316*M1316</f>
        <v>2595600</v>
      </c>
    </row>
    <row r="1317" spans="1:19" ht="43" hidden="1" customHeight="1">
      <c r="A1317" s="1" t="s">
        <v>2072</v>
      </c>
      <c r="B1317" s="1" t="s">
        <v>140</v>
      </c>
      <c r="C1317" s="29">
        <v>46011.829758101798</v>
      </c>
      <c r="F1317" s="1">
        <v>1</v>
      </c>
      <c r="G1317" s="12" t="s">
        <v>1346</v>
      </c>
      <c r="H1317" s="1" t="s">
        <v>70</v>
      </c>
      <c r="I1317" s="1" t="s">
        <v>71</v>
      </c>
      <c r="J1317" s="30">
        <v>5</v>
      </c>
      <c r="K1317" s="30">
        <v>141820</v>
      </c>
      <c r="L1317" s="31">
        <v>709100</v>
      </c>
      <c r="M1317" s="1" t="s">
        <v>30</v>
      </c>
      <c r="N1317" s="1" t="s">
        <v>17</v>
      </c>
      <c r="O1317" s="1" t="s">
        <v>2057</v>
      </c>
      <c r="P1317" s="1" t="s">
        <v>2056</v>
      </c>
      <c r="Q1317" s="1" t="s">
        <v>1473</v>
      </c>
      <c r="R1317" s="1">
        <f t="shared" si="20"/>
        <v>4</v>
      </c>
      <c r="S1317" s="4">
        <f>J1317*K1317*M1317</f>
        <v>70910</v>
      </c>
    </row>
    <row r="1318" spans="1:19" ht="43" hidden="1" customHeight="1">
      <c r="A1318" s="1" t="s">
        <v>2280</v>
      </c>
      <c r="B1318" s="1" t="s">
        <v>794</v>
      </c>
      <c r="C1318" s="29">
        <v>45959.655037615703</v>
      </c>
      <c r="D1318" s="1" t="s">
        <v>3052</v>
      </c>
      <c r="E1318" s="1" t="s">
        <v>3053</v>
      </c>
      <c r="F1318" s="1">
        <v>10</v>
      </c>
      <c r="G1318" s="12" t="s">
        <v>1346</v>
      </c>
      <c r="H1318" s="1" t="s">
        <v>70</v>
      </c>
      <c r="I1318" s="1" t="s">
        <v>78</v>
      </c>
      <c r="J1318" s="30">
        <v>19.763999999999999</v>
      </c>
      <c r="K1318" s="30">
        <v>130000</v>
      </c>
      <c r="L1318" s="31">
        <v>2569320</v>
      </c>
      <c r="M1318" s="1" t="s">
        <v>30</v>
      </c>
      <c r="N1318" s="1" t="s">
        <v>17</v>
      </c>
      <c r="O1318" s="1" t="s">
        <v>2057</v>
      </c>
      <c r="P1318" s="1" t="s">
        <v>2056</v>
      </c>
      <c r="Q1318" s="1" t="s">
        <v>1578</v>
      </c>
      <c r="R1318" s="1">
        <f t="shared" si="20"/>
        <v>4</v>
      </c>
      <c r="S1318" s="4">
        <f>J1318*K1318*M1318</f>
        <v>256932</v>
      </c>
    </row>
    <row r="1319" spans="1:19" ht="43" hidden="1" customHeight="1">
      <c r="A1319" s="1" t="s">
        <v>2280</v>
      </c>
      <c r="B1319" s="1" t="s">
        <v>126</v>
      </c>
      <c r="C1319" s="29">
        <v>45898.896719536999</v>
      </c>
      <c r="D1319" s="1" t="s">
        <v>3052</v>
      </c>
      <c r="E1319" s="1" t="s">
        <v>3053</v>
      </c>
      <c r="F1319" s="1">
        <v>3</v>
      </c>
      <c r="G1319" s="12" t="s">
        <v>1346</v>
      </c>
      <c r="H1319" s="1" t="s">
        <v>70</v>
      </c>
      <c r="I1319" s="1" t="s">
        <v>78</v>
      </c>
      <c r="J1319" s="30">
        <v>22.68</v>
      </c>
      <c r="K1319" s="30">
        <v>165000</v>
      </c>
      <c r="L1319" s="31">
        <v>3742200</v>
      </c>
      <c r="M1319" s="1" t="s">
        <v>30</v>
      </c>
      <c r="N1319" s="1" t="s">
        <v>17</v>
      </c>
      <c r="O1319" s="1" t="s">
        <v>2057</v>
      </c>
      <c r="P1319" s="1" t="s">
        <v>2056</v>
      </c>
      <c r="Q1319" s="1" t="s">
        <v>652</v>
      </c>
      <c r="R1319" s="1">
        <f t="shared" si="20"/>
        <v>3</v>
      </c>
      <c r="S1319" s="4">
        <f>J1319*K1319*M1319</f>
        <v>374220</v>
      </c>
    </row>
    <row r="1320" spans="1:19" ht="43" hidden="1" customHeight="1">
      <c r="A1320" s="1" t="s">
        <v>2280</v>
      </c>
      <c r="B1320" s="1" t="s">
        <v>1162</v>
      </c>
      <c r="C1320" s="29">
        <v>45811.345051319397</v>
      </c>
      <c r="D1320" s="1" t="s">
        <v>3058</v>
      </c>
      <c r="E1320" s="1" t="s">
        <v>3059</v>
      </c>
      <c r="F1320" s="1">
        <v>1</v>
      </c>
      <c r="G1320" s="12" t="s">
        <v>1346</v>
      </c>
      <c r="H1320" s="1" t="s">
        <v>70</v>
      </c>
      <c r="I1320" s="1" t="s">
        <v>78</v>
      </c>
      <c r="J1320" s="30">
        <v>388.9</v>
      </c>
      <c r="K1320" s="30">
        <v>163636.35999999999</v>
      </c>
      <c r="L1320" s="31">
        <v>63638180.399999999</v>
      </c>
      <c r="M1320" s="1" t="s">
        <v>30</v>
      </c>
      <c r="N1320" s="1" t="s">
        <v>17</v>
      </c>
      <c r="O1320" s="1" t="s">
        <v>2057</v>
      </c>
      <c r="P1320" s="1" t="s">
        <v>2056</v>
      </c>
      <c r="Q1320" s="1" t="s">
        <v>1866</v>
      </c>
      <c r="R1320" s="1">
        <f t="shared" si="20"/>
        <v>2</v>
      </c>
      <c r="S1320" s="4">
        <f>J1320*K1320*M1320</f>
        <v>6363818.0403999994</v>
      </c>
    </row>
    <row r="1321" spans="1:19" ht="43" hidden="1" customHeight="1">
      <c r="A1321" s="1" t="s">
        <v>2280</v>
      </c>
      <c r="B1321" s="1" t="s">
        <v>84</v>
      </c>
      <c r="C1321" s="29">
        <v>45807.7277367477</v>
      </c>
      <c r="D1321" s="1" t="s">
        <v>3052</v>
      </c>
      <c r="E1321" s="1" t="s">
        <v>3053</v>
      </c>
      <c r="F1321" s="1">
        <v>1</v>
      </c>
      <c r="G1321" s="12" t="s">
        <v>1346</v>
      </c>
      <c r="H1321" s="1" t="s">
        <v>70</v>
      </c>
      <c r="I1321" s="1" t="s">
        <v>78</v>
      </c>
      <c r="J1321" s="30">
        <v>205</v>
      </c>
      <c r="K1321" s="30">
        <v>120000</v>
      </c>
      <c r="L1321" s="31">
        <v>24600000</v>
      </c>
      <c r="M1321" s="1" t="s">
        <v>30</v>
      </c>
      <c r="N1321" s="1" t="s">
        <v>17</v>
      </c>
      <c r="O1321" s="1" t="s">
        <v>2057</v>
      </c>
      <c r="P1321" s="1" t="s">
        <v>2056</v>
      </c>
      <c r="Q1321" s="1" t="s">
        <v>925</v>
      </c>
      <c r="R1321" s="1">
        <f t="shared" si="20"/>
        <v>2</v>
      </c>
      <c r="S1321" s="4">
        <f>J1321*K1321*M1321</f>
        <v>2460000</v>
      </c>
    </row>
    <row r="1322" spans="1:19" ht="43" hidden="1" customHeight="1">
      <c r="A1322" s="1" t="s">
        <v>2280</v>
      </c>
      <c r="B1322" s="1" t="s">
        <v>1306</v>
      </c>
      <c r="C1322" s="29">
        <v>45776.597808217601</v>
      </c>
      <c r="D1322" s="1" t="s">
        <v>3054</v>
      </c>
      <c r="E1322" s="1" t="s">
        <v>3055</v>
      </c>
      <c r="F1322" s="1">
        <v>1</v>
      </c>
      <c r="G1322" s="12" t="s">
        <v>1346</v>
      </c>
      <c r="H1322" s="1" t="s">
        <v>70</v>
      </c>
      <c r="I1322" s="1" t="s">
        <v>78</v>
      </c>
      <c r="J1322" s="30">
        <v>217.08</v>
      </c>
      <c r="K1322" s="30">
        <v>109091</v>
      </c>
      <c r="L1322" s="31">
        <v>23681474.280000001</v>
      </c>
      <c r="M1322" s="1" t="s">
        <v>30</v>
      </c>
      <c r="N1322" s="1" t="s">
        <v>17</v>
      </c>
      <c r="O1322" s="1" t="s">
        <v>2057</v>
      </c>
      <c r="P1322" s="1" t="s">
        <v>2056</v>
      </c>
      <c r="Q1322" s="1" t="s">
        <v>937</v>
      </c>
      <c r="R1322" s="1">
        <f t="shared" si="20"/>
        <v>2</v>
      </c>
      <c r="S1322" s="4">
        <f>J1322*K1322*M1322</f>
        <v>2368147.4280000003</v>
      </c>
    </row>
    <row r="1323" spans="1:19" ht="43" hidden="1" customHeight="1">
      <c r="A1323" s="1" t="s">
        <v>2280</v>
      </c>
      <c r="B1323" s="1" t="s">
        <v>1251</v>
      </c>
      <c r="C1323" s="29">
        <v>45761.731359224497</v>
      </c>
      <c r="D1323" s="1" t="s">
        <v>3054</v>
      </c>
      <c r="E1323" s="1" t="s">
        <v>3055</v>
      </c>
      <c r="F1323" s="1">
        <v>1</v>
      </c>
      <c r="G1323" s="12" t="s">
        <v>1346</v>
      </c>
      <c r="H1323" s="1" t="s">
        <v>70</v>
      </c>
      <c r="I1323" s="1" t="s">
        <v>78</v>
      </c>
      <c r="J1323" s="30">
        <v>166.24</v>
      </c>
      <c r="K1323" s="30">
        <v>109091</v>
      </c>
      <c r="L1323" s="31">
        <v>18135287.84</v>
      </c>
      <c r="M1323" s="1" t="s">
        <v>30</v>
      </c>
      <c r="N1323" s="1" t="s">
        <v>17</v>
      </c>
      <c r="O1323" s="1" t="s">
        <v>2057</v>
      </c>
      <c r="P1323" s="1" t="s">
        <v>2056</v>
      </c>
      <c r="Q1323" s="1" t="s">
        <v>1978</v>
      </c>
      <c r="R1323" s="1">
        <f t="shared" si="20"/>
        <v>2</v>
      </c>
      <c r="S1323" s="4">
        <f>J1323*K1323*M1323</f>
        <v>1813528.784</v>
      </c>
    </row>
    <row r="1324" spans="1:19" ht="43" hidden="1" customHeight="1">
      <c r="A1324" s="1" t="s">
        <v>2280</v>
      </c>
      <c r="B1324" s="1" t="s">
        <v>194</v>
      </c>
      <c r="C1324" s="29">
        <v>45747.667547175901</v>
      </c>
      <c r="D1324" s="1" t="s">
        <v>3071</v>
      </c>
      <c r="E1324" s="1" t="s">
        <v>3053</v>
      </c>
      <c r="F1324" s="1">
        <v>10</v>
      </c>
      <c r="G1324" s="12" t="s">
        <v>1346</v>
      </c>
      <c r="H1324" s="1" t="s">
        <v>70</v>
      </c>
      <c r="I1324" s="1" t="s">
        <v>78</v>
      </c>
      <c r="J1324" s="30">
        <v>487.49</v>
      </c>
      <c r="K1324" s="30">
        <v>109091</v>
      </c>
      <c r="L1324" s="31">
        <v>53180771.590000004</v>
      </c>
      <c r="M1324" s="1" t="s">
        <v>30</v>
      </c>
      <c r="N1324" s="1" t="s">
        <v>17</v>
      </c>
      <c r="O1324" s="1" t="s">
        <v>2057</v>
      </c>
      <c r="P1324" s="1" t="s">
        <v>2056</v>
      </c>
      <c r="Q1324" s="1" t="s">
        <v>42</v>
      </c>
      <c r="R1324" s="1">
        <f t="shared" si="20"/>
        <v>1</v>
      </c>
      <c r="S1324" s="4">
        <f>J1324*K1324*M1324</f>
        <v>5318077.1590000009</v>
      </c>
    </row>
    <row r="1325" spans="1:19" ht="43" hidden="1" customHeight="1">
      <c r="A1325" s="1" t="s">
        <v>2280</v>
      </c>
      <c r="B1325" s="1" t="s">
        <v>1413</v>
      </c>
      <c r="C1325" s="29">
        <v>45889.506525011602</v>
      </c>
      <c r="D1325" s="1" t="s">
        <v>3054</v>
      </c>
      <c r="E1325" s="1" t="s">
        <v>3055</v>
      </c>
      <c r="F1325" s="1">
        <v>9</v>
      </c>
      <c r="G1325" s="12" t="s">
        <v>1346</v>
      </c>
      <c r="H1325" s="1" t="s">
        <v>1735</v>
      </c>
      <c r="I1325" s="1" t="s">
        <v>78</v>
      </c>
      <c r="J1325" s="30">
        <v>284.14800000000002</v>
      </c>
      <c r="K1325" s="30">
        <v>127273</v>
      </c>
      <c r="L1325" s="31">
        <v>36164291</v>
      </c>
      <c r="M1325" s="1" t="s">
        <v>30</v>
      </c>
      <c r="N1325" s="1" t="s">
        <v>17</v>
      </c>
      <c r="O1325" s="1" t="s">
        <v>2057</v>
      </c>
      <c r="P1325" s="1" t="s">
        <v>2056</v>
      </c>
      <c r="Q1325" s="1" t="s">
        <v>674</v>
      </c>
      <c r="R1325" s="1">
        <f t="shared" si="20"/>
        <v>3</v>
      </c>
      <c r="S1325" s="4">
        <f>J1325*K1325*M1325</f>
        <v>3616436.840400001</v>
      </c>
    </row>
    <row r="1326" spans="1:19" ht="43" hidden="1" customHeight="1">
      <c r="A1326" s="1" t="s">
        <v>2280</v>
      </c>
      <c r="B1326" s="1" t="s">
        <v>1451</v>
      </c>
      <c r="C1326" s="29">
        <v>45944.415354907404</v>
      </c>
      <c r="F1326" s="1">
        <v>1</v>
      </c>
      <c r="G1326" s="12" t="s">
        <v>1346</v>
      </c>
      <c r="H1326" s="1" t="s">
        <v>1248</v>
      </c>
      <c r="I1326" s="1" t="s">
        <v>71</v>
      </c>
      <c r="J1326" s="30">
        <v>95</v>
      </c>
      <c r="K1326" s="30">
        <v>136987</v>
      </c>
      <c r="L1326" s="31">
        <v>13013765</v>
      </c>
      <c r="M1326" s="1" t="s">
        <v>30</v>
      </c>
      <c r="N1326" s="1" t="s">
        <v>17</v>
      </c>
      <c r="O1326" s="1" t="s">
        <v>2057</v>
      </c>
      <c r="P1326" s="1" t="s">
        <v>2056</v>
      </c>
      <c r="Q1326" s="1" t="s">
        <v>523</v>
      </c>
      <c r="R1326" s="1">
        <f t="shared" si="20"/>
        <v>4</v>
      </c>
      <c r="S1326" s="4">
        <f>J1326*K1326*M1326</f>
        <v>1301376.5</v>
      </c>
    </row>
    <row r="1327" spans="1:19" ht="43" hidden="1" customHeight="1">
      <c r="A1327" s="1" t="s">
        <v>2280</v>
      </c>
      <c r="B1327" s="1" t="s">
        <v>1294</v>
      </c>
      <c r="C1327" s="29">
        <v>45808.709792268499</v>
      </c>
      <c r="D1327" s="1" t="s">
        <v>3052</v>
      </c>
      <c r="E1327" s="1" t="s">
        <v>3053</v>
      </c>
      <c r="F1327" s="1">
        <v>3</v>
      </c>
      <c r="G1327" s="12" t="s">
        <v>1346</v>
      </c>
      <c r="H1327" s="1" t="s">
        <v>1869</v>
      </c>
      <c r="I1327" s="1" t="s">
        <v>78</v>
      </c>
      <c r="J1327" s="30">
        <v>316.44</v>
      </c>
      <c r="K1327" s="30">
        <v>120000</v>
      </c>
      <c r="L1327" s="31">
        <v>37972800</v>
      </c>
      <c r="M1327" s="1" t="s">
        <v>30</v>
      </c>
      <c r="N1327" s="1" t="s">
        <v>17</v>
      </c>
      <c r="O1327" s="1" t="s">
        <v>2057</v>
      </c>
      <c r="P1327" s="1" t="s">
        <v>2056</v>
      </c>
      <c r="Q1327" s="1" t="s">
        <v>36</v>
      </c>
      <c r="R1327" s="1">
        <f t="shared" si="20"/>
        <v>2</v>
      </c>
      <c r="S1327" s="4">
        <f>J1327*K1327*M1327</f>
        <v>3797280</v>
      </c>
    </row>
    <row r="1328" spans="1:19" ht="43" hidden="1" customHeight="1">
      <c r="A1328" s="1" t="s">
        <v>2280</v>
      </c>
      <c r="B1328" s="1" t="s">
        <v>882</v>
      </c>
      <c r="C1328" s="29">
        <v>45989.803104988401</v>
      </c>
      <c r="D1328" s="1" t="s">
        <v>3054</v>
      </c>
      <c r="E1328" s="1" t="s">
        <v>3055</v>
      </c>
      <c r="F1328" s="1">
        <v>4</v>
      </c>
      <c r="G1328" s="12" t="s">
        <v>1346</v>
      </c>
      <c r="H1328" s="1" t="s">
        <v>413</v>
      </c>
      <c r="I1328" s="1" t="s">
        <v>78</v>
      </c>
      <c r="J1328" s="30">
        <v>174.42</v>
      </c>
      <c r="K1328" s="30">
        <v>147000</v>
      </c>
      <c r="L1328" s="31">
        <v>25639740</v>
      </c>
      <c r="M1328" s="1" t="s">
        <v>30</v>
      </c>
      <c r="N1328" s="1" t="s">
        <v>17</v>
      </c>
      <c r="O1328" s="1" t="s">
        <v>2057</v>
      </c>
      <c r="P1328" s="1" t="s">
        <v>2056</v>
      </c>
      <c r="Q1328" s="1" t="s">
        <v>394</v>
      </c>
      <c r="R1328" s="1">
        <f t="shared" si="20"/>
        <v>4</v>
      </c>
      <c r="S1328" s="4">
        <f>J1328*K1328*M1328</f>
        <v>2563974</v>
      </c>
    </row>
    <row r="1329" spans="1:19" ht="43" hidden="1" customHeight="1">
      <c r="A1329" s="1" t="s">
        <v>2280</v>
      </c>
      <c r="B1329" s="1" t="s">
        <v>160</v>
      </c>
      <c r="C1329" s="29">
        <v>45810.688200011602</v>
      </c>
      <c r="D1329" s="1" t="s">
        <v>3058</v>
      </c>
      <c r="E1329" s="1" t="s">
        <v>3059</v>
      </c>
      <c r="F1329" s="1">
        <v>1</v>
      </c>
      <c r="G1329" s="12" t="s">
        <v>1346</v>
      </c>
      <c r="H1329" s="1" t="s">
        <v>413</v>
      </c>
      <c r="I1329" s="1" t="s">
        <v>78</v>
      </c>
      <c r="J1329" s="30">
        <v>82.36</v>
      </c>
      <c r="K1329" s="30">
        <v>163636.35999999999</v>
      </c>
      <c r="L1329" s="31">
        <v>13477090.609999999</v>
      </c>
      <c r="M1329" s="1" t="s">
        <v>30</v>
      </c>
      <c r="N1329" s="1" t="s">
        <v>17</v>
      </c>
      <c r="O1329" s="1" t="s">
        <v>2057</v>
      </c>
      <c r="P1329" s="1" t="s">
        <v>2056</v>
      </c>
      <c r="Q1329" s="1" t="s">
        <v>1867</v>
      </c>
      <c r="R1329" s="1">
        <f t="shared" si="20"/>
        <v>2</v>
      </c>
      <c r="S1329" s="4">
        <f>J1329*K1329*M1329</f>
        <v>1347709.0609599999</v>
      </c>
    </row>
    <row r="1330" spans="1:19" ht="43" hidden="1" customHeight="1">
      <c r="A1330" s="1" t="s">
        <v>2280</v>
      </c>
      <c r="B1330" s="1" t="s">
        <v>146</v>
      </c>
      <c r="C1330" s="29">
        <v>45808.4997962384</v>
      </c>
      <c r="D1330" s="1" t="s">
        <v>3058</v>
      </c>
      <c r="E1330" s="1" t="s">
        <v>3059</v>
      </c>
      <c r="F1330" s="1">
        <v>2</v>
      </c>
      <c r="G1330" s="12" t="s">
        <v>1346</v>
      </c>
      <c r="H1330" s="1" t="s">
        <v>413</v>
      </c>
      <c r="I1330" s="1" t="s">
        <v>78</v>
      </c>
      <c r="J1330" s="30">
        <v>338.92</v>
      </c>
      <c r="K1330" s="30">
        <v>163636.35999999999</v>
      </c>
      <c r="L1330" s="31">
        <v>55459635.130000003</v>
      </c>
      <c r="M1330" s="1" t="s">
        <v>30</v>
      </c>
      <c r="N1330" s="1" t="s">
        <v>17</v>
      </c>
      <c r="O1330" s="1" t="s">
        <v>2057</v>
      </c>
      <c r="P1330" s="1" t="s">
        <v>2056</v>
      </c>
      <c r="Q1330" s="1" t="s">
        <v>36</v>
      </c>
      <c r="R1330" s="1">
        <f t="shared" si="20"/>
        <v>2</v>
      </c>
      <c r="S1330" s="4">
        <f>J1330*K1330*M1330</f>
        <v>5545963.5131200003</v>
      </c>
    </row>
    <row r="1331" spans="1:19" ht="43" hidden="1" customHeight="1">
      <c r="A1331" s="1" t="s">
        <v>2280</v>
      </c>
      <c r="B1331" s="1" t="s">
        <v>1413</v>
      </c>
      <c r="C1331" s="29">
        <v>45889.506525011602</v>
      </c>
      <c r="D1331" s="1" t="s">
        <v>3054</v>
      </c>
      <c r="E1331" s="1" t="s">
        <v>3055</v>
      </c>
      <c r="F1331" s="1">
        <v>10</v>
      </c>
      <c r="G1331" s="12" t="s">
        <v>1346</v>
      </c>
      <c r="H1331" s="1" t="s">
        <v>1736</v>
      </c>
      <c r="I1331" s="1" t="s">
        <v>78</v>
      </c>
      <c r="J1331" s="30">
        <v>358.36599999999999</v>
      </c>
      <c r="K1331" s="30">
        <v>136364</v>
      </c>
      <c r="L1331" s="31">
        <v>48868091</v>
      </c>
      <c r="M1331" s="1" t="s">
        <v>30</v>
      </c>
      <c r="N1331" s="1" t="s">
        <v>17</v>
      </c>
      <c r="O1331" s="1" t="s">
        <v>2057</v>
      </c>
      <c r="P1331" s="1" t="s">
        <v>2056</v>
      </c>
      <c r="Q1331" s="1" t="s">
        <v>674</v>
      </c>
      <c r="R1331" s="1">
        <f t="shared" si="20"/>
        <v>3</v>
      </c>
      <c r="S1331" s="4">
        <f>J1331*K1331*M1331</f>
        <v>4886822.1223999998</v>
      </c>
    </row>
    <row r="1332" spans="1:19" ht="43" hidden="1" customHeight="1">
      <c r="A1332" s="1" t="s">
        <v>2280</v>
      </c>
      <c r="B1332" s="1" t="s">
        <v>882</v>
      </c>
      <c r="C1332" s="29">
        <v>45989.803104988401</v>
      </c>
      <c r="D1332" s="1" t="s">
        <v>3054</v>
      </c>
      <c r="E1332" s="1" t="s">
        <v>3055</v>
      </c>
      <c r="F1332" s="1">
        <v>8</v>
      </c>
      <c r="G1332" s="12" t="s">
        <v>1346</v>
      </c>
      <c r="H1332" s="1" t="s">
        <v>1556</v>
      </c>
      <c r="I1332" s="1" t="s">
        <v>78</v>
      </c>
      <c r="J1332" s="30">
        <v>215.55699999999999</v>
      </c>
      <c r="K1332" s="30">
        <v>147000</v>
      </c>
      <c r="L1332" s="31">
        <v>31686908</v>
      </c>
      <c r="M1332" s="1" t="s">
        <v>30</v>
      </c>
      <c r="N1332" s="1" t="s">
        <v>17</v>
      </c>
      <c r="O1332" s="1" t="s">
        <v>2057</v>
      </c>
      <c r="P1332" s="1" t="s">
        <v>2056</v>
      </c>
      <c r="Q1332" s="1" t="s">
        <v>394</v>
      </c>
      <c r="R1332" s="1">
        <f t="shared" si="20"/>
        <v>4</v>
      </c>
      <c r="S1332" s="4">
        <f>J1332*K1332*M1332</f>
        <v>3168687.9000000004</v>
      </c>
    </row>
    <row r="1333" spans="1:19" ht="43" customHeight="1">
      <c r="A1333" s="1" t="s">
        <v>2280</v>
      </c>
      <c r="B1333" s="1" t="s">
        <v>120</v>
      </c>
      <c r="C1333" s="29">
        <v>45838.621748888901</v>
      </c>
      <c r="D1333" s="1" t="s">
        <v>3052</v>
      </c>
      <c r="E1333" s="1" t="s">
        <v>3053</v>
      </c>
      <c r="F1333" s="1">
        <v>2</v>
      </c>
      <c r="H1333" s="1" t="s">
        <v>1819</v>
      </c>
      <c r="I1333" s="1" t="s">
        <v>130</v>
      </c>
      <c r="J1333" s="30">
        <v>3</v>
      </c>
      <c r="K1333" s="30">
        <v>140000</v>
      </c>
      <c r="L1333" s="31">
        <v>420000</v>
      </c>
      <c r="M1333" s="1" t="s">
        <v>16</v>
      </c>
      <c r="N1333" s="1" t="s">
        <v>17</v>
      </c>
      <c r="O1333" s="1" t="s">
        <v>2057</v>
      </c>
      <c r="P1333" s="1" t="s">
        <v>2056</v>
      </c>
      <c r="Q1333" s="1" t="s">
        <v>828</v>
      </c>
      <c r="R1333" s="1">
        <f t="shared" si="20"/>
        <v>2</v>
      </c>
      <c r="S1333" s="4">
        <f>J1333*K1333*M1333</f>
        <v>33600</v>
      </c>
    </row>
    <row r="1334" spans="1:19" ht="43" customHeight="1">
      <c r="A1334" s="1" t="s">
        <v>2280</v>
      </c>
      <c r="B1334" s="1" t="s">
        <v>1315</v>
      </c>
      <c r="C1334" s="29">
        <v>45747.658940451402</v>
      </c>
      <c r="D1334" s="1" t="s">
        <v>3071</v>
      </c>
      <c r="E1334" s="1" t="s">
        <v>3053</v>
      </c>
      <c r="F1334" s="1">
        <v>18</v>
      </c>
      <c r="H1334" s="1" t="s">
        <v>2012</v>
      </c>
      <c r="I1334" s="1" t="s">
        <v>130</v>
      </c>
      <c r="J1334" s="30">
        <v>5</v>
      </c>
      <c r="K1334" s="30">
        <v>565000</v>
      </c>
      <c r="L1334" s="31">
        <v>2825000</v>
      </c>
      <c r="M1334" s="1" t="s">
        <v>30</v>
      </c>
      <c r="N1334" s="1" t="s">
        <v>17</v>
      </c>
      <c r="O1334" s="1" t="s">
        <v>2057</v>
      </c>
      <c r="P1334" s="1" t="s">
        <v>2056</v>
      </c>
      <c r="Q1334" s="1" t="s">
        <v>42</v>
      </c>
      <c r="R1334" s="1">
        <f t="shared" si="20"/>
        <v>1</v>
      </c>
      <c r="S1334" s="4">
        <f>J1334*K1334*M1334</f>
        <v>282500</v>
      </c>
    </row>
    <row r="1335" spans="1:19" ht="43" customHeight="1">
      <c r="A1335" s="1" t="s">
        <v>2280</v>
      </c>
      <c r="B1335" s="1" t="s">
        <v>717</v>
      </c>
      <c r="C1335" s="29">
        <v>45807.729117129602</v>
      </c>
      <c r="D1335" s="1" t="s">
        <v>3052</v>
      </c>
      <c r="E1335" s="1" t="s">
        <v>3053</v>
      </c>
      <c r="F1335" s="1">
        <v>17</v>
      </c>
      <c r="H1335" s="1" t="s">
        <v>1881</v>
      </c>
      <c r="I1335" s="1" t="s">
        <v>130</v>
      </c>
      <c r="J1335" s="30">
        <v>2</v>
      </c>
      <c r="K1335" s="30">
        <v>565000</v>
      </c>
      <c r="L1335" s="31">
        <v>1130000</v>
      </c>
      <c r="M1335" s="1" t="s">
        <v>30</v>
      </c>
      <c r="N1335" s="1" t="s">
        <v>17</v>
      </c>
      <c r="O1335" s="1" t="s">
        <v>2057</v>
      </c>
      <c r="P1335" s="1" t="s">
        <v>2056</v>
      </c>
      <c r="Q1335" s="1" t="s">
        <v>925</v>
      </c>
      <c r="R1335" s="1">
        <f t="shared" si="20"/>
        <v>2</v>
      </c>
      <c r="S1335" s="4">
        <f>J1335*K1335*M1335</f>
        <v>113000</v>
      </c>
    </row>
    <row r="1336" spans="1:19" ht="43" customHeight="1">
      <c r="A1336" s="1" t="s">
        <v>2280</v>
      </c>
      <c r="B1336" s="1" t="s">
        <v>1412</v>
      </c>
      <c r="C1336" s="29">
        <v>45898.896986157401</v>
      </c>
      <c r="D1336" s="1" t="s">
        <v>3052</v>
      </c>
      <c r="E1336" s="1" t="s">
        <v>3053</v>
      </c>
      <c r="F1336" s="1">
        <v>57</v>
      </c>
      <c r="H1336" s="1" t="s">
        <v>1697</v>
      </c>
      <c r="I1336" s="1" t="s">
        <v>130</v>
      </c>
      <c r="J1336" s="30">
        <v>2</v>
      </c>
      <c r="K1336" s="30">
        <v>565000</v>
      </c>
      <c r="L1336" s="31">
        <v>1130000</v>
      </c>
      <c r="M1336" s="1" t="s">
        <v>16</v>
      </c>
      <c r="N1336" s="1" t="s">
        <v>17</v>
      </c>
      <c r="O1336" s="1" t="s">
        <v>2057</v>
      </c>
      <c r="P1336" s="1" t="s">
        <v>2056</v>
      </c>
      <c r="Q1336" s="1" t="s">
        <v>652</v>
      </c>
      <c r="R1336" s="1">
        <f t="shared" si="20"/>
        <v>3</v>
      </c>
      <c r="S1336" s="4">
        <f>J1336*K1336*M1336</f>
        <v>90400</v>
      </c>
    </row>
    <row r="1337" spans="1:19" ht="43" hidden="1" customHeight="1">
      <c r="A1337" s="1" t="s">
        <v>2280</v>
      </c>
      <c r="B1337" s="1" t="s">
        <v>13</v>
      </c>
      <c r="C1337" s="29">
        <v>45776.499996342602</v>
      </c>
      <c r="D1337" s="1" t="s">
        <v>3052</v>
      </c>
      <c r="E1337" s="1" t="s">
        <v>3053</v>
      </c>
      <c r="F1337" s="1">
        <v>1</v>
      </c>
      <c r="G1337" s="12" t="s">
        <v>2204</v>
      </c>
      <c r="H1337" s="1" t="s">
        <v>1024</v>
      </c>
      <c r="I1337" s="1" t="s">
        <v>15</v>
      </c>
      <c r="J1337" s="30">
        <v>15</v>
      </c>
      <c r="K1337" s="30">
        <v>565000</v>
      </c>
      <c r="L1337" s="31">
        <v>8475000</v>
      </c>
      <c r="M1337" s="1" t="s">
        <v>16</v>
      </c>
      <c r="N1337" s="1" t="s">
        <v>17</v>
      </c>
      <c r="O1337" s="1" t="s">
        <v>2057</v>
      </c>
      <c r="P1337" s="1" t="s">
        <v>2056</v>
      </c>
      <c r="Q1337" s="1" t="s">
        <v>937</v>
      </c>
      <c r="R1337" s="1">
        <f t="shared" si="20"/>
        <v>2</v>
      </c>
      <c r="S1337" s="4">
        <f>J1337*K1337*M1337</f>
        <v>678000</v>
      </c>
    </row>
    <row r="1338" spans="1:19" ht="43" customHeight="1">
      <c r="A1338" s="1" t="s">
        <v>2280</v>
      </c>
      <c r="B1338" s="1" t="s">
        <v>1467</v>
      </c>
      <c r="C1338" s="29">
        <v>45928.732318564798</v>
      </c>
      <c r="D1338" s="1" t="s">
        <v>3052</v>
      </c>
      <c r="E1338" s="1" t="s">
        <v>3053</v>
      </c>
      <c r="F1338" s="1">
        <v>52</v>
      </c>
      <c r="H1338" s="1" t="s">
        <v>1628</v>
      </c>
      <c r="I1338" s="1" t="s">
        <v>130</v>
      </c>
      <c r="J1338" s="30">
        <v>5</v>
      </c>
      <c r="K1338" s="30">
        <v>920000</v>
      </c>
      <c r="L1338" s="31">
        <v>4600000</v>
      </c>
      <c r="M1338" s="1" t="s">
        <v>16</v>
      </c>
      <c r="N1338" s="1" t="s">
        <v>17</v>
      </c>
      <c r="O1338" s="1" t="s">
        <v>2057</v>
      </c>
      <c r="P1338" s="1" t="s">
        <v>2056</v>
      </c>
      <c r="Q1338" s="1" t="s">
        <v>546</v>
      </c>
      <c r="R1338" s="1">
        <f t="shared" si="20"/>
        <v>3</v>
      </c>
      <c r="S1338" s="4">
        <f>J1338*K1338*M1338</f>
        <v>368000</v>
      </c>
    </row>
    <row r="1339" spans="1:19" ht="43" customHeight="1">
      <c r="A1339" s="1" t="s">
        <v>2280</v>
      </c>
      <c r="B1339" s="1" t="s">
        <v>13</v>
      </c>
      <c r="C1339" s="29">
        <v>45776.499996342602</v>
      </c>
      <c r="D1339" s="1" t="s">
        <v>3052</v>
      </c>
      <c r="E1339" s="1" t="s">
        <v>3053</v>
      </c>
      <c r="F1339" s="1">
        <v>11</v>
      </c>
      <c r="H1339" s="1" t="s">
        <v>1929</v>
      </c>
      <c r="I1339" s="1" t="s">
        <v>53</v>
      </c>
      <c r="J1339" s="30">
        <v>1</v>
      </c>
      <c r="K1339" s="30">
        <v>135000</v>
      </c>
      <c r="L1339" s="31">
        <v>135000</v>
      </c>
      <c r="M1339" s="1" t="s">
        <v>16</v>
      </c>
      <c r="N1339" s="1" t="s">
        <v>17</v>
      </c>
      <c r="O1339" s="1" t="s">
        <v>2057</v>
      </c>
      <c r="P1339" s="1" t="s">
        <v>2056</v>
      </c>
      <c r="Q1339" s="1" t="s">
        <v>937</v>
      </c>
      <c r="R1339" s="1">
        <f t="shared" si="20"/>
        <v>2</v>
      </c>
      <c r="S1339" s="4">
        <f>J1339*K1339*M1339</f>
        <v>10800</v>
      </c>
    </row>
    <row r="1340" spans="1:19" ht="43" customHeight="1">
      <c r="A1340" s="1" t="s">
        <v>2280</v>
      </c>
      <c r="B1340" s="1" t="s">
        <v>1315</v>
      </c>
      <c r="C1340" s="29">
        <v>45747.658940451402</v>
      </c>
      <c r="D1340" s="1" t="s">
        <v>3071</v>
      </c>
      <c r="E1340" s="1" t="s">
        <v>3053</v>
      </c>
      <c r="F1340" s="1">
        <v>14</v>
      </c>
      <c r="H1340" s="1" t="s">
        <v>1929</v>
      </c>
      <c r="I1340" s="1" t="s">
        <v>130</v>
      </c>
      <c r="J1340" s="30">
        <v>1</v>
      </c>
      <c r="K1340" s="30">
        <v>150000</v>
      </c>
      <c r="L1340" s="31">
        <v>150000</v>
      </c>
      <c r="M1340" s="1" t="s">
        <v>30</v>
      </c>
      <c r="N1340" s="1" t="s">
        <v>17</v>
      </c>
      <c r="O1340" s="1" t="s">
        <v>2057</v>
      </c>
      <c r="P1340" s="1" t="s">
        <v>2056</v>
      </c>
      <c r="Q1340" s="1" t="s">
        <v>42</v>
      </c>
      <c r="R1340" s="1">
        <f t="shared" si="20"/>
        <v>1</v>
      </c>
      <c r="S1340" s="4">
        <f>J1340*K1340*M1340</f>
        <v>15000</v>
      </c>
    </row>
    <row r="1341" spans="1:19" ht="43" customHeight="1">
      <c r="A1341" s="1" t="s">
        <v>2280</v>
      </c>
      <c r="B1341" s="1" t="s">
        <v>1315</v>
      </c>
      <c r="C1341" s="29">
        <v>45747.658940451402</v>
      </c>
      <c r="D1341" s="1" t="s">
        <v>3071</v>
      </c>
      <c r="E1341" s="1" t="s">
        <v>3053</v>
      </c>
      <c r="F1341" s="1">
        <v>13</v>
      </c>
      <c r="H1341" s="1" t="s">
        <v>2008</v>
      </c>
      <c r="I1341" s="1" t="s">
        <v>130</v>
      </c>
      <c r="J1341" s="30">
        <v>1</v>
      </c>
      <c r="K1341" s="30">
        <v>55000</v>
      </c>
      <c r="L1341" s="31">
        <v>55000</v>
      </c>
      <c r="M1341" s="1" t="s">
        <v>30</v>
      </c>
      <c r="N1341" s="1" t="s">
        <v>17</v>
      </c>
      <c r="O1341" s="1" t="s">
        <v>2057</v>
      </c>
      <c r="P1341" s="1" t="s">
        <v>2056</v>
      </c>
      <c r="Q1341" s="1" t="s">
        <v>42</v>
      </c>
      <c r="R1341" s="1">
        <f t="shared" si="20"/>
        <v>1</v>
      </c>
      <c r="S1341" s="4">
        <f>J1341*K1341*M1341</f>
        <v>5500</v>
      </c>
    </row>
    <row r="1342" spans="1:19" ht="43" hidden="1" customHeight="1">
      <c r="A1342" s="1" t="s">
        <v>2280</v>
      </c>
      <c r="B1342" s="1" t="s">
        <v>137</v>
      </c>
      <c r="C1342" s="29">
        <v>45868.572525138901</v>
      </c>
      <c r="D1342" s="1" t="s">
        <v>3056</v>
      </c>
      <c r="E1342" s="1" t="s">
        <v>3057</v>
      </c>
      <c r="F1342" s="1">
        <v>7</v>
      </c>
      <c r="G1342" s="12" t="s">
        <v>621</v>
      </c>
      <c r="H1342" s="1" t="s">
        <v>1759</v>
      </c>
      <c r="I1342" s="1" t="s">
        <v>71</v>
      </c>
      <c r="J1342" s="30">
        <v>15</v>
      </c>
      <c r="K1342" s="30">
        <v>17000</v>
      </c>
      <c r="L1342" s="31">
        <v>255000</v>
      </c>
      <c r="M1342" s="1" t="s">
        <v>30</v>
      </c>
      <c r="N1342" s="1" t="s">
        <v>17</v>
      </c>
      <c r="O1342" s="1" t="s">
        <v>2057</v>
      </c>
      <c r="P1342" s="1" t="s">
        <v>2056</v>
      </c>
      <c r="Q1342" s="1" t="s">
        <v>800</v>
      </c>
      <c r="R1342" s="1">
        <f t="shared" si="20"/>
        <v>3</v>
      </c>
      <c r="S1342" s="4">
        <f>J1342*K1342*M1342</f>
        <v>25500</v>
      </c>
    </row>
    <row r="1343" spans="1:19" ht="43" hidden="1" customHeight="1">
      <c r="A1343" s="1" t="s">
        <v>2280</v>
      </c>
      <c r="B1343" s="1" t="s">
        <v>1442</v>
      </c>
      <c r="C1343" s="29">
        <v>45960.6594943866</v>
      </c>
      <c r="D1343" s="1" t="s">
        <v>3052</v>
      </c>
      <c r="E1343" s="1" t="s">
        <v>3053</v>
      </c>
      <c r="F1343" s="1">
        <v>5</v>
      </c>
      <c r="G1343" s="2" t="s">
        <v>820</v>
      </c>
      <c r="H1343" s="1" t="s">
        <v>141</v>
      </c>
      <c r="I1343" s="1" t="s">
        <v>71</v>
      </c>
      <c r="J1343" s="30">
        <v>2125</v>
      </c>
      <c r="K1343" s="30">
        <v>25500</v>
      </c>
      <c r="L1343" s="31">
        <v>54187500</v>
      </c>
      <c r="M1343" s="1" t="s">
        <v>30</v>
      </c>
      <c r="N1343" s="1" t="s">
        <v>17</v>
      </c>
      <c r="O1343" s="1" t="s">
        <v>2057</v>
      </c>
      <c r="P1343" s="1" t="s">
        <v>2056</v>
      </c>
      <c r="Q1343" s="1" t="s">
        <v>533</v>
      </c>
      <c r="R1343" s="1">
        <f t="shared" si="20"/>
        <v>4</v>
      </c>
      <c r="S1343" s="4">
        <f>J1343*K1343*M1343</f>
        <v>5418750</v>
      </c>
    </row>
    <row r="1344" spans="1:19" ht="43" hidden="1" customHeight="1">
      <c r="A1344" s="1" t="s">
        <v>2280</v>
      </c>
      <c r="B1344" s="1" t="s">
        <v>221</v>
      </c>
      <c r="C1344" s="29">
        <v>45776.500553657403</v>
      </c>
      <c r="D1344" s="1" t="s">
        <v>3052</v>
      </c>
      <c r="E1344" s="1" t="s">
        <v>3053</v>
      </c>
      <c r="F1344" s="1">
        <v>5</v>
      </c>
      <c r="G1344" s="2" t="s">
        <v>820</v>
      </c>
      <c r="H1344" s="1" t="s">
        <v>141</v>
      </c>
      <c r="I1344" s="1" t="s">
        <v>71</v>
      </c>
      <c r="J1344" s="30">
        <v>1497</v>
      </c>
      <c r="K1344" s="30">
        <v>27000</v>
      </c>
      <c r="L1344" s="31">
        <v>40419000</v>
      </c>
      <c r="M1344" s="1" t="s">
        <v>30</v>
      </c>
      <c r="N1344" s="1" t="s">
        <v>17</v>
      </c>
      <c r="O1344" s="1" t="s">
        <v>2057</v>
      </c>
      <c r="P1344" s="1" t="s">
        <v>2056</v>
      </c>
      <c r="Q1344" s="1" t="s">
        <v>937</v>
      </c>
      <c r="R1344" s="1">
        <f t="shared" si="20"/>
        <v>2</v>
      </c>
      <c r="S1344" s="4">
        <f>J1344*K1344*M1344</f>
        <v>4041900</v>
      </c>
    </row>
    <row r="1345" spans="1:19" ht="43" hidden="1" customHeight="1">
      <c r="A1345" s="1" t="s">
        <v>2280</v>
      </c>
      <c r="B1345" s="1" t="s">
        <v>126</v>
      </c>
      <c r="C1345" s="29">
        <v>45898.896719536999</v>
      </c>
      <c r="D1345" s="1" t="s">
        <v>3052</v>
      </c>
      <c r="E1345" s="1" t="s">
        <v>3053</v>
      </c>
      <c r="F1345" s="1">
        <v>9</v>
      </c>
      <c r="G1345" s="2" t="s">
        <v>820</v>
      </c>
      <c r="H1345" s="1" t="s">
        <v>1714</v>
      </c>
      <c r="I1345" s="1" t="s">
        <v>71</v>
      </c>
      <c r="J1345" s="30">
        <v>3000</v>
      </c>
      <c r="K1345" s="30">
        <v>25500</v>
      </c>
      <c r="L1345" s="31">
        <v>76500000</v>
      </c>
      <c r="M1345" s="1" t="s">
        <v>30</v>
      </c>
      <c r="N1345" s="1" t="s">
        <v>17</v>
      </c>
      <c r="O1345" s="1" t="s">
        <v>2057</v>
      </c>
      <c r="P1345" s="1" t="s">
        <v>2056</v>
      </c>
      <c r="Q1345" s="1" t="s">
        <v>652</v>
      </c>
      <c r="R1345" s="1">
        <f t="shared" si="20"/>
        <v>3</v>
      </c>
      <c r="S1345" s="4">
        <f>J1345*K1345*M1345</f>
        <v>7650000</v>
      </c>
    </row>
    <row r="1346" spans="1:19" ht="43" hidden="1" customHeight="1">
      <c r="A1346" s="1" t="s">
        <v>2280</v>
      </c>
      <c r="B1346" s="1" t="s">
        <v>1419</v>
      </c>
      <c r="C1346" s="29">
        <v>45866.749486990702</v>
      </c>
      <c r="D1346" s="1" t="s">
        <v>3052</v>
      </c>
      <c r="E1346" s="1" t="s">
        <v>3053</v>
      </c>
      <c r="F1346" s="1">
        <v>17</v>
      </c>
      <c r="G1346" s="2" t="s">
        <v>820</v>
      </c>
      <c r="H1346" s="1" t="s">
        <v>1714</v>
      </c>
      <c r="I1346" s="1" t="s">
        <v>71</v>
      </c>
      <c r="J1346" s="30">
        <v>1200</v>
      </c>
      <c r="K1346" s="30">
        <v>25500</v>
      </c>
      <c r="L1346" s="31">
        <v>30600000</v>
      </c>
      <c r="M1346" s="1" t="s">
        <v>30</v>
      </c>
      <c r="N1346" s="1" t="s">
        <v>17</v>
      </c>
      <c r="O1346" s="1" t="s">
        <v>2057</v>
      </c>
      <c r="P1346" s="1" t="s">
        <v>2056</v>
      </c>
      <c r="Q1346" s="1" t="s">
        <v>1763</v>
      </c>
      <c r="R1346" s="1">
        <f t="shared" si="20"/>
        <v>3</v>
      </c>
      <c r="S1346" s="4">
        <f>J1346*K1346*M1346</f>
        <v>3060000</v>
      </c>
    </row>
    <row r="1347" spans="1:19" ht="43" hidden="1" customHeight="1">
      <c r="A1347" s="1" t="s">
        <v>2280</v>
      </c>
      <c r="B1347" s="1" t="s">
        <v>1143</v>
      </c>
      <c r="C1347" s="29">
        <v>45926.638938830998</v>
      </c>
      <c r="D1347" s="1" t="s">
        <v>3056</v>
      </c>
      <c r="E1347" s="1" t="s">
        <v>3057</v>
      </c>
      <c r="F1347" s="1">
        <v>3</v>
      </c>
      <c r="G1347" s="12" t="s">
        <v>621</v>
      </c>
      <c r="H1347" s="1" t="s">
        <v>621</v>
      </c>
      <c r="I1347" s="1" t="s">
        <v>71</v>
      </c>
      <c r="J1347" s="30">
        <v>150</v>
      </c>
      <c r="K1347" s="30">
        <v>17000</v>
      </c>
      <c r="L1347" s="31">
        <v>2550000</v>
      </c>
      <c r="M1347" s="1" t="s">
        <v>30</v>
      </c>
      <c r="N1347" s="1" t="s">
        <v>17</v>
      </c>
      <c r="O1347" s="1" t="s">
        <v>2057</v>
      </c>
      <c r="P1347" s="1" t="s">
        <v>2056</v>
      </c>
      <c r="Q1347" s="1" t="s">
        <v>558</v>
      </c>
      <c r="R1347" s="1">
        <f t="shared" ref="R1347:R1410" si="21">ROUNDUP(MONTH(Q1347)/3,0)</f>
        <v>3</v>
      </c>
      <c r="S1347" s="4">
        <f>J1347*K1347*M1347</f>
        <v>255000</v>
      </c>
    </row>
    <row r="1348" spans="1:19" ht="43" hidden="1" customHeight="1">
      <c r="A1348" s="1" t="s">
        <v>2072</v>
      </c>
      <c r="B1348" s="1" t="s">
        <v>1250</v>
      </c>
      <c r="C1348" s="29">
        <v>46021.613467673596</v>
      </c>
      <c r="D1348" s="1" t="s">
        <v>3052</v>
      </c>
      <c r="E1348" s="1" t="s">
        <v>3053</v>
      </c>
      <c r="F1348" s="1">
        <v>6</v>
      </c>
      <c r="G1348" s="12" t="s">
        <v>820</v>
      </c>
      <c r="H1348" s="1" t="s">
        <v>820</v>
      </c>
      <c r="I1348" s="1" t="s">
        <v>1342</v>
      </c>
      <c r="J1348" s="30">
        <v>1020</v>
      </c>
      <c r="K1348" s="30">
        <v>25500</v>
      </c>
      <c r="L1348" s="31">
        <v>26010000</v>
      </c>
      <c r="M1348" s="1" t="s">
        <v>30</v>
      </c>
      <c r="N1348" s="1" t="s">
        <v>17</v>
      </c>
      <c r="O1348" s="1" t="s">
        <v>2057</v>
      </c>
      <c r="P1348" s="1" t="s">
        <v>2056</v>
      </c>
      <c r="Q1348" s="1" t="s">
        <v>1474</v>
      </c>
      <c r="R1348" s="1">
        <f t="shared" si="21"/>
        <v>4</v>
      </c>
      <c r="S1348" s="4">
        <f>J1348*K1348*M1348</f>
        <v>2601000</v>
      </c>
    </row>
    <row r="1349" spans="1:19" ht="43" hidden="1" customHeight="1">
      <c r="A1349" s="1" t="s">
        <v>2072</v>
      </c>
      <c r="B1349" s="1" t="s">
        <v>717</v>
      </c>
      <c r="C1349" s="29">
        <v>46020.384472314799</v>
      </c>
      <c r="D1349" s="1" t="s">
        <v>3052</v>
      </c>
      <c r="E1349" s="1" t="s">
        <v>3053</v>
      </c>
      <c r="F1349" s="1">
        <v>11</v>
      </c>
      <c r="G1349" s="12" t="s">
        <v>820</v>
      </c>
      <c r="H1349" s="1" t="s">
        <v>820</v>
      </c>
      <c r="I1349" s="1" t="s">
        <v>71</v>
      </c>
      <c r="J1349" s="30">
        <v>24</v>
      </c>
      <c r="K1349" s="30">
        <v>25500</v>
      </c>
      <c r="L1349" s="31">
        <v>612000</v>
      </c>
      <c r="M1349" s="1" t="s">
        <v>30</v>
      </c>
      <c r="N1349" s="1" t="s">
        <v>17</v>
      </c>
      <c r="O1349" s="1" t="s">
        <v>2057</v>
      </c>
      <c r="P1349" s="1" t="s">
        <v>2056</v>
      </c>
      <c r="Q1349" s="1" t="s">
        <v>275</v>
      </c>
      <c r="R1349" s="1">
        <f t="shared" si="21"/>
        <v>4</v>
      </c>
      <c r="S1349" s="4">
        <f>J1349*K1349*M1349</f>
        <v>61200</v>
      </c>
    </row>
    <row r="1350" spans="1:19" ht="43" hidden="1" customHeight="1">
      <c r="A1350" s="1" t="s">
        <v>2280</v>
      </c>
      <c r="B1350" s="1" t="s">
        <v>1401</v>
      </c>
      <c r="C1350" s="29">
        <v>45990.720828530102</v>
      </c>
      <c r="D1350" s="1" t="s">
        <v>3052</v>
      </c>
      <c r="E1350" s="1" t="s">
        <v>3053</v>
      </c>
      <c r="F1350" s="1">
        <v>1</v>
      </c>
      <c r="G1350" s="12" t="s">
        <v>820</v>
      </c>
      <c r="H1350" s="1" t="s">
        <v>820</v>
      </c>
      <c r="I1350" s="1" t="s">
        <v>71</v>
      </c>
      <c r="J1350" s="30">
        <v>2220</v>
      </c>
      <c r="K1350" s="30">
        <v>25500</v>
      </c>
      <c r="L1350" s="31">
        <v>56610000</v>
      </c>
      <c r="M1350" s="1" t="s">
        <v>30</v>
      </c>
      <c r="N1350" s="1" t="s">
        <v>17</v>
      </c>
      <c r="O1350" s="1" t="s">
        <v>2057</v>
      </c>
      <c r="P1350" s="1" t="s">
        <v>2056</v>
      </c>
      <c r="Q1350" s="1" t="s">
        <v>1531</v>
      </c>
      <c r="R1350" s="1">
        <f t="shared" si="21"/>
        <v>4</v>
      </c>
      <c r="S1350" s="4">
        <f>J1350*K1350*M1350</f>
        <v>5661000</v>
      </c>
    </row>
    <row r="1351" spans="1:19" ht="43" hidden="1" customHeight="1">
      <c r="A1351" s="1" t="s">
        <v>2280</v>
      </c>
      <c r="B1351" s="1" t="s">
        <v>1143</v>
      </c>
      <c r="C1351" s="29">
        <v>45926.638938830998</v>
      </c>
      <c r="D1351" s="1" t="s">
        <v>3056</v>
      </c>
      <c r="E1351" s="1" t="s">
        <v>3057</v>
      </c>
      <c r="F1351" s="1">
        <v>7</v>
      </c>
      <c r="G1351" s="12" t="s">
        <v>820</v>
      </c>
      <c r="H1351" s="1" t="s">
        <v>820</v>
      </c>
      <c r="I1351" s="1" t="s">
        <v>71</v>
      </c>
      <c r="J1351" s="30">
        <v>27</v>
      </c>
      <c r="K1351" s="30">
        <v>25000</v>
      </c>
      <c r="L1351" s="31">
        <v>675000</v>
      </c>
      <c r="M1351" s="1" t="s">
        <v>30</v>
      </c>
      <c r="N1351" s="1" t="s">
        <v>17</v>
      </c>
      <c r="O1351" s="1" t="s">
        <v>2057</v>
      </c>
      <c r="P1351" s="1" t="s">
        <v>2056</v>
      </c>
      <c r="Q1351" s="1" t="s">
        <v>558</v>
      </c>
      <c r="R1351" s="1">
        <f t="shared" si="21"/>
        <v>3</v>
      </c>
      <c r="S1351" s="4">
        <f>J1351*K1351*M1351</f>
        <v>67500</v>
      </c>
    </row>
    <row r="1352" spans="1:19" ht="43" hidden="1" customHeight="1">
      <c r="A1352" s="1" t="s">
        <v>2280</v>
      </c>
      <c r="B1352" s="1" t="s">
        <v>1419</v>
      </c>
      <c r="C1352" s="29">
        <v>45866.749486990702</v>
      </c>
      <c r="D1352" s="1" t="s">
        <v>3052</v>
      </c>
      <c r="E1352" s="1" t="s">
        <v>3053</v>
      </c>
      <c r="F1352" s="1">
        <v>14</v>
      </c>
      <c r="G1352" s="12" t="s">
        <v>820</v>
      </c>
      <c r="H1352" s="1" t="s">
        <v>820</v>
      </c>
      <c r="I1352" s="1" t="s">
        <v>71</v>
      </c>
      <c r="J1352" s="30">
        <v>990</v>
      </c>
      <c r="K1352" s="30">
        <v>26000</v>
      </c>
      <c r="L1352" s="31">
        <v>25740000</v>
      </c>
      <c r="M1352" s="1" t="s">
        <v>30</v>
      </c>
      <c r="N1352" s="1" t="s">
        <v>17</v>
      </c>
      <c r="O1352" s="1" t="s">
        <v>2057</v>
      </c>
      <c r="P1352" s="1" t="s">
        <v>2056</v>
      </c>
      <c r="Q1352" s="1" t="s">
        <v>1763</v>
      </c>
      <c r="R1352" s="1">
        <f t="shared" si="21"/>
        <v>3</v>
      </c>
      <c r="S1352" s="4">
        <f>J1352*K1352*M1352</f>
        <v>2574000</v>
      </c>
    </row>
    <row r="1353" spans="1:19" ht="43" hidden="1" customHeight="1">
      <c r="A1353" s="1" t="s">
        <v>2280</v>
      </c>
      <c r="B1353" s="1" t="s">
        <v>1421</v>
      </c>
      <c r="C1353" s="29">
        <v>45864.4410266782</v>
      </c>
      <c r="D1353" s="1" t="s">
        <v>3058</v>
      </c>
      <c r="E1353" s="1" t="s">
        <v>3059</v>
      </c>
      <c r="F1353" s="1">
        <v>2</v>
      </c>
      <c r="G1353" s="12" t="s">
        <v>820</v>
      </c>
      <c r="H1353" s="1" t="s">
        <v>820</v>
      </c>
      <c r="I1353" s="1" t="s">
        <v>71</v>
      </c>
      <c r="J1353" s="30">
        <v>219</v>
      </c>
      <c r="K1353" s="30">
        <v>23636.36</v>
      </c>
      <c r="L1353" s="31">
        <v>5176356</v>
      </c>
      <c r="M1353" s="1" t="s">
        <v>30</v>
      </c>
      <c r="N1353" s="1" t="s">
        <v>17</v>
      </c>
      <c r="O1353" s="1" t="s">
        <v>2057</v>
      </c>
      <c r="P1353" s="1" t="s">
        <v>2056</v>
      </c>
      <c r="Q1353" s="1" t="s">
        <v>1785</v>
      </c>
      <c r="R1353" s="1">
        <f t="shared" si="21"/>
        <v>3</v>
      </c>
      <c r="S1353" s="4">
        <f>J1353*K1353*M1353</f>
        <v>517636.28399999999</v>
      </c>
    </row>
    <row r="1354" spans="1:19" ht="43" hidden="1" customHeight="1">
      <c r="A1354" s="1" t="s">
        <v>2280</v>
      </c>
      <c r="B1354" s="1" t="s">
        <v>178</v>
      </c>
      <c r="C1354" s="29">
        <v>45843.566720439798</v>
      </c>
      <c r="D1354" s="1" t="s">
        <v>3052</v>
      </c>
      <c r="E1354" s="1" t="s">
        <v>3053</v>
      </c>
      <c r="F1354" s="1">
        <v>4</v>
      </c>
      <c r="G1354" s="12" t="s">
        <v>820</v>
      </c>
      <c r="H1354" s="1" t="s">
        <v>820</v>
      </c>
      <c r="I1354" s="1" t="s">
        <v>71</v>
      </c>
      <c r="J1354" s="30">
        <v>1860</v>
      </c>
      <c r="K1354" s="30">
        <v>20000</v>
      </c>
      <c r="L1354" s="31">
        <v>37200000</v>
      </c>
      <c r="M1354" s="1" t="s">
        <v>30</v>
      </c>
      <c r="N1354" s="1" t="s">
        <v>17</v>
      </c>
      <c r="O1354" s="1" t="s">
        <v>2057</v>
      </c>
      <c r="P1354" s="1" t="s">
        <v>2056</v>
      </c>
      <c r="Q1354" s="1" t="s">
        <v>808</v>
      </c>
      <c r="R1354" s="1">
        <f t="shared" si="21"/>
        <v>3</v>
      </c>
      <c r="S1354" s="4">
        <f>J1354*K1354*M1354</f>
        <v>3720000</v>
      </c>
    </row>
    <row r="1355" spans="1:19" ht="43" hidden="1" customHeight="1">
      <c r="A1355" s="1" t="s">
        <v>2280</v>
      </c>
      <c r="B1355" s="1" t="s">
        <v>1272</v>
      </c>
      <c r="C1355" s="29">
        <v>45836.414122164402</v>
      </c>
      <c r="D1355" s="1" t="s">
        <v>3052</v>
      </c>
      <c r="E1355" s="1" t="s">
        <v>3053</v>
      </c>
      <c r="F1355" s="1">
        <v>1</v>
      </c>
      <c r="G1355" s="12" t="s">
        <v>820</v>
      </c>
      <c r="H1355" s="1" t="s">
        <v>820</v>
      </c>
      <c r="I1355" s="1" t="s">
        <v>71</v>
      </c>
      <c r="J1355" s="30">
        <v>1000</v>
      </c>
      <c r="K1355" s="30">
        <v>26000</v>
      </c>
      <c r="L1355" s="31">
        <v>26000000</v>
      </c>
      <c r="M1355" s="1" t="s">
        <v>30</v>
      </c>
      <c r="N1355" s="1" t="s">
        <v>17</v>
      </c>
      <c r="O1355" s="1" t="s">
        <v>2057</v>
      </c>
      <c r="P1355" s="1" t="s">
        <v>2056</v>
      </c>
      <c r="Q1355" s="1" t="s">
        <v>845</v>
      </c>
      <c r="R1355" s="1">
        <f t="shared" si="21"/>
        <v>2</v>
      </c>
      <c r="S1355" s="4">
        <f>J1355*K1355*M1355</f>
        <v>2600000</v>
      </c>
    </row>
    <row r="1356" spans="1:19" ht="43" hidden="1" customHeight="1">
      <c r="A1356" s="1" t="s">
        <v>2280</v>
      </c>
      <c r="B1356" s="1" t="s">
        <v>1276</v>
      </c>
      <c r="C1356" s="29">
        <v>45831.391818900498</v>
      </c>
      <c r="D1356" s="1" t="s">
        <v>3052</v>
      </c>
      <c r="E1356" s="1" t="s">
        <v>3053</v>
      </c>
      <c r="F1356" s="1">
        <v>4</v>
      </c>
      <c r="G1356" s="12" t="s">
        <v>820</v>
      </c>
      <c r="H1356" s="1" t="s">
        <v>820</v>
      </c>
      <c r="I1356" s="1" t="s">
        <v>106</v>
      </c>
      <c r="J1356" s="30">
        <v>750</v>
      </c>
      <c r="K1356" s="30">
        <v>20000</v>
      </c>
      <c r="L1356" s="31">
        <v>15000000</v>
      </c>
      <c r="M1356" s="1" t="s">
        <v>30</v>
      </c>
      <c r="N1356" s="1" t="s">
        <v>17</v>
      </c>
      <c r="O1356" s="1" t="s">
        <v>2057</v>
      </c>
      <c r="P1356" s="1" t="s">
        <v>2056</v>
      </c>
      <c r="Q1356" s="1" t="s">
        <v>1856</v>
      </c>
      <c r="R1356" s="1">
        <f t="shared" si="21"/>
        <v>2</v>
      </c>
      <c r="S1356" s="4">
        <f>J1356*K1356*M1356</f>
        <v>1500000</v>
      </c>
    </row>
    <row r="1357" spans="1:19" ht="43" hidden="1" customHeight="1">
      <c r="A1357" s="1" t="s">
        <v>2280</v>
      </c>
      <c r="B1357" s="1" t="s">
        <v>1287</v>
      </c>
      <c r="C1357" s="29">
        <v>45817.364373414399</v>
      </c>
      <c r="D1357" s="1" t="s">
        <v>3072</v>
      </c>
      <c r="E1357" s="1" t="s">
        <v>3073</v>
      </c>
      <c r="F1357" s="1">
        <v>2</v>
      </c>
      <c r="G1357" s="12" t="s">
        <v>820</v>
      </c>
      <c r="H1357" s="1" t="s">
        <v>820</v>
      </c>
      <c r="I1357" s="1" t="s">
        <v>71</v>
      </c>
      <c r="J1357" s="30">
        <v>105</v>
      </c>
      <c r="K1357" s="30">
        <v>25454.55</v>
      </c>
      <c r="L1357" s="31">
        <v>2672727.75</v>
      </c>
      <c r="M1357" s="1" t="s">
        <v>30</v>
      </c>
      <c r="N1357" s="1" t="s">
        <v>17</v>
      </c>
      <c r="O1357" s="1" t="s">
        <v>2057</v>
      </c>
      <c r="P1357" s="1" t="s">
        <v>2056</v>
      </c>
      <c r="Q1357" s="1" t="s">
        <v>1860</v>
      </c>
      <c r="R1357" s="1">
        <f t="shared" si="21"/>
        <v>2</v>
      </c>
      <c r="S1357" s="4">
        <f>J1357*K1357*M1357</f>
        <v>267272.77500000002</v>
      </c>
    </row>
    <row r="1358" spans="1:19" ht="43" hidden="1" customHeight="1">
      <c r="A1358" s="1" t="s">
        <v>2280</v>
      </c>
      <c r="B1358" s="1" t="s">
        <v>188</v>
      </c>
      <c r="C1358" s="29">
        <v>45928.944600393501</v>
      </c>
      <c r="D1358" s="1" t="s">
        <v>3052</v>
      </c>
      <c r="E1358" s="1" t="s">
        <v>3053</v>
      </c>
      <c r="F1358" s="1">
        <v>20</v>
      </c>
      <c r="G1358" s="12" t="s">
        <v>820</v>
      </c>
      <c r="H1358" s="1" t="s">
        <v>1596</v>
      </c>
      <c r="I1358" s="1" t="s">
        <v>71</v>
      </c>
      <c r="J1358" s="30">
        <v>1200</v>
      </c>
      <c r="K1358" s="30">
        <v>25500</v>
      </c>
      <c r="L1358" s="31">
        <v>30600000</v>
      </c>
      <c r="M1358" s="1" t="s">
        <v>30</v>
      </c>
      <c r="N1358" s="1" t="s">
        <v>17</v>
      </c>
      <c r="O1358" s="1" t="s">
        <v>2057</v>
      </c>
      <c r="P1358" s="1" t="s">
        <v>2056</v>
      </c>
      <c r="Q1358" s="1" t="s">
        <v>546</v>
      </c>
      <c r="R1358" s="1">
        <f t="shared" si="21"/>
        <v>3</v>
      </c>
      <c r="S1358" s="4">
        <f>J1358*K1358*M1358</f>
        <v>3060000</v>
      </c>
    </row>
    <row r="1359" spans="1:19" ht="43" hidden="1" customHeight="1">
      <c r="A1359" s="1" t="s">
        <v>2280</v>
      </c>
      <c r="B1359" s="1" t="s">
        <v>717</v>
      </c>
      <c r="C1359" s="29">
        <v>45807.729117129602</v>
      </c>
      <c r="D1359" s="1" t="s">
        <v>3052</v>
      </c>
      <c r="E1359" s="1" t="s">
        <v>3053</v>
      </c>
      <c r="F1359" s="1">
        <v>8</v>
      </c>
      <c r="G1359" s="2" t="s">
        <v>820</v>
      </c>
      <c r="H1359" s="1" t="s">
        <v>1877</v>
      </c>
      <c r="I1359" s="1" t="s">
        <v>71</v>
      </c>
      <c r="J1359" s="30">
        <v>750</v>
      </c>
      <c r="K1359" s="30">
        <v>26000</v>
      </c>
      <c r="L1359" s="31">
        <v>19500000</v>
      </c>
      <c r="M1359" s="1" t="s">
        <v>30</v>
      </c>
      <c r="N1359" s="1" t="s">
        <v>17</v>
      </c>
      <c r="O1359" s="1" t="s">
        <v>2057</v>
      </c>
      <c r="P1359" s="1" t="s">
        <v>2056</v>
      </c>
      <c r="Q1359" s="1" t="s">
        <v>925</v>
      </c>
      <c r="R1359" s="1">
        <f t="shared" si="21"/>
        <v>2</v>
      </c>
      <c r="S1359" s="4">
        <f>J1359*K1359*M1359</f>
        <v>1950000</v>
      </c>
    </row>
    <row r="1360" spans="1:19" ht="43" hidden="1" customHeight="1">
      <c r="A1360" s="1" t="s">
        <v>2280</v>
      </c>
      <c r="B1360" s="1" t="s">
        <v>1462</v>
      </c>
      <c r="C1360" s="29">
        <v>45928.944135983802</v>
      </c>
      <c r="D1360" s="1" t="s">
        <v>3052</v>
      </c>
      <c r="E1360" s="1" t="s">
        <v>3053</v>
      </c>
      <c r="F1360" s="1">
        <v>31</v>
      </c>
      <c r="G1360" s="12" t="s">
        <v>676</v>
      </c>
      <c r="H1360" s="1" t="s">
        <v>676</v>
      </c>
      <c r="I1360" s="1" t="s">
        <v>1268</v>
      </c>
      <c r="J1360" s="30">
        <v>15</v>
      </c>
      <c r="K1360" s="30">
        <v>220000</v>
      </c>
      <c r="L1360" s="31">
        <v>3300000</v>
      </c>
      <c r="M1360" s="1" t="s">
        <v>16</v>
      </c>
      <c r="N1360" s="1" t="s">
        <v>17</v>
      </c>
      <c r="O1360" s="1" t="s">
        <v>2057</v>
      </c>
      <c r="P1360" s="1" t="s">
        <v>2056</v>
      </c>
      <c r="Q1360" s="1" t="s">
        <v>546</v>
      </c>
      <c r="R1360" s="1">
        <f t="shared" si="21"/>
        <v>3</v>
      </c>
      <c r="S1360" s="4">
        <f>J1360*K1360*M1360</f>
        <v>264000</v>
      </c>
    </row>
    <row r="1361" spans="1:19" ht="43" customHeight="1">
      <c r="A1361" s="1" t="s">
        <v>2280</v>
      </c>
      <c r="B1361" s="1" t="s">
        <v>1315</v>
      </c>
      <c r="C1361" s="29">
        <v>45747.658940451402</v>
      </c>
      <c r="D1361" s="1" t="s">
        <v>3071</v>
      </c>
      <c r="E1361" s="1" t="s">
        <v>3053</v>
      </c>
      <c r="F1361" s="1">
        <v>8</v>
      </c>
      <c r="H1361" s="1" t="s">
        <v>2003</v>
      </c>
      <c r="I1361" s="1" t="s">
        <v>51</v>
      </c>
      <c r="J1361" s="30">
        <v>3</v>
      </c>
      <c r="K1361" s="30">
        <v>30000</v>
      </c>
      <c r="L1361" s="31">
        <v>90000</v>
      </c>
      <c r="M1361" s="1" t="s">
        <v>30</v>
      </c>
      <c r="N1361" s="1" t="s">
        <v>17</v>
      </c>
      <c r="O1361" s="1" t="s">
        <v>2057</v>
      </c>
      <c r="P1361" s="1" t="s">
        <v>2056</v>
      </c>
      <c r="Q1361" s="1" t="s">
        <v>42</v>
      </c>
      <c r="R1361" s="1">
        <f t="shared" si="21"/>
        <v>1</v>
      </c>
      <c r="S1361" s="4">
        <f>J1361*K1361*M1361</f>
        <v>9000</v>
      </c>
    </row>
    <row r="1362" spans="1:19" ht="43" hidden="1" customHeight="1">
      <c r="A1362" s="1" t="s">
        <v>2280</v>
      </c>
      <c r="B1362" s="1" t="s">
        <v>1284</v>
      </c>
      <c r="C1362" s="29">
        <v>45826.394072407398</v>
      </c>
      <c r="D1362" s="1" t="s">
        <v>3052</v>
      </c>
      <c r="E1362" s="1" t="s">
        <v>3053</v>
      </c>
      <c r="F1362" s="1">
        <v>1</v>
      </c>
      <c r="G1362" s="2" t="s">
        <v>2325</v>
      </c>
      <c r="H1362" s="1" t="s">
        <v>1858</v>
      </c>
      <c r="L1362" s="31">
        <v>41870000</v>
      </c>
      <c r="M1362" s="1" t="s">
        <v>16</v>
      </c>
      <c r="N1362" s="1" t="s">
        <v>17</v>
      </c>
      <c r="O1362" s="1" t="s">
        <v>2057</v>
      </c>
      <c r="P1362" s="1" t="s">
        <v>2056</v>
      </c>
      <c r="Q1362" s="1" t="s">
        <v>863</v>
      </c>
      <c r="R1362" s="1">
        <f t="shared" si="21"/>
        <v>2</v>
      </c>
      <c r="S1362" s="4">
        <f>J1362*K1362*M1362</f>
        <v>0</v>
      </c>
    </row>
    <row r="1363" spans="1:19" ht="43" hidden="1" customHeight="1">
      <c r="A1363" s="1" t="s">
        <v>2280</v>
      </c>
      <c r="B1363" s="1" t="s">
        <v>1244</v>
      </c>
      <c r="C1363" s="29">
        <v>45804.596439571797</v>
      </c>
      <c r="D1363" s="1" t="s">
        <v>3052</v>
      </c>
      <c r="E1363" s="1" t="s">
        <v>3053</v>
      </c>
      <c r="F1363" s="1">
        <v>1</v>
      </c>
      <c r="G1363" s="2" t="s">
        <v>2325</v>
      </c>
      <c r="H1363" s="1" t="s">
        <v>1890</v>
      </c>
      <c r="L1363" s="31">
        <v>205392500</v>
      </c>
      <c r="M1363" s="1" t="s">
        <v>16</v>
      </c>
      <c r="N1363" s="1" t="s">
        <v>17</v>
      </c>
      <c r="O1363" s="1" t="s">
        <v>2057</v>
      </c>
      <c r="P1363" s="1" t="s">
        <v>2056</v>
      </c>
      <c r="Q1363" s="1" t="s">
        <v>37</v>
      </c>
      <c r="R1363" s="1">
        <f t="shared" si="21"/>
        <v>2</v>
      </c>
      <c r="S1363" s="4">
        <f>J1363*K1363*M1363</f>
        <v>0</v>
      </c>
    </row>
    <row r="1364" spans="1:19" ht="43" hidden="1" customHeight="1">
      <c r="A1364" s="1" t="s">
        <v>2280</v>
      </c>
      <c r="B1364" s="1" t="s">
        <v>139</v>
      </c>
      <c r="C1364" s="29">
        <v>45853.566091226901</v>
      </c>
      <c r="D1364" s="1" t="s">
        <v>3052</v>
      </c>
      <c r="E1364" s="1" t="s">
        <v>3053</v>
      </c>
      <c r="F1364" s="1">
        <v>1</v>
      </c>
      <c r="G1364" s="2" t="s">
        <v>2325</v>
      </c>
      <c r="H1364" s="1" t="s">
        <v>1797</v>
      </c>
      <c r="L1364" s="31">
        <v>14000000</v>
      </c>
      <c r="M1364" s="1" t="s">
        <v>16</v>
      </c>
      <c r="N1364" s="1" t="s">
        <v>17</v>
      </c>
      <c r="O1364" s="1" t="s">
        <v>2057</v>
      </c>
      <c r="P1364" s="1" t="s">
        <v>2056</v>
      </c>
      <c r="Q1364" s="1" t="s">
        <v>1798</v>
      </c>
      <c r="R1364" s="1">
        <f t="shared" si="21"/>
        <v>3</v>
      </c>
      <c r="S1364" s="4">
        <f>J1364*K1364*M1364</f>
        <v>0</v>
      </c>
    </row>
    <row r="1365" spans="1:19" ht="43" hidden="1" customHeight="1">
      <c r="A1365" s="1" t="s">
        <v>2280</v>
      </c>
      <c r="B1365" s="1" t="s">
        <v>846</v>
      </c>
      <c r="C1365" s="29">
        <v>45820.478041041701</v>
      </c>
      <c r="D1365" s="1" t="s">
        <v>3052</v>
      </c>
      <c r="E1365" s="1" t="s">
        <v>3053</v>
      </c>
      <c r="F1365" s="1">
        <v>1</v>
      </c>
      <c r="G1365" s="2" t="s">
        <v>2325</v>
      </c>
      <c r="H1365" s="1" t="s">
        <v>1859</v>
      </c>
      <c r="L1365" s="31">
        <v>209807500</v>
      </c>
      <c r="M1365" s="1" t="s">
        <v>16</v>
      </c>
      <c r="N1365" s="1" t="s">
        <v>17</v>
      </c>
      <c r="O1365" s="1" t="s">
        <v>2057</v>
      </c>
      <c r="P1365" s="1" t="s">
        <v>2056</v>
      </c>
      <c r="Q1365" s="1" t="s">
        <v>31</v>
      </c>
      <c r="R1365" s="1">
        <f t="shared" si="21"/>
        <v>2</v>
      </c>
      <c r="S1365" s="4">
        <f>J1365*K1365*M1365</f>
        <v>0</v>
      </c>
    </row>
    <row r="1366" spans="1:19" ht="43" hidden="1" customHeight="1">
      <c r="A1366" s="1" t="s">
        <v>2280</v>
      </c>
      <c r="B1366" s="1" t="s">
        <v>165</v>
      </c>
      <c r="C1366" s="29">
        <v>45862.597696088</v>
      </c>
      <c r="D1366" s="1" t="s">
        <v>3052</v>
      </c>
      <c r="E1366" s="1" t="s">
        <v>3053</v>
      </c>
      <c r="F1366" s="1">
        <v>1</v>
      </c>
      <c r="G1366" s="2" t="s">
        <v>2325</v>
      </c>
      <c r="H1366" s="1" t="s">
        <v>1794</v>
      </c>
      <c r="L1366" s="31">
        <v>264245000</v>
      </c>
      <c r="M1366" s="1" t="s">
        <v>16</v>
      </c>
      <c r="N1366" s="1" t="s">
        <v>17</v>
      </c>
      <c r="O1366" s="1" t="s">
        <v>2057</v>
      </c>
      <c r="P1366" s="1" t="s">
        <v>2056</v>
      </c>
      <c r="Q1366" s="1" t="s">
        <v>795</v>
      </c>
      <c r="R1366" s="1">
        <f t="shared" si="21"/>
        <v>3</v>
      </c>
      <c r="S1366" s="4">
        <f>J1366*K1366*M1366</f>
        <v>0</v>
      </c>
    </row>
    <row r="1367" spans="1:19" ht="43" customHeight="1">
      <c r="A1367" s="1" t="s">
        <v>2280</v>
      </c>
      <c r="B1367" s="1" t="s">
        <v>221</v>
      </c>
      <c r="C1367" s="29">
        <v>45776.500553657403</v>
      </c>
      <c r="D1367" s="1" t="s">
        <v>3052</v>
      </c>
      <c r="E1367" s="1" t="s">
        <v>3053</v>
      </c>
      <c r="F1367" s="1">
        <v>9</v>
      </c>
      <c r="H1367" s="1" t="s">
        <v>1907</v>
      </c>
      <c r="I1367" s="1" t="s">
        <v>62</v>
      </c>
      <c r="J1367" s="30">
        <v>2500</v>
      </c>
      <c r="K1367" s="30">
        <v>19000</v>
      </c>
      <c r="L1367" s="31">
        <v>47500000</v>
      </c>
      <c r="M1367" s="1" t="s">
        <v>30</v>
      </c>
      <c r="N1367" s="1" t="s">
        <v>17</v>
      </c>
      <c r="O1367" s="1" t="s">
        <v>2057</v>
      </c>
      <c r="P1367" s="1" t="s">
        <v>2056</v>
      </c>
      <c r="Q1367" s="1" t="s">
        <v>937</v>
      </c>
      <c r="R1367" s="1">
        <f t="shared" si="21"/>
        <v>2</v>
      </c>
      <c r="S1367" s="4">
        <f>J1367*K1367*M1367</f>
        <v>4750000</v>
      </c>
    </row>
    <row r="1368" spans="1:19" ht="43" customHeight="1">
      <c r="A1368" s="1" t="s">
        <v>2280</v>
      </c>
      <c r="B1368" s="1" t="s">
        <v>221</v>
      </c>
      <c r="C1368" s="29">
        <v>45776.500553657403</v>
      </c>
      <c r="D1368" s="1" t="s">
        <v>3052</v>
      </c>
      <c r="E1368" s="1" t="s">
        <v>3053</v>
      </c>
      <c r="F1368" s="1">
        <v>8</v>
      </c>
      <c r="H1368" s="1" t="s">
        <v>1906</v>
      </c>
      <c r="I1368" s="1" t="s">
        <v>62</v>
      </c>
      <c r="J1368" s="30">
        <v>200</v>
      </c>
      <c r="K1368" s="30">
        <v>22000</v>
      </c>
      <c r="L1368" s="31">
        <v>4400000</v>
      </c>
      <c r="M1368" s="1" t="s">
        <v>30</v>
      </c>
      <c r="N1368" s="1" t="s">
        <v>17</v>
      </c>
      <c r="O1368" s="1" t="s">
        <v>2057</v>
      </c>
      <c r="P1368" s="1" t="s">
        <v>2056</v>
      </c>
      <c r="Q1368" s="1" t="s">
        <v>937</v>
      </c>
      <c r="R1368" s="1">
        <f t="shared" si="21"/>
        <v>2</v>
      </c>
      <c r="S1368" s="4">
        <f>J1368*K1368*M1368</f>
        <v>440000</v>
      </c>
    </row>
    <row r="1369" spans="1:19" ht="43" hidden="1" customHeight="1">
      <c r="A1369" s="1" t="s">
        <v>2280</v>
      </c>
      <c r="B1369" s="1" t="s">
        <v>1446</v>
      </c>
      <c r="C1369" s="29">
        <v>45957.708850381903</v>
      </c>
      <c r="D1369" s="1" t="s">
        <v>3058</v>
      </c>
      <c r="E1369" s="1" t="s">
        <v>3059</v>
      </c>
      <c r="F1369" s="1">
        <v>4</v>
      </c>
      <c r="G1369" s="12" t="s">
        <v>629</v>
      </c>
      <c r="H1369" s="1" t="s">
        <v>629</v>
      </c>
      <c r="I1369" s="1" t="s">
        <v>62</v>
      </c>
      <c r="J1369" s="30">
        <v>7</v>
      </c>
      <c r="K1369" s="30">
        <v>25000</v>
      </c>
      <c r="L1369" s="31">
        <v>175000</v>
      </c>
      <c r="M1369" s="1" t="s">
        <v>30</v>
      </c>
      <c r="N1369" s="1" t="s">
        <v>17</v>
      </c>
      <c r="O1369" s="1" t="s">
        <v>2057</v>
      </c>
      <c r="P1369" s="1" t="s">
        <v>2056</v>
      </c>
      <c r="Q1369" s="1" t="s">
        <v>1583</v>
      </c>
      <c r="R1369" s="1">
        <f t="shared" si="21"/>
        <v>4</v>
      </c>
      <c r="S1369" s="4">
        <f>J1369*K1369*M1369</f>
        <v>17500</v>
      </c>
    </row>
    <row r="1370" spans="1:19" ht="43" hidden="1" customHeight="1">
      <c r="A1370" s="1" t="s">
        <v>2280</v>
      </c>
      <c r="B1370" s="1" t="s">
        <v>1457</v>
      </c>
      <c r="C1370" s="29">
        <v>45937.407710069398</v>
      </c>
      <c r="D1370" s="1" t="s">
        <v>3083</v>
      </c>
      <c r="E1370" s="1" t="s">
        <v>3084</v>
      </c>
      <c r="F1370" s="1">
        <v>9</v>
      </c>
      <c r="G1370" s="12" t="s">
        <v>629</v>
      </c>
      <c r="H1370" s="1" t="s">
        <v>629</v>
      </c>
      <c r="I1370" s="1" t="s">
        <v>62</v>
      </c>
      <c r="J1370" s="30">
        <v>2</v>
      </c>
      <c r="K1370" s="30">
        <v>20000</v>
      </c>
      <c r="L1370" s="31">
        <v>40000</v>
      </c>
      <c r="M1370" s="1" t="s">
        <v>30</v>
      </c>
      <c r="N1370" s="1" t="s">
        <v>17</v>
      </c>
      <c r="O1370" s="1" t="s">
        <v>2057</v>
      </c>
      <c r="P1370" s="1" t="s">
        <v>2056</v>
      </c>
      <c r="Q1370" s="1" t="s">
        <v>1587</v>
      </c>
      <c r="R1370" s="1">
        <f t="shared" si="21"/>
        <v>4</v>
      </c>
      <c r="S1370" s="4">
        <f>J1370*K1370*M1370</f>
        <v>4000</v>
      </c>
    </row>
    <row r="1371" spans="1:19" ht="43" hidden="1" customHeight="1">
      <c r="A1371" s="1" t="s">
        <v>2072</v>
      </c>
      <c r="B1371" s="1" t="s">
        <v>1250</v>
      </c>
      <c r="C1371" s="29">
        <v>46021.613467673596</v>
      </c>
      <c r="D1371" s="1" t="s">
        <v>3052</v>
      </c>
      <c r="E1371" s="1" t="s">
        <v>3053</v>
      </c>
      <c r="F1371" s="1">
        <v>1</v>
      </c>
      <c r="G1371" s="12" t="s">
        <v>2791</v>
      </c>
      <c r="H1371" s="1" t="s">
        <v>921</v>
      </c>
      <c r="I1371" s="1" t="s">
        <v>62</v>
      </c>
      <c r="J1371" s="30">
        <v>400</v>
      </c>
      <c r="K1371" s="30">
        <v>20000</v>
      </c>
      <c r="L1371" s="31">
        <v>8000000</v>
      </c>
      <c r="M1371" s="1" t="s">
        <v>30</v>
      </c>
      <c r="N1371" s="1" t="s">
        <v>17</v>
      </c>
      <c r="O1371" s="1" t="s">
        <v>2057</v>
      </c>
      <c r="P1371" s="1" t="s">
        <v>2056</v>
      </c>
      <c r="Q1371" s="1" t="s">
        <v>1474</v>
      </c>
      <c r="R1371" s="1">
        <f t="shared" si="21"/>
        <v>4</v>
      </c>
      <c r="S1371" s="4">
        <f>J1371*K1371*M1371</f>
        <v>800000</v>
      </c>
    </row>
    <row r="1372" spans="1:19" ht="43" hidden="1" customHeight="1">
      <c r="A1372" s="1" t="s">
        <v>2280</v>
      </c>
      <c r="B1372" s="1" t="s">
        <v>1457</v>
      </c>
      <c r="C1372" s="29">
        <v>45937.407710069398</v>
      </c>
      <c r="D1372" s="1" t="s">
        <v>3083</v>
      </c>
      <c r="E1372" s="1" t="s">
        <v>3084</v>
      </c>
      <c r="F1372" s="1">
        <v>4</v>
      </c>
      <c r="G1372" s="12" t="s">
        <v>2791</v>
      </c>
      <c r="H1372" s="1" t="s">
        <v>921</v>
      </c>
      <c r="I1372" s="1" t="s">
        <v>62</v>
      </c>
      <c r="J1372" s="30">
        <v>7.1</v>
      </c>
      <c r="K1372" s="30">
        <v>20000</v>
      </c>
      <c r="L1372" s="31">
        <v>142000</v>
      </c>
      <c r="M1372" s="1" t="s">
        <v>30</v>
      </c>
      <c r="N1372" s="1" t="s">
        <v>17</v>
      </c>
      <c r="O1372" s="1" t="s">
        <v>2057</v>
      </c>
      <c r="P1372" s="1" t="s">
        <v>2056</v>
      </c>
      <c r="Q1372" s="1" t="s">
        <v>1587</v>
      </c>
      <c r="R1372" s="1">
        <f t="shared" si="21"/>
        <v>4</v>
      </c>
      <c r="S1372" s="4">
        <f>J1372*K1372*M1372</f>
        <v>14200</v>
      </c>
    </row>
    <row r="1373" spans="1:19" ht="43" hidden="1" customHeight="1">
      <c r="A1373" s="1" t="s">
        <v>2280</v>
      </c>
      <c r="B1373" s="1" t="s">
        <v>126</v>
      </c>
      <c r="C1373" s="29">
        <v>45898.896719536999</v>
      </c>
      <c r="D1373" s="1" t="s">
        <v>3052</v>
      </c>
      <c r="E1373" s="1" t="s">
        <v>3053</v>
      </c>
      <c r="F1373" s="1">
        <v>20</v>
      </c>
      <c r="G1373" s="12" t="s">
        <v>2791</v>
      </c>
      <c r="H1373" s="1" t="s">
        <v>921</v>
      </c>
      <c r="I1373" s="1" t="s">
        <v>62</v>
      </c>
      <c r="J1373" s="30">
        <v>12</v>
      </c>
      <c r="K1373" s="30">
        <v>25000</v>
      </c>
      <c r="L1373" s="31">
        <v>300000</v>
      </c>
      <c r="M1373" s="1" t="s">
        <v>30</v>
      </c>
      <c r="N1373" s="1" t="s">
        <v>17</v>
      </c>
      <c r="O1373" s="1" t="s">
        <v>2057</v>
      </c>
      <c r="P1373" s="1" t="s">
        <v>2056</v>
      </c>
      <c r="Q1373" s="1" t="s">
        <v>652</v>
      </c>
      <c r="R1373" s="1">
        <f t="shared" si="21"/>
        <v>3</v>
      </c>
      <c r="S1373" s="4">
        <f>J1373*K1373*M1373</f>
        <v>30000</v>
      </c>
    </row>
    <row r="1374" spans="1:19" ht="43" hidden="1" customHeight="1">
      <c r="A1374" s="1" t="s">
        <v>2280</v>
      </c>
      <c r="B1374" s="1" t="s">
        <v>1413</v>
      </c>
      <c r="C1374" s="29">
        <v>45889.506525011602</v>
      </c>
      <c r="D1374" s="1" t="s">
        <v>3054</v>
      </c>
      <c r="E1374" s="1" t="s">
        <v>3055</v>
      </c>
      <c r="F1374" s="1">
        <v>16</v>
      </c>
      <c r="G1374" s="12" t="s">
        <v>2791</v>
      </c>
      <c r="H1374" s="1" t="s">
        <v>921</v>
      </c>
      <c r="I1374" s="1" t="s">
        <v>62</v>
      </c>
      <c r="J1374" s="30">
        <v>415</v>
      </c>
      <c r="K1374" s="30">
        <v>25000</v>
      </c>
      <c r="L1374" s="31">
        <v>10375000</v>
      </c>
      <c r="M1374" s="1" t="s">
        <v>30</v>
      </c>
      <c r="N1374" s="1" t="s">
        <v>17</v>
      </c>
      <c r="O1374" s="1" t="s">
        <v>2057</v>
      </c>
      <c r="P1374" s="1" t="s">
        <v>2056</v>
      </c>
      <c r="Q1374" s="1" t="s">
        <v>674</v>
      </c>
      <c r="R1374" s="1">
        <f t="shared" si="21"/>
        <v>3</v>
      </c>
      <c r="S1374" s="4">
        <f>J1374*K1374*M1374</f>
        <v>1037500</v>
      </c>
    </row>
    <row r="1375" spans="1:19" ht="43" hidden="1" customHeight="1">
      <c r="A1375" s="1" t="s">
        <v>2280</v>
      </c>
      <c r="B1375" s="1" t="s">
        <v>1472</v>
      </c>
      <c r="C1375" s="29">
        <v>45899.6448496991</v>
      </c>
      <c r="D1375" s="1" t="s">
        <v>3052</v>
      </c>
      <c r="E1375" s="1" t="s">
        <v>3053</v>
      </c>
      <c r="F1375" s="1">
        <v>1</v>
      </c>
      <c r="G1375" s="12" t="s">
        <v>2791</v>
      </c>
      <c r="H1375" s="1" t="s">
        <v>921</v>
      </c>
      <c r="I1375" s="1" t="s">
        <v>62</v>
      </c>
      <c r="J1375" s="30">
        <v>218</v>
      </c>
      <c r="K1375" s="30">
        <v>19000</v>
      </c>
      <c r="L1375" s="31">
        <v>4142000</v>
      </c>
      <c r="M1375" s="1" t="s">
        <v>30</v>
      </c>
      <c r="N1375" s="1" t="s">
        <v>17</v>
      </c>
      <c r="O1375" s="1" t="s">
        <v>2057</v>
      </c>
      <c r="P1375" s="1" t="s">
        <v>2056</v>
      </c>
      <c r="Q1375" s="1" t="s">
        <v>636</v>
      </c>
      <c r="R1375" s="1">
        <f t="shared" si="21"/>
        <v>3</v>
      </c>
      <c r="S1375" s="4">
        <f>J1375*K1375*M1375</f>
        <v>414200</v>
      </c>
    </row>
    <row r="1376" spans="1:19" ht="43" hidden="1" customHeight="1">
      <c r="A1376" s="1" t="s">
        <v>2280</v>
      </c>
      <c r="B1376" s="1" t="s">
        <v>1417</v>
      </c>
      <c r="C1376" s="29">
        <v>45868.607072511601</v>
      </c>
      <c r="D1376" s="1" t="s">
        <v>3052</v>
      </c>
      <c r="E1376" s="1" t="s">
        <v>3053</v>
      </c>
      <c r="F1376" s="1">
        <v>5</v>
      </c>
      <c r="G1376" s="12" t="s">
        <v>2791</v>
      </c>
      <c r="H1376" s="1" t="s">
        <v>921</v>
      </c>
      <c r="I1376" s="1" t="s">
        <v>62</v>
      </c>
      <c r="J1376" s="30">
        <v>10</v>
      </c>
      <c r="K1376" s="30">
        <v>25000</v>
      </c>
      <c r="L1376" s="31">
        <v>250000</v>
      </c>
      <c r="M1376" s="1" t="s">
        <v>30</v>
      </c>
      <c r="N1376" s="1" t="s">
        <v>17</v>
      </c>
      <c r="O1376" s="1" t="s">
        <v>2057</v>
      </c>
      <c r="P1376" s="1" t="s">
        <v>2056</v>
      </c>
      <c r="Q1376" s="1" t="s">
        <v>800</v>
      </c>
      <c r="R1376" s="1">
        <f t="shared" si="21"/>
        <v>3</v>
      </c>
      <c r="S1376" s="4">
        <f>J1376*K1376*M1376</f>
        <v>25000</v>
      </c>
    </row>
    <row r="1377" spans="1:19" ht="43" hidden="1" customHeight="1">
      <c r="A1377" s="1" t="s">
        <v>2280</v>
      </c>
      <c r="B1377" s="1" t="s">
        <v>882</v>
      </c>
      <c r="C1377" s="29">
        <v>45989.803104988401</v>
      </c>
      <c r="D1377" s="1" t="s">
        <v>3054</v>
      </c>
      <c r="E1377" s="1" t="s">
        <v>3055</v>
      </c>
      <c r="F1377" s="1">
        <v>11</v>
      </c>
      <c r="G1377" s="12" t="s">
        <v>421</v>
      </c>
      <c r="H1377" s="1" t="s">
        <v>421</v>
      </c>
      <c r="I1377" s="1" t="s">
        <v>62</v>
      </c>
      <c r="J1377" s="30">
        <v>263</v>
      </c>
      <c r="K1377" s="30">
        <v>18500</v>
      </c>
      <c r="L1377" s="31">
        <v>4865500</v>
      </c>
      <c r="M1377" s="1" t="s">
        <v>30</v>
      </c>
      <c r="N1377" s="1" t="s">
        <v>17</v>
      </c>
      <c r="O1377" s="1" t="s">
        <v>2057</v>
      </c>
      <c r="P1377" s="1" t="s">
        <v>2056</v>
      </c>
      <c r="Q1377" s="1" t="s">
        <v>394</v>
      </c>
      <c r="R1377" s="1">
        <f t="shared" si="21"/>
        <v>4</v>
      </c>
      <c r="S1377" s="4">
        <f>J1377*K1377*M1377</f>
        <v>486550</v>
      </c>
    </row>
    <row r="1378" spans="1:19" ht="43" hidden="1" customHeight="1">
      <c r="A1378" s="1" t="s">
        <v>2072</v>
      </c>
      <c r="B1378" s="1" t="s">
        <v>717</v>
      </c>
      <c r="C1378" s="29">
        <v>46020.384472314799</v>
      </c>
      <c r="D1378" s="1" t="s">
        <v>3052</v>
      </c>
      <c r="E1378" s="1" t="s">
        <v>3053</v>
      </c>
      <c r="F1378" s="1">
        <v>12</v>
      </c>
      <c r="G1378" s="12" t="s">
        <v>796</v>
      </c>
      <c r="H1378" s="1" t="s">
        <v>796</v>
      </c>
      <c r="I1378" s="1" t="s">
        <v>62</v>
      </c>
      <c r="J1378" s="30">
        <v>15</v>
      </c>
      <c r="K1378" s="30">
        <v>20000</v>
      </c>
      <c r="L1378" s="31">
        <v>300000</v>
      </c>
      <c r="M1378" s="1" t="s">
        <v>30</v>
      </c>
      <c r="N1378" s="1" t="s">
        <v>17</v>
      </c>
      <c r="O1378" s="1" t="s">
        <v>2057</v>
      </c>
      <c r="P1378" s="1" t="s">
        <v>2056</v>
      </c>
      <c r="Q1378" s="1" t="s">
        <v>275</v>
      </c>
      <c r="R1378" s="1">
        <f t="shared" si="21"/>
        <v>4</v>
      </c>
      <c r="S1378" s="4">
        <f>J1378*K1378*M1378</f>
        <v>30000</v>
      </c>
    </row>
    <row r="1379" spans="1:19" ht="43" hidden="1" customHeight="1">
      <c r="A1379" s="1" t="s">
        <v>2280</v>
      </c>
      <c r="B1379" s="1" t="s">
        <v>882</v>
      </c>
      <c r="C1379" s="29">
        <v>45989.803104988401</v>
      </c>
      <c r="D1379" s="1" t="s">
        <v>3054</v>
      </c>
      <c r="E1379" s="1" t="s">
        <v>3055</v>
      </c>
      <c r="F1379" s="1">
        <v>1</v>
      </c>
      <c r="G1379" s="12" t="s">
        <v>420</v>
      </c>
      <c r="H1379" s="1" t="s">
        <v>420</v>
      </c>
      <c r="I1379" s="1" t="s">
        <v>62</v>
      </c>
      <c r="J1379" s="30">
        <v>1497.6</v>
      </c>
      <c r="K1379" s="30">
        <v>18500</v>
      </c>
      <c r="L1379" s="31">
        <v>27705600</v>
      </c>
      <c r="M1379" s="1" t="s">
        <v>30</v>
      </c>
      <c r="N1379" s="1" t="s">
        <v>17</v>
      </c>
      <c r="O1379" s="1" t="s">
        <v>2057</v>
      </c>
      <c r="P1379" s="1" t="s">
        <v>2056</v>
      </c>
      <c r="Q1379" s="1" t="s">
        <v>394</v>
      </c>
      <c r="R1379" s="1">
        <f t="shared" si="21"/>
        <v>4</v>
      </c>
      <c r="S1379" s="4">
        <f>J1379*K1379*M1379</f>
        <v>2770560</v>
      </c>
    </row>
    <row r="1380" spans="1:19" ht="43" hidden="1" customHeight="1">
      <c r="A1380" s="1" t="s">
        <v>2280</v>
      </c>
      <c r="B1380" s="1" t="s">
        <v>1407</v>
      </c>
      <c r="C1380" s="29">
        <v>45988.732334594897</v>
      </c>
      <c r="D1380" s="1" t="s">
        <v>3056</v>
      </c>
      <c r="E1380" s="1" t="s">
        <v>3057</v>
      </c>
      <c r="F1380" s="1">
        <v>2</v>
      </c>
      <c r="G1380" s="12" t="s">
        <v>2140</v>
      </c>
      <c r="H1380" s="1" t="s">
        <v>1561</v>
      </c>
      <c r="I1380" s="1" t="s">
        <v>62</v>
      </c>
      <c r="J1380" s="30">
        <v>967</v>
      </c>
      <c r="K1380" s="30">
        <v>18500</v>
      </c>
      <c r="L1380" s="31">
        <v>17889500</v>
      </c>
      <c r="M1380" s="1" t="s">
        <v>30</v>
      </c>
      <c r="N1380" s="1" t="s">
        <v>17</v>
      </c>
      <c r="O1380" s="1" t="s">
        <v>2057</v>
      </c>
      <c r="P1380" s="1" t="s">
        <v>2056</v>
      </c>
      <c r="Q1380" s="1" t="s">
        <v>416</v>
      </c>
      <c r="R1380" s="1">
        <f t="shared" si="21"/>
        <v>4</v>
      </c>
      <c r="S1380" s="4">
        <f>J1380*K1380*M1380</f>
        <v>1788950</v>
      </c>
    </row>
    <row r="1381" spans="1:19" ht="43" hidden="1" customHeight="1">
      <c r="A1381" s="1" t="s">
        <v>2280</v>
      </c>
      <c r="B1381" s="1" t="s">
        <v>1407</v>
      </c>
      <c r="C1381" s="29">
        <v>45988.732334594897</v>
      </c>
      <c r="D1381" s="1" t="s">
        <v>3056</v>
      </c>
      <c r="E1381" s="1" t="s">
        <v>3057</v>
      </c>
      <c r="F1381" s="1">
        <v>1</v>
      </c>
      <c r="G1381" s="12" t="s">
        <v>2140</v>
      </c>
      <c r="H1381" s="1" t="s">
        <v>1560</v>
      </c>
      <c r="I1381" s="1" t="s">
        <v>62</v>
      </c>
      <c r="J1381" s="30">
        <v>1937.6134999999999</v>
      </c>
      <c r="K1381" s="30">
        <v>18445.84</v>
      </c>
      <c r="L1381" s="31">
        <v>35740909</v>
      </c>
      <c r="M1381" s="1" t="s">
        <v>30</v>
      </c>
      <c r="N1381" s="1" t="s">
        <v>17</v>
      </c>
      <c r="O1381" s="1" t="s">
        <v>2057</v>
      </c>
      <c r="P1381" s="1" t="s">
        <v>2056</v>
      </c>
      <c r="Q1381" s="1" t="s">
        <v>416</v>
      </c>
      <c r="R1381" s="1">
        <f t="shared" si="21"/>
        <v>4</v>
      </c>
      <c r="S1381" s="4">
        <f>J1381*K1381*M1381</f>
        <v>3574090.8602840002</v>
      </c>
    </row>
    <row r="1382" spans="1:19" ht="43" hidden="1" customHeight="1">
      <c r="A1382" s="1" t="s">
        <v>2072</v>
      </c>
      <c r="B1382" s="1" t="s">
        <v>194</v>
      </c>
      <c r="C1382" s="29">
        <v>46013.422271064803</v>
      </c>
      <c r="D1382" s="1" t="s">
        <v>3077</v>
      </c>
      <c r="E1382" s="1" t="s">
        <v>3078</v>
      </c>
      <c r="F1382" s="1">
        <v>5</v>
      </c>
      <c r="G1382" s="12" t="s">
        <v>2140</v>
      </c>
      <c r="H1382" s="1" t="s">
        <v>1513</v>
      </c>
      <c r="I1382" s="1" t="s">
        <v>62</v>
      </c>
      <c r="J1382" s="30">
        <v>175</v>
      </c>
      <c r="K1382" s="30">
        <v>20000</v>
      </c>
      <c r="L1382" s="31">
        <v>3500000</v>
      </c>
      <c r="M1382" s="1" t="s">
        <v>30</v>
      </c>
      <c r="N1382" s="1" t="s">
        <v>17</v>
      </c>
      <c r="O1382" s="1" t="s">
        <v>2057</v>
      </c>
      <c r="P1382" s="1" t="s">
        <v>2056</v>
      </c>
      <c r="Q1382" s="1" t="s">
        <v>1508</v>
      </c>
      <c r="R1382" s="1">
        <f t="shared" si="21"/>
        <v>4</v>
      </c>
      <c r="S1382" s="4">
        <f>J1382*K1382*M1382</f>
        <v>350000</v>
      </c>
    </row>
    <row r="1383" spans="1:19" ht="43" hidden="1" customHeight="1">
      <c r="A1383" s="1" t="s">
        <v>2072</v>
      </c>
      <c r="B1383" s="1" t="s">
        <v>1253</v>
      </c>
      <c r="C1383" s="29">
        <v>46011.829447951401</v>
      </c>
      <c r="F1383" s="1">
        <v>1</v>
      </c>
      <c r="G1383" s="12" t="s">
        <v>2140</v>
      </c>
      <c r="H1383" s="1" t="s">
        <v>1021</v>
      </c>
      <c r="I1383" s="1" t="s">
        <v>62</v>
      </c>
      <c r="J1383" s="30">
        <v>14</v>
      </c>
      <c r="K1383" s="30">
        <v>16234</v>
      </c>
      <c r="L1383" s="31">
        <v>227276</v>
      </c>
      <c r="M1383" s="1" t="s">
        <v>30</v>
      </c>
      <c r="N1383" s="1" t="s">
        <v>17</v>
      </c>
      <c r="O1383" s="1" t="s">
        <v>2057</v>
      </c>
      <c r="P1383" s="1" t="s">
        <v>2056</v>
      </c>
      <c r="Q1383" s="1" t="s">
        <v>1473</v>
      </c>
      <c r="R1383" s="1">
        <f t="shared" si="21"/>
        <v>4</v>
      </c>
      <c r="S1383" s="4">
        <f>J1383*K1383*M1383</f>
        <v>22727.600000000002</v>
      </c>
    </row>
    <row r="1384" spans="1:19" ht="43" hidden="1" customHeight="1">
      <c r="A1384" s="1" t="s">
        <v>2072</v>
      </c>
      <c r="B1384" s="1" t="s">
        <v>819</v>
      </c>
      <c r="C1384" s="29">
        <v>46019.405064398103</v>
      </c>
      <c r="F1384" s="1">
        <v>2</v>
      </c>
      <c r="G1384" s="12" t="s">
        <v>2140</v>
      </c>
      <c r="H1384" s="1" t="s">
        <v>1021</v>
      </c>
      <c r="I1384" s="1" t="s">
        <v>62</v>
      </c>
      <c r="J1384" s="30">
        <v>291</v>
      </c>
      <c r="K1384" s="30">
        <v>16500</v>
      </c>
      <c r="L1384" s="31">
        <v>4801500</v>
      </c>
      <c r="M1384" s="1" t="s">
        <v>30</v>
      </c>
      <c r="N1384" s="1" t="s">
        <v>17</v>
      </c>
      <c r="O1384" s="1" t="s">
        <v>2057</v>
      </c>
      <c r="P1384" s="1" t="s">
        <v>2056</v>
      </c>
      <c r="Q1384" s="1" t="s">
        <v>260</v>
      </c>
      <c r="R1384" s="1">
        <f t="shared" si="21"/>
        <v>4</v>
      </c>
      <c r="S1384" s="4">
        <f>J1384*K1384*M1384</f>
        <v>480150</v>
      </c>
    </row>
    <row r="1385" spans="1:19" ht="43" hidden="1" customHeight="1">
      <c r="A1385" s="1" t="s">
        <v>2072</v>
      </c>
      <c r="B1385" s="1" t="s">
        <v>467</v>
      </c>
      <c r="C1385" s="29">
        <v>46018.404571296298</v>
      </c>
      <c r="F1385" s="1">
        <v>1</v>
      </c>
      <c r="G1385" s="12" t="s">
        <v>2140</v>
      </c>
      <c r="H1385" s="1" t="s">
        <v>1021</v>
      </c>
      <c r="I1385" s="1" t="s">
        <v>62</v>
      </c>
      <c r="J1385" s="30">
        <v>138</v>
      </c>
      <c r="K1385" s="30">
        <v>16501.98</v>
      </c>
      <c r="L1385" s="31">
        <v>2277273</v>
      </c>
      <c r="M1385" s="1" t="s">
        <v>30</v>
      </c>
      <c r="N1385" s="1" t="s">
        <v>17</v>
      </c>
      <c r="O1385" s="1" t="s">
        <v>2057</v>
      </c>
      <c r="P1385" s="1" t="s">
        <v>2056</v>
      </c>
      <c r="Q1385" s="1" t="s">
        <v>293</v>
      </c>
      <c r="R1385" s="1">
        <f t="shared" si="21"/>
        <v>4</v>
      </c>
      <c r="S1385" s="4">
        <f>J1385*K1385*M1385</f>
        <v>227727.32399999999</v>
      </c>
    </row>
    <row r="1386" spans="1:19" ht="43" hidden="1" customHeight="1">
      <c r="A1386" s="1" t="s">
        <v>2072</v>
      </c>
      <c r="B1386" s="1" t="s">
        <v>1304</v>
      </c>
      <c r="C1386" s="29">
        <v>46016.9087666782</v>
      </c>
      <c r="F1386" s="1">
        <v>1</v>
      </c>
      <c r="G1386" s="12" t="s">
        <v>2140</v>
      </c>
      <c r="H1386" s="1" t="s">
        <v>1021</v>
      </c>
      <c r="I1386" s="1" t="s">
        <v>62</v>
      </c>
      <c r="J1386" s="30">
        <v>44</v>
      </c>
      <c r="K1386" s="30">
        <v>16528.939999999999</v>
      </c>
      <c r="L1386" s="31">
        <v>727273</v>
      </c>
      <c r="M1386" s="1" t="s">
        <v>30</v>
      </c>
      <c r="N1386" s="1" t="s">
        <v>17</v>
      </c>
      <c r="O1386" s="1" t="s">
        <v>2057</v>
      </c>
      <c r="P1386" s="1" t="s">
        <v>2056</v>
      </c>
      <c r="Q1386" s="1" t="s">
        <v>255</v>
      </c>
      <c r="R1386" s="1">
        <f t="shared" si="21"/>
        <v>4</v>
      </c>
      <c r="S1386" s="4">
        <f>J1386*K1386*M1386</f>
        <v>72727.335999999996</v>
      </c>
    </row>
    <row r="1387" spans="1:19" ht="43" hidden="1" customHeight="1">
      <c r="A1387" s="1" t="s">
        <v>2072</v>
      </c>
      <c r="B1387" s="1" t="s">
        <v>1252</v>
      </c>
      <c r="C1387" s="29">
        <v>46015.8918827546</v>
      </c>
      <c r="F1387" s="1">
        <v>1</v>
      </c>
      <c r="G1387" s="12" t="s">
        <v>2140</v>
      </c>
      <c r="H1387" s="1" t="s">
        <v>1021</v>
      </c>
      <c r="I1387" s="1" t="s">
        <v>62</v>
      </c>
      <c r="J1387" s="30">
        <v>26</v>
      </c>
      <c r="K1387" s="30">
        <v>16783.22</v>
      </c>
      <c r="L1387" s="31">
        <v>436364</v>
      </c>
      <c r="M1387" s="1" t="s">
        <v>30</v>
      </c>
      <c r="N1387" s="1" t="s">
        <v>17</v>
      </c>
      <c r="O1387" s="1" t="s">
        <v>2057</v>
      </c>
      <c r="P1387" s="1" t="s">
        <v>2056</v>
      </c>
      <c r="Q1387" s="1" t="s">
        <v>1507</v>
      </c>
      <c r="R1387" s="1">
        <f t="shared" si="21"/>
        <v>4</v>
      </c>
      <c r="S1387" s="4">
        <f>J1387*K1387*M1387</f>
        <v>43636.372000000003</v>
      </c>
    </row>
    <row r="1388" spans="1:19" ht="43" hidden="1" customHeight="1">
      <c r="A1388" s="1" t="s">
        <v>2072</v>
      </c>
      <c r="B1388" s="1" t="s">
        <v>13</v>
      </c>
      <c r="C1388" s="29">
        <v>46015.409172245403</v>
      </c>
      <c r="F1388" s="1">
        <v>1</v>
      </c>
      <c r="G1388" s="12" t="s">
        <v>2140</v>
      </c>
      <c r="H1388" s="1" t="s">
        <v>1021</v>
      </c>
      <c r="I1388" s="1" t="s">
        <v>62</v>
      </c>
      <c r="J1388" s="30">
        <v>12.7</v>
      </c>
      <c r="K1388" s="30">
        <v>16463.900000000001</v>
      </c>
      <c r="L1388" s="31">
        <v>209091</v>
      </c>
      <c r="M1388" s="1" t="s">
        <v>30</v>
      </c>
      <c r="N1388" s="1" t="s">
        <v>17</v>
      </c>
      <c r="O1388" s="1" t="s">
        <v>2057</v>
      </c>
      <c r="P1388" s="1" t="s">
        <v>2056</v>
      </c>
      <c r="Q1388" s="1" t="s">
        <v>1507</v>
      </c>
      <c r="R1388" s="1">
        <f t="shared" si="21"/>
        <v>4</v>
      </c>
      <c r="S1388" s="4">
        <f>J1388*K1388*M1388</f>
        <v>20909.153000000002</v>
      </c>
    </row>
    <row r="1389" spans="1:19" ht="43" hidden="1" customHeight="1">
      <c r="A1389" s="1" t="s">
        <v>2072</v>
      </c>
      <c r="B1389" s="1" t="s">
        <v>288</v>
      </c>
      <c r="C1389" s="29">
        <v>46011.828548495403</v>
      </c>
      <c r="F1389" s="1">
        <v>4</v>
      </c>
      <c r="G1389" s="12" t="s">
        <v>2140</v>
      </c>
      <c r="H1389" s="1" t="s">
        <v>1021</v>
      </c>
      <c r="I1389" s="1" t="s">
        <v>62</v>
      </c>
      <c r="J1389" s="30">
        <v>72.5</v>
      </c>
      <c r="K1389" s="30">
        <v>16490</v>
      </c>
      <c r="L1389" s="31">
        <v>1195525</v>
      </c>
      <c r="M1389" s="1" t="s">
        <v>30</v>
      </c>
      <c r="N1389" s="1" t="s">
        <v>17</v>
      </c>
      <c r="O1389" s="1" t="s">
        <v>2057</v>
      </c>
      <c r="P1389" s="1" t="s">
        <v>2056</v>
      </c>
      <c r="Q1389" s="1" t="s">
        <v>1473</v>
      </c>
      <c r="R1389" s="1">
        <f t="shared" si="21"/>
        <v>4</v>
      </c>
      <c r="S1389" s="4">
        <f>J1389*K1389*M1389</f>
        <v>119552.5</v>
      </c>
    </row>
    <row r="1390" spans="1:19" ht="43" hidden="1" customHeight="1">
      <c r="A1390" s="1" t="s">
        <v>2072</v>
      </c>
      <c r="B1390" s="1" t="s">
        <v>170</v>
      </c>
      <c r="C1390" s="29">
        <v>46013.846829085604</v>
      </c>
      <c r="F1390" s="1">
        <v>1</v>
      </c>
      <c r="G1390" s="12" t="s">
        <v>2140</v>
      </c>
      <c r="H1390" s="1" t="s">
        <v>1021</v>
      </c>
      <c r="I1390" s="1" t="s">
        <v>62</v>
      </c>
      <c r="J1390" s="30">
        <v>6</v>
      </c>
      <c r="K1390" s="30">
        <v>15909.08</v>
      </c>
      <c r="L1390" s="31">
        <v>95455</v>
      </c>
      <c r="M1390" s="1" t="s">
        <v>30</v>
      </c>
      <c r="N1390" s="1" t="s">
        <v>17</v>
      </c>
      <c r="O1390" s="1" t="s">
        <v>2057</v>
      </c>
      <c r="P1390" s="1" t="s">
        <v>2056</v>
      </c>
      <c r="Q1390" s="1" t="s">
        <v>1508</v>
      </c>
      <c r="R1390" s="1">
        <f t="shared" si="21"/>
        <v>4</v>
      </c>
      <c r="S1390" s="4">
        <f>J1390*K1390*M1390</f>
        <v>9545.4480000000003</v>
      </c>
    </row>
    <row r="1391" spans="1:19" ht="43" hidden="1" customHeight="1">
      <c r="A1391" s="1" t="s">
        <v>2280</v>
      </c>
      <c r="B1391" s="1" t="s">
        <v>1386</v>
      </c>
      <c r="C1391" s="29">
        <v>46007.705648703697</v>
      </c>
      <c r="F1391" s="1">
        <v>1</v>
      </c>
      <c r="G1391" s="12" t="s">
        <v>2140</v>
      </c>
      <c r="H1391" s="1" t="s">
        <v>1021</v>
      </c>
      <c r="I1391" s="1" t="s">
        <v>62</v>
      </c>
      <c r="J1391" s="30">
        <v>125</v>
      </c>
      <c r="K1391" s="30">
        <v>15015</v>
      </c>
      <c r="L1391" s="31">
        <v>1876875</v>
      </c>
      <c r="M1391" s="1" t="s">
        <v>30</v>
      </c>
      <c r="N1391" s="1" t="s">
        <v>17</v>
      </c>
      <c r="O1391" s="1" t="s">
        <v>2057</v>
      </c>
      <c r="P1391" s="1" t="s">
        <v>2056</v>
      </c>
      <c r="Q1391" s="1" t="s">
        <v>262</v>
      </c>
      <c r="R1391" s="1">
        <f t="shared" si="21"/>
        <v>4</v>
      </c>
      <c r="S1391" s="4">
        <f>J1391*K1391*M1391</f>
        <v>187687.5</v>
      </c>
    </row>
    <row r="1392" spans="1:19" ht="43" hidden="1" customHeight="1">
      <c r="A1392" s="1" t="s">
        <v>2280</v>
      </c>
      <c r="B1392" s="1" t="s">
        <v>879</v>
      </c>
      <c r="C1392" s="29">
        <v>46007.362645613401</v>
      </c>
      <c r="F1392" s="1">
        <v>1</v>
      </c>
      <c r="G1392" s="12" t="s">
        <v>2140</v>
      </c>
      <c r="H1392" s="1" t="s">
        <v>1021</v>
      </c>
      <c r="I1392" s="1" t="s">
        <v>62</v>
      </c>
      <c r="J1392" s="30">
        <v>278.29000000000002</v>
      </c>
      <c r="K1392" s="30">
        <v>17500</v>
      </c>
      <c r="L1392" s="31">
        <v>4870075</v>
      </c>
      <c r="M1392" s="1" t="s">
        <v>30</v>
      </c>
      <c r="N1392" s="1" t="s">
        <v>17</v>
      </c>
      <c r="O1392" s="1" t="s">
        <v>2057</v>
      </c>
      <c r="P1392" s="1" t="s">
        <v>2056</v>
      </c>
      <c r="Q1392" s="1" t="s">
        <v>262</v>
      </c>
      <c r="R1392" s="1">
        <f t="shared" si="21"/>
        <v>4</v>
      </c>
      <c r="S1392" s="4">
        <f>J1392*K1392*M1392</f>
        <v>487007.5</v>
      </c>
    </row>
    <row r="1393" spans="1:19" ht="43" hidden="1" customHeight="1">
      <c r="A1393" s="1" t="s">
        <v>2280</v>
      </c>
      <c r="B1393" s="1" t="s">
        <v>1388</v>
      </c>
      <c r="C1393" s="29">
        <v>46007.361858912001</v>
      </c>
      <c r="F1393" s="1">
        <v>2</v>
      </c>
      <c r="G1393" s="12" t="s">
        <v>2140</v>
      </c>
      <c r="H1393" s="1" t="s">
        <v>1021</v>
      </c>
      <c r="I1393" s="1" t="s">
        <v>62</v>
      </c>
      <c r="J1393" s="30">
        <v>23.89</v>
      </c>
      <c r="K1393" s="30">
        <v>17500</v>
      </c>
      <c r="L1393" s="31">
        <v>418075</v>
      </c>
      <c r="M1393" s="1" t="s">
        <v>30</v>
      </c>
      <c r="N1393" s="1" t="s">
        <v>17</v>
      </c>
      <c r="O1393" s="1" t="s">
        <v>2057</v>
      </c>
      <c r="P1393" s="1" t="s">
        <v>2056</v>
      </c>
      <c r="Q1393" s="1" t="s">
        <v>262</v>
      </c>
      <c r="R1393" s="1">
        <f t="shared" si="21"/>
        <v>4</v>
      </c>
      <c r="S1393" s="4">
        <f>J1393*K1393*M1393</f>
        <v>41807.5</v>
      </c>
    </row>
    <row r="1394" spans="1:19" ht="43" hidden="1" customHeight="1">
      <c r="A1394" s="1" t="s">
        <v>2280</v>
      </c>
      <c r="B1394" s="1" t="s">
        <v>1393</v>
      </c>
      <c r="C1394" s="29">
        <v>45999.611871643501</v>
      </c>
      <c r="F1394" s="1">
        <v>1</v>
      </c>
      <c r="G1394" s="12" t="s">
        <v>2140</v>
      </c>
      <c r="H1394" s="1" t="s">
        <v>1021</v>
      </c>
      <c r="I1394" s="1" t="s">
        <v>62</v>
      </c>
      <c r="J1394" s="30">
        <v>83.12</v>
      </c>
      <c r="K1394" s="30">
        <v>17500</v>
      </c>
      <c r="L1394" s="31">
        <v>1454600</v>
      </c>
      <c r="M1394" s="1" t="s">
        <v>30</v>
      </c>
      <c r="N1394" s="1" t="s">
        <v>17</v>
      </c>
      <c r="O1394" s="1" t="s">
        <v>2057</v>
      </c>
      <c r="P1394" s="1" t="s">
        <v>2056</v>
      </c>
      <c r="Q1394" s="1" t="s">
        <v>1528</v>
      </c>
      <c r="R1394" s="1">
        <f t="shared" si="21"/>
        <v>4</v>
      </c>
      <c r="S1394" s="4">
        <f>J1394*K1394*M1394</f>
        <v>145460</v>
      </c>
    </row>
    <row r="1395" spans="1:19" ht="43" hidden="1" customHeight="1">
      <c r="A1395" s="1" t="s">
        <v>2280</v>
      </c>
      <c r="B1395" s="1" t="s">
        <v>1395</v>
      </c>
      <c r="C1395" s="29">
        <v>45999.610763530101</v>
      </c>
      <c r="F1395" s="1">
        <v>1</v>
      </c>
      <c r="G1395" s="12" t="s">
        <v>2140</v>
      </c>
      <c r="H1395" s="1" t="s">
        <v>1021</v>
      </c>
      <c r="I1395" s="1" t="s">
        <v>62</v>
      </c>
      <c r="J1395" s="30">
        <v>118.45</v>
      </c>
      <c r="K1395" s="30">
        <v>17500</v>
      </c>
      <c r="L1395" s="31">
        <v>2072875</v>
      </c>
      <c r="M1395" s="1" t="s">
        <v>30</v>
      </c>
      <c r="N1395" s="1" t="s">
        <v>17</v>
      </c>
      <c r="O1395" s="1" t="s">
        <v>2057</v>
      </c>
      <c r="P1395" s="1" t="s">
        <v>2056</v>
      </c>
      <c r="Q1395" s="1" t="s">
        <v>1528</v>
      </c>
      <c r="R1395" s="1">
        <f t="shared" si="21"/>
        <v>4</v>
      </c>
      <c r="S1395" s="4">
        <f>J1395*K1395*M1395</f>
        <v>207287.5</v>
      </c>
    </row>
    <row r="1396" spans="1:19" ht="43" hidden="1" customHeight="1">
      <c r="A1396" s="1" t="s">
        <v>2280</v>
      </c>
      <c r="B1396" s="1" t="s">
        <v>1404</v>
      </c>
      <c r="C1396" s="29">
        <v>45990.3818009838</v>
      </c>
      <c r="D1396" s="1" t="s">
        <v>3052</v>
      </c>
      <c r="E1396" s="1" t="s">
        <v>3053</v>
      </c>
      <c r="F1396" s="1">
        <v>6</v>
      </c>
      <c r="G1396" s="12" t="s">
        <v>2140</v>
      </c>
      <c r="H1396" s="1" t="s">
        <v>1021</v>
      </c>
      <c r="I1396" s="1" t="s">
        <v>62</v>
      </c>
      <c r="J1396" s="30">
        <v>750</v>
      </c>
      <c r="K1396" s="30">
        <v>16000</v>
      </c>
      <c r="L1396" s="31">
        <v>12000000</v>
      </c>
      <c r="M1396" s="1" t="s">
        <v>30</v>
      </c>
      <c r="N1396" s="1" t="s">
        <v>17</v>
      </c>
      <c r="O1396" s="1" t="s">
        <v>2057</v>
      </c>
      <c r="P1396" s="1" t="s">
        <v>2056</v>
      </c>
      <c r="Q1396" s="1" t="s">
        <v>1531</v>
      </c>
      <c r="R1396" s="1">
        <f t="shared" si="21"/>
        <v>4</v>
      </c>
      <c r="S1396" s="4">
        <f>J1396*K1396*M1396</f>
        <v>1200000</v>
      </c>
    </row>
    <row r="1397" spans="1:19" ht="43" hidden="1" customHeight="1">
      <c r="A1397" s="1" t="s">
        <v>2280</v>
      </c>
      <c r="B1397" s="1" t="s">
        <v>870</v>
      </c>
      <c r="C1397" s="29">
        <v>45986.6021657292</v>
      </c>
      <c r="F1397" s="1">
        <v>1</v>
      </c>
      <c r="G1397" s="12" t="s">
        <v>2140</v>
      </c>
      <c r="H1397" s="1" t="s">
        <v>1021</v>
      </c>
      <c r="I1397" s="1" t="s">
        <v>62</v>
      </c>
      <c r="J1397" s="30">
        <v>98</v>
      </c>
      <c r="K1397" s="30">
        <v>17500</v>
      </c>
      <c r="L1397" s="31">
        <v>1715000</v>
      </c>
      <c r="M1397" s="1" t="s">
        <v>30</v>
      </c>
      <c r="N1397" s="1" t="s">
        <v>17</v>
      </c>
      <c r="O1397" s="1" t="s">
        <v>2057</v>
      </c>
      <c r="P1397" s="1" t="s">
        <v>2056</v>
      </c>
      <c r="Q1397" s="1" t="s">
        <v>1562</v>
      </c>
      <c r="R1397" s="1">
        <f t="shared" si="21"/>
        <v>4</v>
      </c>
      <c r="S1397" s="4">
        <f>J1397*K1397*M1397</f>
        <v>171500</v>
      </c>
    </row>
    <row r="1398" spans="1:19" ht="43" hidden="1" customHeight="1">
      <c r="A1398" s="1" t="s">
        <v>2280</v>
      </c>
      <c r="B1398" s="1" t="s">
        <v>112</v>
      </c>
      <c r="C1398" s="29">
        <v>45983.679107222197</v>
      </c>
      <c r="F1398" s="1">
        <v>1</v>
      </c>
      <c r="G1398" s="12" t="s">
        <v>2140</v>
      </c>
      <c r="H1398" s="1" t="s">
        <v>1021</v>
      </c>
      <c r="I1398" s="1" t="s">
        <v>62</v>
      </c>
      <c r="J1398" s="30">
        <v>74</v>
      </c>
      <c r="K1398" s="30">
        <v>17500</v>
      </c>
      <c r="L1398" s="31">
        <v>1295000</v>
      </c>
      <c r="M1398" s="1" t="s">
        <v>30</v>
      </c>
      <c r="N1398" s="1" t="s">
        <v>17</v>
      </c>
      <c r="O1398" s="1" t="s">
        <v>2057</v>
      </c>
      <c r="P1398" s="1" t="s">
        <v>2056</v>
      </c>
      <c r="Q1398" s="1" t="s">
        <v>1563</v>
      </c>
      <c r="R1398" s="1">
        <f t="shared" si="21"/>
        <v>4</v>
      </c>
      <c r="S1398" s="4">
        <f>J1398*K1398*M1398</f>
        <v>129500</v>
      </c>
    </row>
    <row r="1399" spans="1:19" ht="43" hidden="1" customHeight="1">
      <c r="A1399" s="1" t="s">
        <v>2280</v>
      </c>
      <c r="B1399" s="1" t="s">
        <v>1411</v>
      </c>
      <c r="C1399" s="29">
        <v>45983.678182395801</v>
      </c>
      <c r="F1399" s="1">
        <v>1</v>
      </c>
      <c r="G1399" s="12" t="s">
        <v>2140</v>
      </c>
      <c r="H1399" s="1" t="s">
        <v>1021</v>
      </c>
      <c r="I1399" s="1" t="s">
        <v>62</v>
      </c>
      <c r="J1399" s="30">
        <v>184.42</v>
      </c>
      <c r="K1399" s="30">
        <v>17500</v>
      </c>
      <c r="L1399" s="31">
        <v>3227350</v>
      </c>
      <c r="M1399" s="1" t="s">
        <v>30</v>
      </c>
      <c r="N1399" s="1" t="s">
        <v>17</v>
      </c>
      <c r="O1399" s="1" t="s">
        <v>2057</v>
      </c>
      <c r="P1399" s="1" t="s">
        <v>2056</v>
      </c>
      <c r="Q1399" s="1" t="s">
        <v>1563</v>
      </c>
      <c r="R1399" s="1">
        <f t="shared" si="21"/>
        <v>4</v>
      </c>
      <c r="S1399" s="4">
        <f>J1399*K1399*M1399</f>
        <v>322735</v>
      </c>
    </row>
    <row r="1400" spans="1:19" ht="43" hidden="1" customHeight="1">
      <c r="A1400" s="1" t="s">
        <v>2280</v>
      </c>
      <c r="B1400" s="1" t="s">
        <v>1247</v>
      </c>
      <c r="C1400" s="29">
        <v>45983.676831400502</v>
      </c>
      <c r="F1400" s="1">
        <v>1</v>
      </c>
      <c r="G1400" s="12" t="s">
        <v>2140</v>
      </c>
      <c r="H1400" s="1" t="s">
        <v>1021</v>
      </c>
      <c r="I1400" s="1" t="s">
        <v>62</v>
      </c>
      <c r="J1400" s="30">
        <v>15.6</v>
      </c>
      <c r="K1400" s="30">
        <v>17500</v>
      </c>
      <c r="L1400" s="31">
        <v>273000</v>
      </c>
      <c r="M1400" s="1" t="s">
        <v>30</v>
      </c>
      <c r="N1400" s="1" t="s">
        <v>17</v>
      </c>
      <c r="O1400" s="1" t="s">
        <v>2057</v>
      </c>
      <c r="P1400" s="1" t="s">
        <v>2056</v>
      </c>
      <c r="Q1400" s="1" t="s">
        <v>1563</v>
      </c>
      <c r="R1400" s="1">
        <f t="shared" si="21"/>
        <v>4</v>
      </c>
      <c r="S1400" s="4">
        <f>J1400*K1400*M1400</f>
        <v>27300</v>
      </c>
    </row>
    <row r="1401" spans="1:19" ht="43" hidden="1" customHeight="1">
      <c r="A1401" s="1" t="s">
        <v>2280</v>
      </c>
      <c r="B1401" s="1" t="s">
        <v>201</v>
      </c>
      <c r="C1401" s="29">
        <v>45983.676509340301</v>
      </c>
      <c r="F1401" s="1">
        <v>1</v>
      </c>
      <c r="G1401" s="12" t="s">
        <v>2140</v>
      </c>
      <c r="H1401" s="1" t="s">
        <v>1021</v>
      </c>
      <c r="I1401" s="1" t="s">
        <v>62</v>
      </c>
      <c r="J1401" s="30">
        <v>36.5</v>
      </c>
      <c r="K1401" s="30">
        <v>17500</v>
      </c>
      <c r="L1401" s="31">
        <v>638750</v>
      </c>
      <c r="M1401" s="1" t="s">
        <v>30</v>
      </c>
      <c r="N1401" s="1" t="s">
        <v>17</v>
      </c>
      <c r="O1401" s="1" t="s">
        <v>2057</v>
      </c>
      <c r="P1401" s="1" t="s">
        <v>2056</v>
      </c>
      <c r="Q1401" s="1" t="s">
        <v>1563</v>
      </c>
      <c r="R1401" s="1">
        <f t="shared" si="21"/>
        <v>4</v>
      </c>
      <c r="S1401" s="4">
        <f>J1401*K1401*M1401</f>
        <v>63875</v>
      </c>
    </row>
    <row r="1402" spans="1:19" ht="43" hidden="1" customHeight="1">
      <c r="A1402" s="1" t="s">
        <v>2280</v>
      </c>
      <c r="B1402" s="1" t="s">
        <v>1429</v>
      </c>
      <c r="C1402" s="29">
        <v>45983.675267963001</v>
      </c>
      <c r="F1402" s="1">
        <v>1</v>
      </c>
      <c r="G1402" s="12" t="s">
        <v>2140</v>
      </c>
      <c r="H1402" s="1" t="s">
        <v>1021</v>
      </c>
      <c r="I1402" s="1" t="s">
        <v>62</v>
      </c>
      <c r="J1402" s="30">
        <v>51.4</v>
      </c>
      <c r="K1402" s="30">
        <v>17500</v>
      </c>
      <c r="L1402" s="31">
        <v>899500</v>
      </c>
      <c r="M1402" s="1" t="s">
        <v>30</v>
      </c>
      <c r="N1402" s="1" t="s">
        <v>17</v>
      </c>
      <c r="O1402" s="1" t="s">
        <v>2057</v>
      </c>
      <c r="P1402" s="1" t="s">
        <v>2056</v>
      </c>
      <c r="Q1402" s="1" t="s">
        <v>1563</v>
      </c>
      <c r="R1402" s="1">
        <f t="shared" si="21"/>
        <v>4</v>
      </c>
      <c r="S1402" s="4">
        <f>J1402*K1402*M1402</f>
        <v>89950</v>
      </c>
    </row>
    <row r="1403" spans="1:19" ht="43" hidden="1" customHeight="1">
      <c r="A1403" s="1" t="s">
        <v>2280</v>
      </c>
      <c r="B1403" s="1" t="s">
        <v>871</v>
      </c>
      <c r="C1403" s="29">
        <v>45983.674317395802</v>
      </c>
      <c r="F1403" s="1">
        <v>1</v>
      </c>
      <c r="G1403" s="12" t="s">
        <v>2140</v>
      </c>
      <c r="H1403" s="1" t="s">
        <v>1021</v>
      </c>
      <c r="I1403" s="1" t="s">
        <v>62</v>
      </c>
      <c r="J1403" s="30">
        <v>203.8</v>
      </c>
      <c r="K1403" s="30">
        <v>17500</v>
      </c>
      <c r="L1403" s="31">
        <v>3566500</v>
      </c>
      <c r="M1403" s="1" t="s">
        <v>30</v>
      </c>
      <c r="N1403" s="1" t="s">
        <v>17</v>
      </c>
      <c r="O1403" s="1" t="s">
        <v>2057</v>
      </c>
      <c r="P1403" s="1" t="s">
        <v>2056</v>
      </c>
      <c r="Q1403" s="1" t="s">
        <v>1563</v>
      </c>
      <c r="R1403" s="1">
        <f t="shared" si="21"/>
        <v>4</v>
      </c>
      <c r="S1403" s="4">
        <f>J1403*K1403*M1403</f>
        <v>356650</v>
      </c>
    </row>
    <row r="1404" spans="1:19" ht="43" hidden="1" customHeight="1">
      <c r="A1404" s="1" t="s">
        <v>2280</v>
      </c>
      <c r="B1404" s="1" t="s">
        <v>1431</v>
      </c>
      <c r="C1404" s="29">
        <v>45981.397493217599</v>
      </c>
      <c r="D1404" s="1" t="s">
        <v>3068</v>
      </c>
      <c r="E1404" s="1" t="s">
        <v>3069</v>
      </c>
      <c r="F1404" s="1">
        <v>2</v>
      </c>
      <c r="G1404" s="12" t="s">
        <v>2140</v>
      </c>
      <c r="H1404" s="1" t="s">
        <v>1021</v>
      </c>
      <c r="I1404" s="1" t="s">
        <v>62</v>
      </c>
      <c r="J1404" s="30">
        <v>519</v>
      </c>
      <c r="K1404" s="30">
        <v>17500</v>
      </c>
      <c r="L1404" s="31">
        <v>9082500</v>
      </c>
      <c r="M1404" s="1" t="s">
        <v>30</v>
      </c>
      <c r="N1404" s="1" t="s">
        <v>17</v>
      </c>
      <c r="O1404" s="1" t="s">
        <v>2057</v>
      </c>
      <c r="P1404" s="1" t="s">
        <v>2056</v>
      </c>
      <c r="Q1404" s="1" t="s">
        <v>324</v>
      </c>
      <c r="R1404" s="1">
        <f t="shared" si="21"/>
        <v>4</v>
      </c>
      <c r="S1404" s="4">
        <f>J1404*K1404*M1404</f>
        <v>908250</v>
      </c>
    </row>
    <row r="1405" spans="1:19" ht="43" hidden="1" customHeight="1">
      <c r="A1405" s="1" t="s">
        <v>2280</v>
      </c>
      <c r="B1405" s="1" t="s">
        <v>1432</v>
      </c>
      <c r="C1405" s="29">
        <v>45966.660315763897</v>
      </c>
      <c r="D1405" s="1" t="s">
        <v>3075</v>
      </c>
      <c r="E1405" s="1" t="s">
        <v>3076</v>
      </c>
      <c r="F1405" s="1">
        <v>2</v>
      </c>
      <c r="G1405" s="12" t="s">
        <v>2140</v>
      </c>
      <c r="H1405" s="1" t="s">
        <v>1021</v>
      </c>
      <c r="I1405" s="1" t="s">
        <v>78</v>
      </c>
      <c r="J1405" s="30">
        <v>20</v>
      </c>
      <c r="K1405" s="30">
        <v>95000</v>
      </c>
      <c r="L1405" s="31">
        <v>1900000</v>
      </c>
      <c r="M1405" s="1" t="s">
        <v>30</v>
      </c>
      <c r="N1405" s="1" t="s">
        <v>17</v>
      </c>
      <c r="O1405" s="1" t="s">
        <v>2057</v>
      </c>
      <c r="P1405" s="1" t="s">
        <v>2056</v>
      </c>
      <c r="Q1405" s="1" t="s">
        <v>400</v>
      </c>
      <c r="R1405" s="1">
        <f t="shared" si="21"/>
        <v>4</v>
      </c>
      <c r="S1405" s="4">
        <f>J1405*K1405*M1405</f>
        <v>190000</v>
      </c>
    </row>
    <row r="1406" spans="1:19" ht="43" hidden="1" customHeight="1">
      <c r="A1406" s="1" t="s">
        <v>2280</v>
      </c>
      <c r="B1406" s="1" t="s">
        <v>1434</v>
      </c>
      <c r="C1406" s="29">
        <v>45964.378787592599</v>
      </c>
      <c r="D1406" s="1" t="s">
        <v>3091</v>
      </c>
      <c r="E1406" s="1" t="s">
        <v>3092</v>
      </c>
      <c r="F1406" s="1">
        <v>1</v>
      </c>
      <c r="G1406" s="12" t="s">
        <v>2140</v>
      </c>
      <c r="H1406" s="1" t="s">
        <v>1021</v>
      </c>
      <c r="I1406" s="1" t="s">
        <v>62</v>
      </c>
      <c r="J1406" s="30">
        <v>260.2</v>
      </c>
      <c r="K1406" s="30">
        <v>17500</v>
      </c>
      <c r="L1406" s="31">
        <v>4553500</v>
      </c>
      <c r="M1406" s="1" t="s">
        <v>30</v>
      </c>
      <c r="N1406" s="1" t="s">
        <v>17</v>
      </c>
      <c r="O1406" s="1" t="s">
        <v>2057</v>
      </c>
      <c r="P1406" s="1" t="s">
        <v>2056</v>
      </c>
      <c r="Q1406" s="1" t="s">
        <v>1565</v>
      </c>
      <c r="R1406" s="1">
        <f t="shared" si="21"/>
        <v>4</v>
      </c>
      <c r="S1406" s="4">
        <f>J1406*K1406*M1406</f>
        <v>455350</v>
      </c>
    </row>
    <row r="1407" spans="1:19" ht="43" hidden="1" customHeight="1">
      <c r="A1407" s="1" t="s">
        <v>2280</v>
      </c>
      <c r="B1407" s="1" t="s">
        <v>156</v>
      </c>
      <c r="C1407" s="29">
        <v>45952.379467696803</v>
      </c>
      <c r="F1407" s="1">
        <v>1</v>
      </c>
      <c r="G1407" s="12" t="s">
        <v>2140</v>
      </c>
      <c r="H1407" s="1" t="s">
        <v>1021</v>
      </c>
      <c r="I1407" s="1" t="s">
        <v>62</v>
      </c>
      <c r="J1407" s="30">
        <v>122.9</v>
      </c>
      <c r="K1407" s="30">
        <v>16000</v>
      </c>
      <c r="L1407" s="31">
        <v>1966400</v>
      </c>
      <c r="M1407" s="1" t="s">
        <v>30</v>
      </c>
      <c r="N1407" s="1" t="s">
        <v>17</v>
      </c>
      <c r="O1407" s="1" t="s">
        <v>2057</v>
      </c>
      <c r="P1407" s="1" t="s">
        <v>2056</v>
      </c>
      <c r="Q1407" s="1" t="s">
        <v>1585</v>
      </c>
      <c r="R1407" s="1">
        <f t="shared" si="21"/>
        <v>4</v>
      </c>
      <c r="S1407" s="4">
        <f>J1407*K1407*M1407</f>
        <v>196640</v>
      </c>
    </row>
    <row r="1408" spans="1:19" ht="43" hidden="1" customHeight="1">
      <c r="A1408" s="1" t="s">
        <v>2280</v>
      </c>
      <c r="B1408" s="1" t="s">
        <v>1448</v>
      </c>
      <c r="C1408" s="29">
        <v>45951.611659502298</v>
      </c>
      <c r="D1408" s="1" t="s">
        <v>3068</v>
      </c>
      <c r="E1408" s="1" t="s">
        <v>3069</v>
      </c>
      <c r="F1408" s="1">
        <v>1</v>
      </c>
      <c r="G1408" s="12" t="s">
        <v>2140</v>
      </c>
      <c r="H1408" s="1" t="s">
        <v>1021</v>
      </c>
      <c r="I1408" s="1" t="s">
        <v>62</v>
      </c>
      <c r="J1408" s="30">
        <v>1556.25</v>
      </c>
      <c r="K1408" s="30">
        <v>17500</v>
      </c>
      <c r="L1408" s="31">
        <v>27234375</v>
      </c>
      <c r="M1408" s="1" t="s">
        <v>30</v>
      </c>
      <c r="N1408" s="1" t="s">
        <v>17</v>
      </c>
      <c r="O1408" s="1" t="s">
        <v>2057</v>
      </c>
      <c r="P1408" s="1" t="s">
        <v>2056</v>
      </c>
      <c r="Q1408" s="1" t="s">
        <v>1586</v>
      </c>
      <c r="R1408" s="1">
        <f t="shared" si="21"/>
        <v>4</v>
      </c>
      <c r="S1408" s="4">
        <f>J1408*K1408*M1408</f>
        <v>2723437.5</v>
      </c>
    </row>
    <row r="1409" spans="1:19" ht="43" hidden="1" customHeight="1">
      <c r="A1409" s="1" t="s">
        <v>2280</v>
      </c>
      <c r="B1409" s="1" t="s">
        <v>1449</v>
      </c>
      <c r="C1409" s="29">
        <v>45948.596865787003</v>
      </c>
      <c r="D1409" s="1" t="s">
        <v>3079</v>
      </c>
      <c r="E1409" s="1" t="s">
        <v>3080</v>
      </c>
      <c r="F1409" s="1">
        <v>6</v>
      </c>
      <c r="G1409" s="12" t="s">
        <v>2140</v>
      </c>
      <c r="H1409" s="1" t="s">
        <v>1021</v>
      </c>
      <c r="I1409" s="1" t="s">
        <v>62</v>
      </c>
      <c r="J1409" s="30">
        <v>120.4</v>
      </c>
      <c r="K1409" s="30">
        <v>15500</v>
      </c>
      <c r="L1409" s="31">
        <v>1866200</v>
      </c>
      <c r="M1409" s="1" t="s">
        <v>30</v>
      </c>
      <c r="N1409" s="1" t="s">
        <v>17</v>
      </c>
      <c r="O1409" s="1" t="s">
        <v>2057</v>
      </c>
      <c r="P1409" s="1" t="s">
        <v>2056</v>
      </c>
      <c r="Q1409" s="1" t="s">
        <v>459</v>
      </c>
      <c r="R1409" s="1">
        <f t="shared" si="21"/>
        <v>4</v>
      </c>
      <c r="S1409" s="4">
        <f>J1409*K1409*M1409</f>
        <v>186620</v>
      </c>
    </row>
    <row r="1410" spans="1:19" ht="43" hidden="1" customHeight="1">
      <c r="A1410" s="1" t="s">
        <v>2280</v>
      </c>
      <c r="B1410" s="1" t="s">
        <v>1450</v>
      </c>
      <c r="C1410" s="29">
        <v>45948.586311469902</v>
      </c>
      <c r="F1410" s="1">
        <v>1</v>
      </c>
      <c r="G1410" s="12" t="s">
        <v>2140</v>
      </c>
      <c r="H1410" s="1" t="s">
        <v>1021</v>
      </c>
      <c r="I1410" s="1" t="s">
        <v>62</v>
      </c>
      <c r="J1410" s="30">
        <v>201.2</v>
      </c>
      <c r="K1410" s="30">
        <v>15000</v>
      </c>
      <c r="L1410" s="31">
        <v>3018000</v>
      </c>
      <c r="M1410" s="1" t="s">
        <v>30</v>
      </c>
      <c r="N1410" s="1" t="s">
        <v>17</v>
      </c>
      <c r="O1410" s="1" t="s">
        <v>2057</v>
      </c>
      <c r="P1410" s="1" t="s">
        <v>2056</v>
      </c>
      <c r="Q1410" s="1" t="s">
        <v>459</v>
      </c>
      <c r="R1410" s="1">
        <f t="shared" si="21"/>
        <v>4</v>
      </c>
      <c r="S1410" s="4">
        <f>J1410*K1410*M1410</f>
        <v>301800</v>
      </c>
    </row>
    <row r="1411" spans="1:19" ht="43" hidden="1" customHeight="1">
      <c r="A1411" s="1" t="s">
        <v>2280</v>
      </c>
      <c r="B1411" s="1" t="s">
        <v>1454</v>
      </c>
      <c r="C1411" s="29">
        <v>45943.634399270799</v>
      </c>
      <c r="F1411" s="1">
        <v>2</v>
      </c>
      <c r="G1411" s="12" t="s">
        <v>2140</v>
      </c>
      <c r="H1411" s="1" t="s">
        <v>1021</v>
      </c>
      <c r="I1411" s="1" t="s">
        <v>62</v>
      </c>
      <c r="J1411" s="30">
        <v>98</v>
      </c>
      <c r="K1411" s="30">
        <v>17500</v>
      </c>
      <c r="L1411" s="31">
        <v>1715000</v>
      </c>
      <c r="M1411" s="1" t="s">
        <v>30</v>
      </c>
      <c r="N1411" s="1" t="s">
        <v>17</v>
      </c>
      <c r="O1411" s="1" t="s">
        <v>2057</v>
      </c>
      <c r="P1411" s="1" t="s">
        <v>2056</v>
      </c>
      <c r="Q1411" s="1" t="s">
        <v>515</v>
      </c>
      <c r="R1411" s="1">
        <f t="shared" ref="R1411:R1474" si="22">ROUNDUP(MONTH(Q1411)/3,0)</f>
        <v>4</v>
      </c>
      <c r="S1411" s="4">
        <f>J1411*K1411*M1411</f>
        <v>171500</v>
      </c>
    </row>
    <row r="1412" spans="1:19" ht="43" hidden="1" customHeight="1">
      <c r="A1412" s="1" t="s">
        <v>2280</v>
      </c>
      <c r="B1412" s="1" t="s">
        <v>1456</v>
      </c>
      <c r="C1412" s="29">
        <v>45943.633031122699</v>
      </c>
      <c r="F1412" s="1">
        <v>2</v>
      </c>
      <c r="G1412" s="12" t="s">
        <v>2140</v>
      </c>
      <c r="H1412" s="1" t="s">
        <v>1021</v>
      </c>
      <c r="I1412" s="1" t="s">
        <v>35</v>
      </c>
      <c r="J1412" s="30">
        <v>90.08</v>
      </c>
      <c r="K1412" s="30">
        <v>17500</v>
      </c>
      <c r="L1412" s="31">
        <v>1576400</v>
      </c>
      <c r="M1412" s="1" t="s">
        <v>30</v>
      </c>
      <c r="N1412" s="1" t="s">
        <v>17</v>
      </c>
      <c r="O1412" s="1" t="s">
        <v>2057</v>
      </c>
      <c r="P1412" s="1" t="s">
        <v>2056</v>
      </c>
      <c r="Q1412" s="1" t="s">
        <v>515</v>
      </c>
      <c r="R1412" s="1">
        <f t="shared" si="22"/>
        <v>4</v>
      </c>
      <c r="S1412" s="4">
        <f>J1412*K1412*M1412</f>
        <v>157640</v>
      </c>
    </row>
    <row r="1413" spans="1:19" ht="43" hidden="1" customHeight="1">
      <c r="A1413" s="1" t="s">
        <v>2280</v>
      </c>
      <c r="B1413" s="1" t="s">
        <v>190</v>
      </c>
      <c r="C1413" s="29">
        <v>45898.578290150501</v>
      </c>
      <c r="D1413" s="1" t="s">
        <v>3058</v>
      </c>
      <c r="E1413" s="1" t="s">
        <v>3059</v>
      </c>
      <c r="F1413" s="1">
        <v>1</v>
      </c>
      <c r="G1413" s="12" t="s">
        <v>2140</v>
      </c>
      <c r="H1413" s="1" t="s">
        <v>1021</v>
      </c>
      <c r="I1413" s="1" t="s">
        <v>62</v>
      </c>
      <c r="J1413" s="30">
        <v>382.6</v>
      </c>
      <c r="K1413" s="30">
        <v>18818.611000000001</v>
      </c>
      <c r="L1413" s="31">
        <v>7200000</v>
      </c>
      <c r="M1413" s="1" t="s">
        <v>30</v>
      </c>
      <c r="N1413" s="1" t="s">
        <v>17</v>
      </c>
      <c r="O1413" s="1" t="s">
        <v>2057</v>
      </c>
      <c r="P1413" s="1" t="s">
        <v>2056</v>
      </c>
      <c r="Q1413" s="1" t="s">
        <v>652</v>
      </c>
      <c r="R1413" s="1">
        <f t="shared" si="22"/>
        <v>3</v>
      </c>
      <c r="S1413" s="4">
        <f>J1413*K1413*M1413</f>
        <v>720000.05686000013</v>
      </c>
    </row>
    <row r="1414" spans="1:19" ht="43" hidden="1" customHeight="1">
      <c r="A1414" s="1" t="s">
        <v>2280</v>
      </c>
      <c r="B1414" s="1" t="s">
        <v>1257</v>
      </c>
      <c r="C1414" s="29">
        <v>45838.753301898098</v>
      </c>
      <c r="D1414" s="1" t="s">
        <v>3048</v>
      </c>
      <c r="E1414" s="1" t="s">
        <v>3049</v>
      </c>
      <c r="F1414" s="1">
        <v>1</v>
      </c>
      <c r="G1414" s="12" t="s">
        <v>2140</v>
      </c>
      <c r="H1414" s="1" t="s">
        <v>1021</v>
      </c>
      <c r="I1414" s="1" t="s">
        <v>62</v>
      </c>
      <c r="J1414" s="30">
        <v>1082</v>
      </c>
      <c r="K1414" s="30">
        <v>16818.18</v>
      </c>
      <c r="L1414" s="31">
        <v>18197270.760000002</v>
      </c>
      <c r="M1414" s="1" t="s">
        <v>30</v>
      </c>
      <c r="N1414" s="1" t="s">
        <v>17</v>
      </c>
      <c r="O1414" s="1" t="s">
        <v>2057</v>
      </c>
      <c r="P1414" s="1" t="s">
        <v>2056</v>
      </c>
      <c r="Q1414" s="1" t="s">
        <v>828</v>
      </c>
      <c r="R1414" s="1">
        <f t="shared" si="22"/>
        <v>2</v>
      </c>
      <c r="S1414" s="4">
        <f>J1414*K1414*M1414</f>
        <v>1819727.0760000004</v>
      </c>
    </row>
    <row r="1415" spans="1:19" ht="43" hidden="1" customHeight="1">
      <c r="A1415" s="1" t="s">
        <v>2280</v>
      </c>
      <c r="B1415" s="1" t="s">
        <v>819</v>
      </c>
      <c r="C1415" s="29">
        <v>45794.722753831004</v>
      </c>
      <c r="D1415" s="1" t="s">
        <v>3093</v>
      </c>
      <c r="E1415" s="1" t="s">
        <v>3094</v>
      </c>
      <c r="F1415" s="1">
        <v>1</v>
      </c>
      <c r="G1415" s="12" t="s">
        <v>2140</v>
      </c>
      <c r="H1415" s="1" t="s">
        <v>1021</v>
      </c>
      <c r="I1415" s="1" t="s">
        <v>62</v>
      </c>
      <c r="J1415" s="30">
        <v>51.43</v>
      </c>
      <c r="K1415" s="30">
        <v>17500</v>
      </c>
      <c r="L1415" s="31">
        <v>900025</v>
      </c>
      <c r="M1415" s="1" t="s">
        <v>30</v>
      </c>
      <c r="N1415" s="1" t="s">
        <v>17</v>
      </c>
      <c r="O1415" s="1" t="s">
        <v>2057</v>
      </c>
      <c r="P1415" s="1" t="s">
        <v>2056</v>
      </c>
      <c r="Q1415" s="1" t="s">
        <v>1891</v>
      </c>
      <c r="R1415" s="1">
        <f t="shared" si="22"/>
        <v>2</v>
      </c>
      <c r="S1415" s="4">
        <f>J1415*K1415*M1415</f>
        <v>90002.5</v>
      </c>
    </row>
    <row r="1416" spans="1:19" ht="43" hidden="1" customHeight="1">
      <c r="A1416" s="1" t="s">
        <v>2280</v>
      </c>
      <c r="B1416" s="1" t="s">
        <v>149</v>
      </c>
      <c r="C1416" s="29">
        <v>45794.7218122454</v>
      </c>
      <c r="D1416" s="1" t="s">
        <v>3064</v>
      </c>
      <c r="E1416" s="1" t="s">
        <v>3065</v>
      </c>
      <c r="F1416" s="1">
        <v>1</v>
      </c>
      <c r="G1416" s="12" t="s">
        <v>2140</v>
      </c>
      <c r="H1416" s="1" t="s">
        <v>1021</v>
      </c>
      <c r="I1416" s="1" t="s">
        <v>62</v>
      </c>
      <c r="J1416" s="30">
        <v>107</v>
      </c>
      <c r="K1416" s="30">
        <v>17502.12</v>
      </c>
      <c r="L1416" s="31">
        <v>1872726.84</v>
      </c>
      <c r="M1416" s="1" t="s">
        <v>30</v>
      </c>
      <c r="N1416" s="1" t="s">
        <v>17</v>
      </c>
      <c r="O1416" s="1" t="s">
        <v>2057</v>
      </c>
      <c r="P1416" s="1" t="s">
        <v>2056</v>
      </c>
      <c r="Q1416" s="1" t="s">
        <v>1891</v>
      </c>
      <c r="R1416" s="1">
        <f t="shared" si="22"/>
        <v>2</v>
      </c>
      <c r="S1416" s="4">
        <f>J1416*K1416*M1416</f>
        <v>187272.68400000001</v>
      </c>
    </row>
    <row r="1417" spans="1:19" ht="43" hidden="1" customHeight="1">
      <c r="A1417" s="1" t="s">
        <v>2280</v>
      </c>
      <c r="B1417" s="1" t="s">
        <v>1302</v>
      </c>
      <c r="C1417" s="29">
        <v>45789.645803784697</v>
      </c>
      <c r="D1417" s="1" t="s">
        <v>3070</v>
      </c>
      <c r="E1417" s="1" t="s">
        <v>3059</v>
      </c>
      <c r="F1417" s="1">
        <v>1</v>
      </c>
      <c r="G1417" s="12" t="s">
        <v>2140</v>
      </c>
      <c r="H1417" s="1" t="s">
        <v>1021</v>
      </c>
      <c r="I1417" s="1" t="s">
        <v>62</v>
      </c>
      <c r="J1417" s="30">
        <v>7425</v>
      </c>
      <c r="K1417" s="30">
        <v>17500</v>
      </c>
      <c r="L1417" s="31">
        <v>129937500</v>
      </c>
      <c r="M1417" s="1" t="s">
        <v>30</v>
      </c>
      <c r="N1417" s="1" t="s">
        <v>17</v>
      </c>
      <c r="O1417" s="1" t="s">
        <v>2057</v>
      </c>
      <c r="P1417" s="1" t="s">
        <v>2056</v>
      </c>
      <c r="Q1417" s="1" t="s">
        <v>1895</v>
      </c>
      <c r="R1417" s="1">
        <f t="shared" si="22"/>
        <v>2</v>
      </c>
      <c r="S1417" s="4">
        <f>J1417*K1417*M1417</f>
        <v>12993750</v>
      </c>
    </row>
    <row r="1418" spans="1:19" ht="43" hidden="1" customHeight="1">
      <c r="A1418" s="1" t="s">
        <v>2280</v>
      </c>
      <c r="B1418" s="1" t="s">
        <v>172</v>
      </c>
      <c r="C1418" s="29">
        <v>45773.445896817102</v>
      </c>
      <c r="D1418" s="1" t="s">
        <v>3072</v>
      </c>
      <c r="E1418" s="1" t="s">
        <v>3073</v>
      </c>
      <c r="F1418" s="1">
        <v>1</v>
      </c>
      <c r="G1418" s="12" t="s">
        <v>2140</v>
      </c>
      <c r="H1418" s="1" t="s">
        <v>1021</v>
      </c>
      <c r="I1418" s="1" t="s">
        <v>62</v>
      </c>
      <c r="J1418" s="30">
        <v>11431</v>
      </c>
      <c r="K1418" s="30">
        <v>17500</v>
      </c>
      <c r="L1418" s="31">
        <v>200042500</v>
      </c>
      <c r="M1418" s="1" t="s">
        <v>30</v>
      </c>
      <c r="N1418" s="1" t="s">
        <v>17</v>
      </c>
      <c r="O1418" s="1" t="s">
        <v>2057</v>
      </c>
      <c r="P1418" s="1" t="s">
        <v>2056</v>
      </c>
      <c r="Q1418" s="1" t="s">
        <v>1017</v>
      </c>
      <c r="R1418" s="1">
        <f t="shared" si="22"/>
        <v>2</v>
      </c>
      <c r="S1418" s="4">
        <f>J1418*K1418*M1418</f>
        <v>20004250</v>
      </c>
    </row>
    <row r="1419" spans="1:19" ht="43" hidden="1" customHeight="1">
      <c r="A1419" s="1" t="s">
        <v>2280</v>
      </c>
      <c r="B1419" s="1" t="s">
        <v>1307</v>
      </c>
      <c r="C1419" s="29">
        <v>45758.665550092599</v>
      </c>
      <c r="D1419" s="1" t="s">
        <v>3070</v>
      </c>
      <c r="E1419" s="1" t="s">
        <v>3059</v>
      </c>
      <c r="F1419" s="1">
        <v>2</v>
      </c>
      <c r="G1419" s="12" t="s">
        <v>2140</v>
      </c>
      <c r="H1419" s="1" t="s">
        <v>1021</v>
      </c>
      <c r="I1419" s="1" t="s">
        <v>62</v>
      </c>
      <c r="J1419" s="30">
        <v>1704</v>
      </c>
      <c r="K1419" s="30">
        <v>17500</v>
      </c>
      <c r="L1419" s="31">
        <v>29820000</v>
      </c>
      <c r="M1419" s="1" t="s">
        <v>30</v>
      </c>
      <c r="N1419" s="1" t="s">
        <v>17</v>
      </c>
      <c r="O1419" s="1" t="s">
        <v>2057</v>
      </c>
      <c r="P1419" s="1" t="s">
        <v>2056</v>
      </c>
      <c r="Q1419" s="1" t="s">
        <v>1979</v>
      </c>
      <c r="R1419" s="1">
        <f t="shared" si="22"/>
        <v>2</v>
      </c>
      <c r="S1419" s="4">
        <f>J1419*K1419*M1419</f>
        <v>2982000</v>
      </c>
    </row>
    <row r="1420" spans="1:19" ht="43" hidden="1" customHeight="1">
      <c r="A1420" s="1" t="s">
        <v>2280</v>
      </c>
      <c r="B1420" s="1" t="s">
        <v>170</v>
      </c>
      <c r="C1420" s="29">
        <v>45748.695244629598</v>
      </c>
      <c r="D1420" s="1" t="s">
        <v>3064</v>
      </c>
      <c r="E1420" s="1" t="s">
        <v>3065</v>
      </c>
      <c r="F1420" s="1">
        <v>1</v>
      </c>
      <c r="G1420" s="12" t="s">
        <v>2140</v>
      </c>
      <c r="H1420" s="1" t="s">
        <v>1021</v>
      </c>
      <c r="I1420" s="1" t="s">
        <v>62</v>
      </c>
      <c r="J1420" s="30">
        <v>72</v>
      </c>
      <c r="K1420" s="30">
        <v>17500</v>
      </c>
      <c r="L1420" s="31">
        <v>1260000</v>
      </c>
      <c r="M1420" s="1" t="s">
        <v>30</v>
      </c>
      <c r="N1420" s="1" t="s">
        <v>17</v>
      </c>
      <c r="O1420" s="1" t="s">
        <v>2057</v>
      </c>
      <c r="P1420" s="1" t="s">
        <v>2056</v>
      </c>
      <c r="Q1420" s="1" t="s">
        <v>1033</v>
      </c>
      <c r="R1420" s="1">
        <f t="shared" si="22"/>
        <v>2</v>
      </c>
      <c r="S1420" s="4">
        <f>J1420*K1420*M1420</f>
        <v>126000</v>
      </c>
    </row>
    <row r="1421" spans="1:19" ht="43" hidden="1" customHeight="1">
      <c r="A1421" s="1" t="s">
        <v>2280</v>
      </c>
      <c r="B1421" s="1" t="s">
        <v>186</v>
      </c>
      <c r="C1421" s="29">
        <v>45740.586473414398</v>
      </c>
      <c r="D1421" s="1" t="s">
        <v>3048</v>
      </c>
      <c r="E1421" s="1" t="s">
        <v>3049</v>
      </c>
      <c r="F1421" s="1">
        <v>1</v>
      </c>
      <c r="G1421" s="12" t="s">
        <v>2140</v>
      </c>
      <c r="H1421" s="1" t="s">
        <v>1021</v>
      </c>
      <c r="I1421" s="1" t="s">
        <v>62</v>
      </c>
      <c r="J1421" s="30">
        <v>5360.05</v>
      </c>
      <c r="K1421" s="30">
        <v>17500</v>
      </c>
      <c r="L1421" s="31">
        <v>93800875</v>
      </c>
      <c r="M1421" s="1" t="s">
        <v>30</v>
      </c>
      <c r="N1421" s="1" t="s">
        <v>17</v>
      </c>
      <c r="O1421" s="1" t="s">
        <v>2057</v>
      </c>
      <c r="P1421" s="1" t="s">
        <v>2056</v>
      </c>
      <c r="Q1421" s="1" t="s">
        <v>2037</v>
      </c>
      <c r="R1421" s="1">
        <f t="shared" si="22"/>
        <v>1</v>
      </c>
      <c r="S1421" s="4">
        <f>J1421*K1421*M1421</f>
        <v>9380087.5</v>
      </c>
    </row>
    <row r="1422" spans="1:19" ht="43" hidden="1" customHeight="1">
      <c r="A1422" s="1" t="s">
        <v>2280</v>
      </c>
      <c r="B1422" s="1" t="s">
        <v>140</v>
      </c>
      <c r="C1422" s="29">
        <v>45696.710550671298</v>
      </c>
      <c r="D1422" s="1" t="s">
        <v>3063</v>
      </c>
      <c r="E1422" s="1" t="s">
        <v>3062</v>
      </c>
      <c r="F1422" s="1">
        <v>1</v>
      </c>
      <c r="G1422" s="12" t="s">
        <v>2140</v>
      </c>
      <c r="H1422" s="1" t="s">
        <v>1021</v>
      </c>
      <c r="I1422" s="1" t="s">
        <v>62</v>
      </c>
      <c r="J1422" s="30">
        <v>8910</v>
      </c>
      <c r="K1422" s="30">
        <v>17500</v>
      </c>
      <c r="L1422" s="31">
        <v>155925000</v>
      </c>
      <c r="M1422" s="1" t="s">
        <v>30</v>
      </c>
      <c r="N1422" s="1" t="s">
        <v>17</v>
      </c>
      <c r="O1422" s="1" t="s">
        <v>2057</v>
      </c>
      <c r="P1422" s="1" t="s">
        <v>2056</v>
      </c>
      <c r="Q1422" s="1" t="s">
        <v>1189</v>
      </c>
      <c r="R1422" s="1">
        <f t="shared" si="22"/>
        <v>1</v>
      </c>
      <c r="S1422" s="4">
        <f>J1422*K1422*M1422</f>
        <v>15592500</v>
      </c>
    </row>
    <row r="1423" spans="1:19" ht="43" hidden="1" customHeight="1">
      <c r="A1423" s="1" t="s">
        <v>2280</v>
      </c>
      <c r="B1423" s="1" t="s">
        <v>1294</v>
      </c>
      <c r="C1423" s="29">
        <v>45808.709792268499</v>
      </c>
      <c r="D1423" s="1" t="s">
        <v>3052</v>
      </c>
      <c r="E1423" s="1" t="s">
        <v>3053</v>
      </c>
      <c r="F1423" s="1">
        <v>7</v>
      </c>
      <c r="G1423" s="12" t="s">
        <v>2140</v>
      </c>
      <c r="H1423" s="1" t="s">
        <v>1380</v>
      </c>
      <c r="I1423" s="1" t="s">
        <v>62</v>
      </c>
      <c r="J1423" s="30">
        <v>216</v>
      </c>
      <c r="K1423" s="30">
        <v>17500</v>
      </c>
      <c r="L1423" s="31">
        <v>3780000</v>
      </c>
      <c r="M1423" s="1" t="s">
        <v>30</v>
      </c>
      <c r="N1423" s="1" t="s">
        <v>17</v>
      </c>
      <c r="O1423" s="1" t="s">
        <v>2057</v>
      </c>
      <c r="P1423" s="1" t="s">
        <v>2056</v>
      </c>
      <c r="Q1423" s="1" t="s">
        <v>36</v>
      </c>
      <c r="R1423" s="1">
        <f t="shared" si="22"/>
        <v>2</v>
      </c>
      <c r="S1423" s="4">
        <f>J1423*K1423*M1423</f>
        <v>378000</v>
      </c>
    </row>
    <row r="1424" spans="1:19" ht="43" hidden="1" customHeight="1">
      <c r="A1424" s="1" t="s">
        <v>2280</v>
      </c>
      <c r="B1424" s="1" t="s">
        <v>1457</v>
      </c>
      <c r="C1424" s="29">
        <v>45937.407710069398</v>
      </c>
      <c r="D1424" s="1" t="s">
        <v>3083</v>
      </c>
      <c r="E1424" s="1" t="s">
        <v>3084</v>
      </c>
      <c r="F1424" s="1">
        <v>8</v>
      </c>
      <c r="G1424" s="12" t="s">
        <v>2140</v>
      </c>
      <c r="H1424" s="1" t="s">
        <v>1589</v>
      </c>
      <c r="I1424" s="1" t="s">
        <v>62</v>
      </c>
      <c r="J1424" s="30">
        <v>16.25</v>
      </c>
      <c r="K1424" s="30">
        <v>17846.16</v>
      </c>
      <c r="L1424" s="31">
        <v>290000</v>
      </c>
      <c r="M1424" s="1" t="s">
        <v>30</v>
      </c>
      <c r="N1424" s="1" t="s">
        <v>17</v>
      </c>
      <c r="O1424" s="1" t="s">
        <v>2057</v>
      </c>
      <c r="P1424" s="1" t="s">
        <v>2056</v>
      </c>
      <c r="Q1424" s="1" t="s">
        <v>1587</v>
      </c>
      <c r="R1424" s="1">
        <f t="shared" si="22"/>
        <v>4</v>
      </c>
      <c r="S1424" s="4">
        <f>J1424*K1424*M1424</f>
        <v>29000.01</v>
      </c>
    </row>
    <row r="1425" spans="1:19" ht="43" hidden="1" customHeight="1">
      <c r="A1425" s="1" t="s">
        <v>2280</v>
      </c>
      <c r="B1425" s="1" t="s">
        <v>1404</v>
      </c>
      <c r="C1425" s="29">
        <v>45990.3818009838</v>
      </c>
      <c r="D1425" s="1" t="s">
        <v>3052</v>
      </c>
      <c r="E1425" s="1" t="s">
        <v>3053</v>
      </c>
      <c r="F1425" s="1">
        <v>2</v>
      </c>
      <c r="G1425" s="12" t="s">
        <v>2140</v>
      </c>
      <c r="H1425" s="1" t="s">
        <v>67</v>
      </c>
      <c r="I1425" s="1" t="s">
        <v>62</v>
      </c>
      <c r="J1425" s="30">
        <v>9.1199999999999992</v>
      </c>
      <c r="K1425" s="30">
        <v>19736.84</v>
      </c>
      <c r="L1425" s="31">
        <v>180000</v>
      </c>
      <c r="M1425" s="1" t="s">
        <v>30</v>
      </c>
      <c r="N1425" s="1" t="s">
        <v>17</v>
      </c>
      <c r="O1425" s="1" t="s">
        <v>2057</v>
      </c>
      <c r="P1425" s="1" t="s">
        <v>2056</v>
      </c>
      <c r="Q1425" s="1" t="s">
        <v>1531</v>
      </c>
      <c r="R1425" s="1">
        <f t="shared" si="22"/>
        <v>4</v>
      </c>
      <c r="S1425" s="4">
        <f>J1425*K1425*M1425</f>
        <v>17999.998080000001</v>
      </c>
    </row>
    <row r="1426" spans="1:19" ht="43" hidden="1" customHeight="1">
      <c r="A1426" s="1" t="s">
        <v>2280</v>
      </c>
      <c r="B1426" s="1" t="s">
        <v>1457</v>
      </c>
      <c r="C1426" s="29">
        <v>45937.407710069398</v>
      </c>
      <c r="D1426" s="1" t="s">
        <v>3083</v>
      </c>
      <c r="E1426" s="1" t="s">
        <v>3084</v>
      </c>
      <c r="F1426" s="1">
        <v>6</v>
      </c>
      <c r="G1426" s="12" t="s">
        <v>2140</v>
      </c>
      <c r="H1426" s="1" t="s">
        <v>67</v>
      </c>
      <c r="I1426" s="1" t="s">
        <v>62</v>
      </c>
      <c r="J1426" s="30">
        <v>12.16</v>
      </c>
      <c r="K1426" s="30">
        <v>19078.95</v>
      </c>
      <c r="L1426" s="31">
        <v>232000</v>
      </c>
      <c r="M1426" s="1" t="s">
        <v>30</v>
      </c>
      <c r="N1426" s="1" t="s">
        <v>17</v>
      </c>
      <c r="O1426" s="1" t="s">
        <v>2057</v>
      </c>
      <c r="P1426" s="1" t="s">
        <v>2056</v>
      </c>
      <c r="Q1426" s="1" t="s">
        <v>1587</v>
      </c>
      <c r="R1426" s="1">
        <f t="shared" si="22"/>
        <v>4</v>
      </c>
      <c r="S1426" s="4">
        <f>J1426*K1426*M1426</f>
        <v>23200.003200000003</v>
      </c>
    </row>
    <row r="1427" spans="1:19" ht="43" hidden="1" customHeight="1">
      <c r="A1427" s="1" t="s">
        <v>2280</v>
      </c>
      <c r="B1427" s="1" t="s">
        <v>1457</v>
      </c>
      <c r="C1427" s="29">
        <v>45937.407710069398</v>
      </c>
      <c r="D1427" s="1" t="s">
        <v>3083</v>
      </c>
      <c r="E1427" s="1" t="s">
        <v>3084</v>
      </c>
      <c r="F1427" s="1">
        <v>7</v>
      </c>
      <c r="G1427" s="12" t="s">
        <v>2140</v>
      </c>
      <c r="H1427" s="1" t="s">
        <v>1588</v>
      </c>
      <c r="I1427" s="1" t="s">
        <v>62</v>
      </c>
      <c r="J1427" s="30">
        <v>26.46</v>
      </c>
      <c r="K1427" s="30">
        <v>18518.52</v>
      </c>
      <c r="L1427" s="31">
        <v>490000</v>
      </c>
      <c r="M1427" s="1" t="s">
        <v>30</v>
      </c>
      <c r="N1427" s="1" t="s">
        <v>17</v>
      </c>
      <c r="O1427" s="1" t="s">
        <v>2057</v>
      </c>
      <c r="P1427" s="1" t="s">
        <v>2056</v>
      </c>
      <c r="Q1427" s="1" t="s">
        <v>1587</v>
      </c>
      <c r="R1427" s="1">
        <f t="shared" si="22"/>
        <v>4</v>
      </c>
      <c r="S1427" s="4">
        <f>J1427*K1427*M1427</f>
        <v>49000.003920000003</v>
      </c>
    </row>
    <row r="1428" spans="1:19" ht="43" hidden="1" customHeight="1">
      <c r="A1428" s="1" t="s">
        <v>2280</v>
      </c>
      <c r="B1428" s="1" t="s">
        <v>1457</v>
      </c>
      <c r="C1428" s="29">
        <v>45937.407710069398</v>
      </c>
      <c r="D1428" s="1" t="s">
        <v>3083</v>
      </c>
      <c r="E1428" s="1" t="s">
        <v>3084</v>
      </c>
      <c r="F1428" s="1">
        <v>10</v>
      </c>
      <c r="G1428" s="12" t="s">
        <v>2140</v>
      </c>
      <c r="H1428" s="1" t="s">
        <v>196</v>
      </c>
      <c r="I1428" s="1" t="s">
        <v>62</v>
      </c>
      <c r="J1428" s="30">
        <v>11.61</v>
      </c>
      <c r="K1428" s="30">
        <v>18087.86</v>
      </c>
      <c r="L1428" s="31">
        <v>210000.0546</v>
      </c>
      <c r="M1428" s="1" t="s">
        <v>30</v>
      </c>
      <c r="N1428" s="1" t="s">
        <v>17</v>
      </c>
      <c r="O1428" s="1" t="s">
        <v>2057</v>
      </c>
      <c r="P1428" s="1" t="s">
        <v>2056</v>
      </c>
      <c r="Q1428" s="1" t="s">
        <v>1587</v>
      </c>
      <c r="R1428" s="1">
        <f t="shared" si="22"/>
        <v>4</v>
      </c>
      <c r="S1428" s="4">
        <f>J1428*K1428*M1428</f>
        <v>21000.00546</v>
      </c>
    </row>
    <row r="1429" spans="1:19" ht="43" hidden="1" customHeight="1">
      <c r="A1429" s="1" t="s">
        <v>2280</v>
      </c>
      <c r="B1429" s="1" t="s">
        <v>206</v>
      </c>
      <c r="C1429" s="29">
        <v>45892.673756828699</v>
      </c>
      <c r="D1429" s="1" t="s">
        <v>3060</v>
      </c>
      <c r="E1429" s="1" t="s">
        <v>3049</v>
      </c>
      <c r="F1429" s="1">
        <v>1</v>
      </c>
      <c r="G1429" s="12" t="s">
        <v>2140</v>
      </c>
      <c r="H1429" s="1" t="s">
        <v>1731</v>
      </c>
      <c r="I1429" s="1" t="s">
        <v>62</v>
      </c>
      <c r="J1429" s="30">
        <v>403.56</v>
      </c>
      <c r="K1429" s="30">
        <v>17500</v>
      </c>
      <c r="L1429" s="31">
        <v>7062300</v>
      </c>
      <c r="M1429" s="1" t="s">
        <v>30</v>
      </c>
      <c r="N1429" s="1" t="s">
        <v>17</v>
      </c>
      <c r="O1429" s="1" t="s">
        <v>2057</v>
      </c>
      <c r="P1429" s="1" t="s">
        <v>2056</v>
      </c>
      <c r="Q1429" s="1" t="s">
        <v>686</v>
      </c>
      <c r="R1429" s="1">
        <f t="shared" si="22"/>
        <v>3</v>
      </c>
      <c r="S1429" s="4">
        <f>J1429*K1429*M1429</f>
        <v>706230</v>
      </c>
    </row>
    <row r="1430" spans="1:19" ht="43" hidden="1" customHeight="1">
      <c r="A1430" s="1" t="s">
        <v>2280</v>
      </c>
      <c r="B1430" s="1" t="s">
        <v>1417</v>
      </c>
      <c r="C1430" s="29">
        <v>45868.607072511601</v>
      </c>
      <c r="D1430" s="1" t="s">
        <v>3052</v>
      </c>
      <c r="E1430" s="1" t="s">
        <v>3053</v>
      </c>
      <c r="F1430" s="1">
        <v>9</v>
      </c>
      <c r="G1430" s="12" t="s">
        <v>2140</v>
      </c>
      <c r="H1430" s="1" t="s">
        <v>199</v>
      </c>
      <c r="I1430" s="1" t="s">
        <v>62</v>
      </c>
      <c r="J1430" s="30">
        <v>24.55</v>
      </c>
      <c r="K1430" s="30">
        <v>18533.599999999999</v>
      </c>
      <c r="L1430" s="31">
        <v>454999.88</v>
      </c>
      <c r="M1430" s="1" t="s">
        <v>30</v>
      </c>
      <c r="N1430" s="1" t="s">
        <v>17</v>
      </c>
      <c r="O1430" s="1" t="s">
        <v>2057</v>
      </c>
      <c r="P1430" s="1" t="s">
        <v>2056</v>
      </c>
      <c r="Q1430" s="1" t="s">
        <v>800</v>
      </c>
      <c r="R1430" s="1">
        <f t="shared" si="22"/>
        <v>3</v>
      </c>
      <c r="S1430" s="4">
        <f>J1430*K1430*M1430</f>
        <v>45499.988000000005</v>
      </c>
    </row>
    <row r="1431" spans="1:19" ht="43" hidden="1" customHeight="1">
      <c r="A1431" s="1" t="s">
        <v>2280</v>
      </c>
      <c r="B1431" s="1" t="s">
        <v>794</v>
      </c>
      <c r="C1431" s="29">
        <v>45959.655037615703</v>
      </c>
      <c r="D1431" s="1" t="s">
        <v>3052</v>
      </c>
      <c r="E1431" s="1" t="s">
        <v>3053</v>
      </c>
      <c r="F1431" s="1">
        <v>11</v>
      </c>
      <c r="G1431" s="12" t="s">
        <v>2140</v>
      </c>
      <c r="H1431" s="1" t="s">
        <v>74</v>
      </c>
      <c r="I1431" s="1" t="s">
        <v>62</v>
      </c>
      <c r="J1431" s="30">
        <v>45</v>
      </c>
      <c r="K1431" s="30">
        <v>20000</v>
      </c>
      <c r="L1431" s="31">
        <v>900000</v>
      </c>
      <c r="M1431" s="1" t="s">
        <v>30</v>
      </c>
      <c r="N1431" s="1" t="s">
        <v>17</v>
      </c>
      <c r="O1431" s="1" t="s">
        <v>2057</v>
      </c>
      <c r="P1431" s="1" t="s">
        <v>2056</v>
      </c>
      <c r="Q1431" s="1" t="s">
        <v>1578</v>
      </c>
      <c r="R1431" s="1">
        <f t="shared" si="22"/>
        <v>4</v>
      </c>
      <c r="S1431" s="4">
        <f>J1431*K1431*M1431</f>
        <v>90000</v>
      </c>
    </row>
    <row r="1432" spans="1:19" ht="43" hidden="1" customHeight="1">
      <c r="A1432" s="1" t="s">
        <v>2280</v>
      </c>
      <c r="B1432" s="1" t="s">
        <v>1458</v>
      </c>
      <c r="C1432" s="29">
        <v>45937.406673483798</v>
      </c>
      <c r="D1432" s="1" t="s">
        <v>3089</v>
      </c>
      <c r="E1432" s="1" t="s">
        <v>3090</v>
      </c>
      <c r="F1432" s="1">
        <v>2</v>
      </c>
      <c r="G1432" s="12" t="s">
        <v>2140</v>
      </c>
      <c r="H1432" s="1" t="s">
        <v>74</v>
      </c>
      <c r="I1432" s="1" t="s">
        <v>62</v>
      </c>
      <c r="J1432" s="30">
        <v>37.5</v>
      </c>
      <c r="K1432" s="30">
        <v>18400</v>
      </c>
      <c r="L1432" s="31">
        <v>690000</v>
      </c>
      <c r="M1432" s="1" t="s">
        <v>30</v>
      </c>
      <c r="N1432" s="1" t="s">
        <v>17</v>
      </c>
      <c r="O1432" s="1" t="s">
        <v>2057</v>
      </c>
      <c r="P1432" s="1" t="s">
        <v>2056</v>
      </c>
      <c r="Q1432" s="1" t="s">
        <v>1587</v>
      </c>
      <c r="R1432" s="1">
        <f t="shared" si="22"/>
        <v>4</v>
      </c>
      <c r="S1432" s="4">
        <f>J1432*K1432*M1432</f>
        <v>69000</v>
      </c>
    </row>
    <row r="1433" spans="1:19" ht="43" hidden="1" customHeight="1">
      <c r="A1433" s="1" t="s">
        <v>2280</v>
      </c>
      <c r="B1433" s="1" t="s">
        <v>1417</v>
      </c>
      <c r="C1433" s="29">
        <v>45868.607072511601</v>
      </c>
      <c r="D1433" s="1" t="s">
        <v>3052</v>
      </c>
      <c r="E1433" s="1" t="s">
        <v>3053</v>
      </c>
      <c r="F1433" s="1">
        <v>8</v>
      </c>
      <c r="G1433" s="12" t="s">
        <v>2140</v>
      </c>
      <c r="H1433" s="1" t="s">
        <v>74</v>
      </c>
      <c r="I1433" s="1" t="s">
        <v>62</v>
      </c>
      <c r="J1433" s="30">
        <v>112.5</v>
      </c>
      <c r="K1433" s="30">
        <v>18666.669999999998</v>
      </c>
      <c r="L1433" s="31">
        <v>2100000</v>
      </c>
      <c r="M1433" s="1" t="s">
        <v>30</v>
      </c>
      <c r="N1433" s="1" t="s">
        <v>17</v>
      </c>
      <c r="O1433" s="1" t="s">
        <v>2057</v>
      </c>
      <c r="P1433" s="1" t="s">
        <v>2056</v>
      </c>
      <c r="Q1433" s="1" t="s">
        <v>800</v>
      </c>
      <c r="R1433" s="1">
        <f t="shared" si="22"/>
        <v>3</v>
      </c>
      <c r="S1433" s="4">
        <f>J1433*K1433*M1433</f>
        <v>210000.03750000001</v>
      </c>
    </row>
    <row r="1434" spans="1:19" ht="43" hidden="1" customHeight="1">
      <c r="A1434" s="1" t="s">
        <v>2280</v>
      </c>
      <c r="B1434" s="1" t="s">
        <v>137</v>
      </c>
      <c r="C1434" s="29">
        <v>45868.572525138901</v>
      </c>
      <c r="D1434" s="1" t="s">
        <v>3056</v>
      </c>
      <c r="E1434" s="1" t="s">
        <v>3057</v>
      </c>
      <c r="F1434" s="1">
        <v>2</v>
      </c>
      <c r="G1434" s="12" t="s">
        <v>2140</v>
      </c>
      <c r="H1434" s="1" t="s">
        <v>74</v>
      </c>
      <c r="I1434" s="1" t="s">
        <v>62</v>
      </c>
      <c r="J1434" s="30">
        <v>105</v>
      </c>
      <c r="K1434" s="30">
        <v>18400</v>
      </c>
      <c r="L1434" s="31">
        <v>1932000</v>
      </c>
      <c r="M1434" s="1" t="s">
        <v>30</v>
      </c>
      <c r="N1434" s="1" t="s">
        <v>17</v>
      </c>
      <c r="O1434" s="1" t="s">
        <v>2057</v>
      </c>
      <c r="P1434" s="1" t="s">
        <v>2056</v>
      </c>
      <c r="Q1434" s="1" t="s">
        <v>800</v>
      </c>
      <c r="R1434" s="1">
        <f t="shared" si="22"/>
        <v>3</v>
      </c>
      <c r="S1434" s="4">
        <f>J1434*K1434*M1434</f>
        <v>193200</v>
      </c>
    </row>
    <row r="1435" spans="1:19" ht="43" hidden="1" customHeight="1">
      <c r="A1435" s="1" t="s">
        <v>2280</v>
      </c>
      <c r="B1435" s="1" t="s">
        <v>1419</v>
      </c>
      <c r="C1435" s="29">
        <v>45866.749486990702</v>
      </c>
      <c r="D1435" s="1" t="s">
        <v>3052</v>
      </c>
      <c r="E1435" s="1" t="s">
        <v>3053</v>
      </c>
      <c r="F1435" s="1">
        <v>29</v>
      </c>
      <c r="G1435" s="12" t="s">
        <v>2140</v>
      </c>
      <c r="H1435" s="1" t="s">
        <v>1774</v>
      </c>
      <c r="I1435" s="1" t="s">
        <v>62</v>
      </c>
      <c r="J1435" s="30">
        <v>30</v>
      </c>
      <c r="K1435" s="30">
        <v>20000</v>
      </c>
      <c r="L1435" s="31">
        <v>600000</v>
      </c>
      <c r="M1435" s="1" t="s">
        <v>30</v>
      </c>
      <c r="N1435" s="1" t="s">
        <v>17</v>
      </c>
      <c r="O1435" s="1" t="s">
        <v>2057</v>
      </c>
      <c r="P1435" s="1" t="s">
        <v>2056</v>
      </c>
      <c r="Q1435" s="1" t="s">
        <v>1763</v>
      </c>
      <c r="R1435" s="1">
        <f t="shared" si="22"/>
        <v>3</v>
      </c>
      <c r="S1435" s="4">
        <f>J1435*K1435*M1435</f>
        <v>60000</v>
      </c>
    </row>
    <row r="1436" spans="1:19" ht="43" hidden="1" customHeight="1">
      <c r="A1436" s="1" t="s">
        <v>2280</v>
      </c>
      <c r="B1436" s="1" t="s">
        <v>794</v>
      </c>
      <c r="C1436" s="29">
        <v>45959.655037615703</v>
      </c>
      <c r="D1436" s="1" t="s">
        <v>3052</v>
      </c>
      <c r="E1436" s="1" t="s">
        <v>3053</v>
      </c>
      <c r="F1436" s="1">
        <v>13</v>
      </c>
      <c r="G1436" s="12" t="s">
        <v>2140</v>
      </c>
      <c r="H1436" s="1" t="s">
        <v>75</v>
      </c>
      <c r="I1436" s="1" t="s">
        <v>62</v>
      </c>
      <c r="J1436" s="30">
        <v>595.35</v>
      </c>
      <c r="K1436" s="30">
        <v>20105.82</v>
      </c>
      <c r="L1436" s="31">
        <v>11970000</v>
      </c>
      <c r="M1436" s="1" t="s">
        <v>30</v>
      </c>
      <c r="N1436" s="1" t="s">
        <v>17</v>
      </c>
      <c r="O1436" s="1" t="s">
        <v>2057</v>
      </c>
      <c r="P1436" s="1" t="s">
        <v>2056</v>
      </c>
      <c r="Q1436" s="1" t="s">
        <v>1578</v>
      </c>
      <c r="R1436" s="1">
        <f t="shared" si="22"/>
        <v>4</v>
      </c>
      <c r="S1436" s="4">
        <f>J1436*K1436*M1436</f>
        <v>1196999.9937000002</v>
      </c>
    </row>
    <row r="1437" spans="1:19" ht="43" hidden="1" customHeight="1">
      <c r="A1437" s="1" t="s">
        <v>2280</v>
      </c>
      <c r="B1437" s="1" t="s">
        <v>1461</v>
      </c>
      <c r="C1437" s="29">
        <v>45933.358910983799</v>
      </c>
      <c r="D1437" s="1" t="s">
        <v>3048</v>
      </c>
      <c r="E1437" s="1" t="s">
        <v>3049</v>
      </c>
      <c r="F1437" s="1">
        <v>4</v>
      </c>
      <c r="G1437" s="12" t="s">
        <v>2140</v>
      </c>
      <c r="H1437" s="1" t="s">
        <v>75</v>
      </c>
      <c r="I1437" s="1" t="s">
        <v>62</v>
      </c>
      <c r="J1437" s="30">
        <v>425.25</v>
      </c>
      <c r="K1437" s="30">
        <v>20000</v>
      </c>
      <c r="L1437" s="31">
        <v>8505000</v>
      </c>
      <c r="M1437" s="1" t="s">
        <v>30</v>
      </c>
      <c r="N1437" s="1" t="s">
        <v>17</v>
      </c>
      <c r="O1437" s="1" t="s">
        <v>2057</v>
      </c>
      <c r="P1437" s="1" t="s">
        <v>2056</v>
      </c>
      <c r="Q1437" s="1" t="s">
        <v>1591</v>
      </c>
      <c r="R1437" s="1">
        <f t="shared" si="22"/>
        <v>4</v>
      </c>
      <c r="S1437" s="4">
        <f>J1437*K1437*M1437</f>
        <v>850500</v>
      </c>
    </row>
    <row r="1438" spans="1:19" ht="43" hidden="1" customHeight="1">
      <c r="A1438" s="1" t="s">
        <v>2280</v>
      </c>
      <c r="B1438" s="1" t="s">
        <v>1421</v>
      </c>
      <c r="C1438" s="29">
        <v>45864.4410266782</v>
      </c>
      <c r="D1438" s="1" t="s">
        <v>3058</v>
      </c>
      <c r="E1438" s="1" t="s">
        <v>3059</v>
      </c>
      <c r="F1438" s="1">
        <v>10</v>
      </c>
      <c r="G1438" s="12" t="s">
        <v>2140</v>
      </c>
      <c r="H1438" s="1" t="s">
        <v>75</v>
      </c>
      <c r="I1438" s="1" t="s">
        <v>62</v>
      </c>
      <c r="J1438" s="30">
        <v>241.63</v>
      </c>
      <c r="K1438" s="30">
        <v>16818.18</v>
      </c>
      <c r="L1438" s="31">
        <v>4063776.83</v>
      </c>
      <c r="M1438" s="1" t="s">
        <v>30</v>
      </c>
      <c r="N1438" s="1" t="s">
        <v>17</v>
      </c>
      <c r="O1438" s="1" t="s">
        <v>2057</v>
      </c>
      <c r="P1438" s="1" t="s">
        <v>2056</v>
      </c>
      <c r="Q1438" s="1" t="s">
        <v>1785</v>
      </c>
      <c r="R1438" s="1">
        <f t="shared" si="22"/>
        <v>3</v>
      </c>
      <c r="S1438" s="4">
        <f>J1438*K1438*M1438</f>
        <v>406377.68333999999</v>
      </c>
    </row>
    <row r="1439" spans="1:19" ht="43" hidden="1" customHeight="1">
      <c r="A1439" s="1" t="s">
        <v>2280</v>
      </c>
      <c r="B1439" s="1" t="s">
        <v>882</v>
      </c>
      <c r="C1439" s="29">
        <v>45989.803104988401</v>
      </c>
      <c r="D1439" s="1" t="s">
        <v>3054</v>
      </c>
      <c r="E1439" s="1" t="s">
        <v>3055</v>
      </c>
      <c r="F1439" s="1">
        <v>9</v>
      </c>
      <c r="G1439" s="12" t="s">
        <v>2140</v>
      </c>
      <c r="H1439" s="1" t="s">
        <v>1557</v>
      </c>
      <c r="I1439" s="1" t="s">
        <v>62</v>
      </c>
      <c r="J1439" s="30">
        <v>205.74</v>
      </c>
      <c r="K1439" s="30">
        <v>20035</v>
      </c>
      <c r="L1439" s="31">
        <v>4122000</v>
      </c>
      <c r="M1439" s="1" t="s">
        <v>30</v>
      </c>
      <c r="N1439" s="1" t="s">
        <v>17</v>
      </c>
      <c r="O1439" s="1" t="s">
        <v>2057</v>
      </c>
      <c r="P1439" s="1" t="s">
        <v>2056</v>
      </c>
      <c r="Q1439" s="1" t="s">
        <v>394</v>
      </c>
      <c r="R1439" s="1">
        <f t="shared" si="22"/>
        <v>4</v>
      </c>
      <c r="S1439" s="4">
        <f>J1439*K1439*M1439</f>
        <v>412200.09000000008</v>
      </c>
    </row>
    <row r="1440" spans="1:19" ht="43" hidden="1" customHeight="1">
      <c r="A1440" s="1" t="s">
        <v>2280</v>
      </c>
      <c r="B1440" s="1" t="s">
        <v>1129</v>
      </c>
      <c r="C1440" s="29">
        <v>45765.484469919</v>
      </c>
      <c r="D1440" s="1" t="s">
        <v>3061</v>
      </c>
      <c r="E1440" s="1" t="s">
        <v>3062</v>
      </c>
      <c r="F1440" s="1">
        <v>3</v>
      </c>
      <c r="G1440" s="12" t="s">
        <v>2140</v>
      </c>
      <c r="H1440" s="1" t="s">
        <v>666</v>
      </c>
      <c r="I1440" s="1" t="s">
        <v>62</v>
      </c>
      <c r="J1440" s="30">
        <v>5171.25</v>
      </c>
      <c r="K1440" s="30">
        <v>16300</v>
      </c>
      <c r="L1440" s="31">
        <v>84291375</v>
      </c>
      <c r="M1440" s="1" t="s">
        <v>30</v>
      </c>
      <c r="N1440" s="1" t="s">
        <v>17</v>
      </c>
      <c r="O1440" s="1" t="s">
        <v>2057</v>
      </c>
      <c r="P1440" s="1" t="s">
        <v>2056</v>
      </c>
      <c r="Q1440" s="1" t="s">
        <v>1030</v>
      </c>
      <c r="R1440" s="1">
        <f t="shared" si="22"/>
        <v>2</v>
      </c>
      <c r="S1440" s="4">
        <f>J1440*K1440*M1440</f>
        <v>8429137.5</v>
      </c>
    </row>
    <row r="1441" spans="1:19" ht="43" hidden="1" customHeight="1">
      <c r="A1441" s="1" t="s">
        <v>2280</v>
      </c>
      <c r="B1441" s="1" t="s">
        <v>126</v>
      </c>
      <c r="C1441" s="29">
        <v>45898.896719536999</v>
      </c>
      <c r="D1441" s="1" t="s">
        <v>3052</v>
      </c>
      <c r="E1441" s="1" t="s">
        <v>3053</v>
      </c>
      <c r="F1441" s="1">
        <v>22</v>
      </c>
      <c r="G1441" s="12" t="s">
        <v>2140</v>
      </c>
      <c r="H1441" s="1" t="s">
        <v>423</v>
      </c>
      <c r="I1441" s="1" t="s">
        <v>62</v>
      </c>
      <c r="J1441" s="30">
        <v>1000</v>
      </c>
      <c r="K1441" s="30">
        <v>16000</v>
      </c>
      <c r="L1441" s="31">
        <v>16000000</v>
      </c>
      <c r="M1441" s="1" t="s">
        <v>30</v>
      </c>
      <c r="N1441" s="1" t="s">
        <v>17</v>
      </c>
      <c r="O1441" s="1" t="s">
        <v>2057</v>
      </c>
      <c r="P1441" s="1" t="s">
        <v>2056</v>
      </c>
      <c r="Q1441" s="1" t="s">
        <v>652</v>
      </c>
      <c r="R1441" s="1">
        <f t="shared" si="22"/>
        <v>3</v>
      </c>
      <c r="S1441" s="4">
        <f>J1441*K1441*M1441</f>
        <v>1600000</v>
      </c>
    </row>
    <row r="1442" spans="1:19" ht="43" hidden="1" customHeight="1">
      <c r="A1442" s="1" t="s">
        <v>2280</v>
      </c>
      <c r="B1442" s="1" t="s">
        <v>1461</v>
      </c>
      <c r="C1442" s="29">
        <v>45933.358910983799</v>
      </c>
      <c r="D1442" s="1" t="s">
        <v>3048</v>
      </c>
      <c r="E1442" s="1" t="s">
        <v>3049</v>
      </c>
      <c r="F1442" s="1">
        <v>3</v>
      </c>
      <c r="G1442" s="12" t="s">
        <v>2140</v>
      </c>
      <c r="H1442" s="1" t="s">
        <v>68</v>
      </c>
      <c r="I1442" s="1" t="s">
        <v>62</v>
      </c>
      <c r="J1442" s="30">
        <v>400.05</v>
      </c>
      <c r="K1442" s="30">
        <v>20034.994999999999</v>
      </c>
      <c r="L1442" s="31">
        <v>8015000</v>
      </c>
      <c r="M1442" s="1" t="s">
        <v>30</v>
      </c>
      <c r="N1442" s="1" t="s">
        <v>17</v>
      </c>
      <c r="O1442" s="1" t="s">
        <v>2057</v>
      </c>
      <c r="P1442" s="1" t="s">
        <v>2056</v>
      </c>
      <c r="Q1442" s="1" t="s">
        <v>1591</v>
      </c>
      <c r="R1442" s="1">
        <f t="shared" si="22"/>
        <v>4</v>
      </c>
      <c r="S1442" s="4">
        <f>J1442*K1442*M1442</f>
        <v>801499.97497500002</v>
      </c>
    </row>
    <row r="1443" spans="1:19" ht="43" hidden="1" customHeight="1">
      <c r="A1443" s="1" t="s">
        <v>2280</v>
      </c>
      <c r="B1443" s="1" t="s">
        <v>1294</v>
      </c>
      <c r="C1443" s="29">
        <v>45808.709792268499</v>
      </c>
      <c r="D1443" s="1" t="s">
        <v>3052</v>
      </c>
      <c r="E1443" s="1" t="s">
        <v>3053</v>
      </c>
      <c r="F1443" s="1">
        <v>1</v>
      </c>
      <c r="G1443" s="12" t="s">
        <v>2140</v>
      </c>
      <c r="H1443" s="1" t="s">
        <v>68</v>
      </c>
      <c r="I1443" s="1" t="s">
        <v>62</v>
      </c>
      <c r="J1443" s="30">
        <v>2400</v>
      </c>
      <c r="K1443" s="30">
        <v>17500</v>
      </c>
      <c r="L1443" s="31">
        <v>42000000</v>
      </c>
      <c r="M1443" s="1" t="s">
        <v>30</v>
      </c>
      <c r="N1443" s="1" t="s">
        <v>17</v>
      </c>
      <c r="O1443" s="1" t="s">
        <v>2057</v>
      </c>
      <c r="P1443" s="1" t="s">
        <v>2056</v>
      </c>
      <c r="Q1443" s="1" t="s">
        <v>36</v>
      </c>
      <c r="R1443" s="1">
        <f t="shared" si="22"/>
        <v>2</v>
      </c>
      <c r="S1443" s="4">
        <f>J1443*K1443*M1443</f>
        <v>4200000</v>
      </c>
    </row>
    <row r="1444" spans="1:19" ht="43" hidden="1" customHeight="1">
      <c r="A1444" s="1" t="s">
        <v>2280</v>
      </c>
      <c r="B1444" s="1" t="s">
        <v>84</v>
      </c>
      <c r="C1444" s="29">
        <v>45807.7277367477</v>
      </c>
      <c r="D1444" s="1" t="s">
        <v>3052</v>
      </c>
      <c r="E1444" s="1" t="s">
        <v>3053</v>
      </c>
      <c r="F1444" s="1">
        <v>2</v>
      </c>
      <c r="G1444" s="12" t="s">
        <v>2140</v>
      </c>
      <c r="H1444" s="1" t="s">
        <v>68</v>
      </c>
      <c r="I1444" s="1" t="s">
        <v>62</v>
      </c>
      <c r="J1444" s="30">
        <v>1211.58</v>
      </c>
      <c r="K1444" s="30">
        <v>18372.7</v>
      </c>
      <c r="L1444" s="31">
        <v>22259995.870000001</v>
      </c>
      <c r="M1444" s="1" t="s">
        <v>30</v>
      </c>
      <c r="N1444" s="1" t="s">
        <v>17</v>
      </c>
      <c r="O1444" s="1" t="s">
        <v>2057</v>
      </c>
      <c r="P1444" s="1" t="s">
        <v>2056</v>
      </c>
      <c r="Q1444" s="1" t="s">
        <v>925</v>
      </c>
      <c r="R1444" s="1">
        <f t="shared" si="22"/>
        <v>2</v>
      </c>
      <c r="S1444" s="4">
        <f>J1444*K1444*M1444</f>
        <v>2225999.5866</v>
      </c>
    </row>
    <row r="1445" spans="1:19" ht="43" hidden="1" customHeight="1">
      <c r="A1445" s="1" t="s">
        <v>2280</v>
      </c>
      <c r="B1445" s="1" t="s">
        <v>221</v>
      </c>
      <c r="C1445" s="29">
        <v>45776.500553657403</v>
      </c>
      <c r="D1445" s="1" t="s">
        <v>3052</v>
      </c>
      <c r="E1445" s="1" t="s">
        <v>3053</v>
      </c>
      <c r="F1445" s="1">
        <v>33</v>
      </c>
      <c r="G1445" s="12" t="s">
        <v>2140</v>
      </c>
      <c r="H1445" s="1" t="s">
        <v>68</v>
      </c>
      <c r="I1445" s="1" t="s">
        <v>62</v>
      </c>
      <c r="J1445" s="30">
        <v>2800</v>
      </c>
      <c r="K1445" s="30">
        <v>17500</v>
      </c>
      <c r="L1445" s="31">
        <v>49000000</v>
      </c>
      <c r="M1445" s="1" t="s">
        <v>30</v>
      </c>
      <c r="N1445" s="1" t="s">
        <v>17</v>
      </c>
      <c r="O1445" s="1" t="s">
        <v>2057</v>
      </c>
      <c r="P1445" s="1" t="s">
        <v>2056</v>
      </c>
      <c r="Q1445" s="1" t="s">
        <v>937</v>
      </c>
      <c r="R1445" s="1">
        <f t="shared" si="22"/>
        <v>2</v>
      </c>
      <c r="S1445" s="4">
        <f>J1445*K1445*M1445</f>
        <v>4900000</v>
      </c>
    </row>
    <row r="1446" spans="1:19" ht="43" hidden="1" customHeight="1">
      <c r="A1446" s="1" t="s">
        <v>2280</v>
      </c>
      <c r="B1446" s="1" t="s">
        <v>1129</v>
      </c>
      <c r="C1446" s="29">
        <v>45765.484469919</v>
      </c>
      <c r="D1446" s="1" t="s">
        <v>3061</v>
      </c>
      <c r="E1446" s="1" t="s">
        <v>3062</v>
      </c>
      <c r="F1446" s="1">
        <v>1</v>
      </c>
      <c r="G1446" s="12" t="s">
        <v>2140</v>
      </c>
      <c r="H1446" s="1" t="s">
        <v>68</v>
      </c>
      <c r="I1446" s="1" t="s">
        <v>62</v>
      </c>
      <c r="J1446" s="30">
        <v>10765.47</v>
      </c>
      <c r="K1446" s="30">
        <v>16300</v>
      </c>
      <c r="L1446" s="31">
        <v>175477161</v>
      </c>
      <c r="M1446" s="1" t="s">
        <v>30</v>
      </c>
      <c r="N1446" s="1" t="s">
        <v>17</v>
      </c>
      <c r="O1446" s="1" t="s">
        <v>2057</v>
      </c>
      <c r="P1446" s="1" t="s">
        <v>2056</v>
      </c>
      <c r="Q1446" s="1" t="s">
        <v>1030</v>
      </c>
      <c r="R1446" s="1">
        <f t="shared" si="22"/>
        <v>2</v>
      </c>
      <c r="S1446" s="4">
        <f>J1446*K1446*M1446</f>
        <v>17547716.100000001</v>
      </c>
    </row>
    <row r="1447" spans="1:19" ht="43" hidden="1" customHeight="1">
      <c r="A1447" s="1" t="s">
        <v>2280</v>
      </c>
      <c r="B1447" s="1" t="s">
        <v>194</v>
      </c>
      <c r="C1447" s="29">
        <v>45747.667547175901</v>
      </c>
      <c r="D1447" s="1" t="s">
        <v>3071</v>
      </c>
      <c r="E1447" s="1" t="s">
        <v>3053</v>
      </c>
      <c r="F1447" s="1">
        <v>12</v>
      </c>
      <c r="G1447" s="12" t="s">
        <v>2140</v>
      </c>
      <c r="H1447" s="1" t="s">
        <v>68</v>
      </c>
      <c r="I1447" s="1" t="s">
        <v>62</v>
      </c>
      <c r="J1447" s="30">
        <v>1101.8699999999999</v>
      </c>
      <c r="K1447" s="30">
        <v>17500</v>
      </c>
      <c r="L1447" s="31">
        <v>19282725</v>
      </c>
      <c r="M1447" s="1" t="s">
        <v>30</v>
      </c>
      <c r="N1447" s="1" t="s">
        <v>17</v>
      </c>
      <c r="O1447" s="1" t="s">
        <v>2057</v>
      </c>
      <c r="P1447" s="1" t="s">
        <v>2056</v>
      </c>
      <c r="Q1447" s="1" t="s">
        <v>42</v>
      </c>
      <c r="R1447" s="1">
        <f t="shared" si="22"/>
        <v>1</v>
      </c>
      <c r="S1447" s="4">
        <f>J1447*K1447*M1447</f>
        <v>1928272.4999999998</v>
      </c>
    </row>
    <row r="1448" spans="1:19" ht="43" hidden="1" customHeight="1">
      <c r="A1448" s="1" t="s">
        <v>2280</v>
      </c>
      <c r="B1448" s="1" t="s">
        <v>1005</v>
      </c>
      <c r="C1448" s="29">
        <v>45792.582986319401</v>
      </c>
      <c r="D1448" s="1" t="s">
        <v>3095</v>
      </c>
      <c r="E1448" s="1" t="s">
        <v>3051</v>
      </c>
      <c r="F1448" s="1">
        <v>1</v>
      </c>
      <c r="G1448" s="12" t="s">
        <v>2140</v>
      </c>
      <c r="H1448" s="1" t="s">
        <v>1893</v>
      </c>
      <c r="I1448" s="1" t="s">
        <v>62</v>
      </c>
      <c r="J1448" s="30">
        <v>960</v>
      </c>
      <c r="K1448" s="30">
        <v>17500</v>
      </c>
      <c r="L1448" s="31">
        <v>16800000</v>
      </c>
      <c r="M1448" s="1" t="s">
        <v>30</v>
      </c>
      <c r="N1448" s="1" t="s">
        <v>17</v>
      </c>
      <c r="O1448" s="1" t="s">
        <v>2057</v>
      </c>
      <c r="P1448" s="1" t="s">
        <v>2056</v>
      </c>
      <c r="Q1448" s="1" t="s">
        <v>1894</v>
      </c>
      <c r="R1448" s="1">
        <f t="shared" si="22"/>
        <v>2</v>
      </c>
      <c r="S1448" s="4">
        <f>J1448*K1448*M1448</f>
        <v>1680000</v>
      </c>
    </row>
    <row r="1449" spans="1:19" ht="43" hidden="1" customHeight="1">
      <c r="A1449" s="1" t="s">
        <v>2280</v>
      </c>
      <c r="B1449" s="1" t="s">
        <v>93</v>
      </c>
      <c r="C1449" s="29">
        <v>45958.591117256903</v>
      </c>
      <c r="D1449" s="1" t="s">
        <v>3054</v>
      </c>
      <c r="E1449" s="1" t="s">
        <v>3055</v>
      </c>
      <c r="F1449" s="1">
        <v>1</v>
      </c>
      <c r="G1449" s="12" t="s">
        <v>2140</v>
      </c>
      <c r="H1449" s="1" t="s">
        <v>1582</v>
      </c>
      <c r="I1449" s="1" t="s">
        <v>62</v>
      </c>
      <c r="J1449" s="30">
        <v>922.8</v>
      </c>
      <c r="K1449" s="30">
        <v>18530.560000000001</v>
      </c>
      <c r="L1449" s="31">
        <v>17100000</v>
      </c>
      <c r="M1449" s="1" t="s">
        <v>30</v>
      </c>
      <c r="N1449" s="1" t="s">
        <v>17</v>
      </c>
      <c r="O1449" s="1" t="s">
        <v>2057</v>
      </c>
      <c r="P1449" s="1" t="s">
        <v>2056</v>
      </c>
      <c r="Q1449" s="1" t="s">
        <v>1581</v>
      </c>
      <c r="R1449" s="1">
        <f t="shared" si="22"/>
        <v>4</v>
      </c>
      <c r="S1449" s="4">
        <f>J1449*K1449*M1449</f>
        <v>1710000.0767999999</v>
      </c>
    </row>
    <row r="1450" spans="1:19" ht="43" hidden="1" customHeight="1">
      <c r="A1450" s="1" t="s">
        <v>2280</v>
      </c>
      <c r="B1450" s="1" t="s">
        <v>221</v>
      </c>
      <c r="C1450" s="29">
        <v>45776.500553657403</v>
      </c>
      <c r="D1450" s="1" t="s">
        <v>3052</v>
      </c>
      <c r="E1450" s="1" t="s">
        <v>3053</v>
      </c>
      <c r="F1450" s="1">
        <v>13</v>
      </c>
      <c r="G1450" s="12" t="s">
        <v>2140</v>
      </c>
      <c r="H1450" s="1" t="s">
        <v>198</v>
      </c>
      <c r="I1450" s="1" t="s">
        <v>62</v>
      </c>
      <c r="J1450" s="30">
        <v>370</v>
      </c>
      <c r="K1450" s="30">
        <v>16000</v>
      </c>
      <c r="L1450" s="31">
        <v>5920000</v>
      </c>
      <c r="M1450" s="1" t="s">
        <v>30</v>
      </c>
      <c r="N1450" s="1" t="s">
        <v>17</v>
      </c>
      <c r="O1450" s="1" t="s">
        <v>2057</v>
      </c>
      <c r="P1450" s="1" t="s">
        <v>2056</v>
      </c>
      <c r="Q1450" s="1" t="s">
        <v>937</v>
      </c>
      <c r="R1450" s="1">
        <f t="shared" si="22"/>
        <v>2</v>
      </c>
      <c r="S1450" s="4">
        <f>J1450*K1450*M1450</f>
        <v>592000</v>
      </c>
    </row>
    <row r="1451" spans="1:19" ht="43" hidden="1" customHeight="1">
      <c r="A1451" s="1" t="s">
        <v>2280</v>
      </c>
      <c r="B1451" s="1" t="s">
        <v>1413</v>
      </c>
      <c r="C1451" s="29">
        <v>45889.506525011602</v>
      </c>
      <c r="D1451" s="1" t="s">
        <v>3054</v>
      </c>
      <c r="E1451" s="1" t="s">
        <v>3055</v>
      </c>
      <c r="F1451" s="1">
        <v>4</v>
      </c>
      <c r="G1451" s="12" t="s">
        <v>2140</v>
      </c>
      <c r="H1451" s="1" t="s">
        <v>77</v>
      </c>
      <c r="I1451" s="1" t="s">
        <v>62</v>
      </c>
      <c r="J1451" s="30">
        <v>252.75</v>
      </c>
      <c r="K1451" s="30">
        <v>18496.538</v>
      </c>
      <c r="L1451" s="31">
        <v>4675000</v>
      </c>
      <c r="M1451" s="1" t="s">
        <v>30</v>
      </c>
      <c r="N1451" s="1" t="s">
        <v>17</v>
      </c>
      <c r="O1451" s="1" t="s">
        <v>2057</v>
      </c>
      <c r="P1451" s="1" t="s">
        <v>2056</v>
      </c>
      <c r="Q1451" s="1" t="s">
        <v>674</v>
      </c>
      <c r="R1451" s="1">
        <f t="shared" si="22"/>
        <v>3</v>
      </c>
      <c r="S1451" s="4">
        <f>J1451*K1451*M1451</f>
        <v>467499.99795000005</v>
      </c>
    </row>
    <row r="1452" spans="1:19" ht="43" hidden="1" customHeight="1">
      <c r="A1452" s="1" t="s">
        <v>2280</v>
      </c>
      <c r="B1452" s="1" t="s">
        <v>194</v>
      </c>
      <c r="C1452" s="29">
        <v>45747.667547175901</v>
      </c>
      <c r="D1452" s="1" t="s">
        <v>3071</v>
      </c>
      <c r="E1452" s="1" t="s">
        <v>3053</v>
      </c>
      <c r="F1452" s="1">
        <v>13</v>
      </c>
      <c r="G1452" s="12" t="s">
        <v>2140</v>
      </c>
      <c r="H1452" s="1" t="s">
        <v>77</v>
      </c>
      <c r="I1452" s="1" t="s">
        <v>62</v>
      </c>
      <c r="J1452" s="30">
        <v>64.11</v>
      </c>
      <c r="K1452" s="30">
        <v>17500</v>
      </c>
      <c r="L1452" s="31">
        <v>1121925</v>
      </c>
      <c r="M1452" s="1" t="s">
        <v>30</v>
      </c>
      <c r="N1452" s="1" t="s">
        <v>17</v>
      </c>
      <c r="O1452" s="1" t="s">
        <v>2057</v>
      </c>
      <c r="P1452" s="1" t="s">
        <v>2056</v>
      </c>
      <c r="Q1452" s="1" t="s">
        <v>42</v>
      </c>
      <c r="R1452" s="1">
        <f t="shared" si="22"/>
        <v>1</v>
      </c>
      <c r="S1452" s="4">
        <f>J1452*K1452*M1452</f>
        <v>112192.5</v>
      </c>
    </row>
    <row r="1453" spans="1:19" ht="43" hidden="1" customHeight="1">
      <c r="A1453" s="1" t="s">
        <v>2280</v>
      </c>
      <c r="B1453" s="1" t="s">
        <v>25</v>
      </c>
      <c r="C1453" s="29">
        <v>45681.457743611099</v>
      </c>
      <c r="D1453" s="1" t="s">
        <v>3063</v>
      </c>
      <c r="E1453" s="1" t="s">
        <v>3062</v>
      </c>
      <c r="F1453" s="1">
        <v>3</v>
      </c>
      <c r="G1453" s="12" t="s">
        <v>2140</v>
      </c>
      <c r="H1453" s="1" t="s">
        <v>77</v>
      </c>
      <c r="I1453" s="1" t="s">
        <v>62</v>
      </c>
      <c r="J1453" s="30">
        <v>2614.5</v>
      </c>
      <c r="K1453" s="30">
        <v>17500</v>
      </c>
      <c r="L1453" s="31">
        <v>45753750</v>
      </c>
      <c r="M1453" s="1" t="s">
        <v>30</v>
      </c>
      <c r="N1453" s="1" t="s">
        <v>17</v>
      </c>
      <c r="O1453" s="1" t="s">
        <v>2057</v>
      </c>
      <c r="P1453" s="1" t="s">
        <v>2056</v>
      </c>
      <c r="Q1453" s="1" t="s">
        <v>2045</v>
      </c>
      <c r="R1453" s="1">
        <f t="shared" si="22"/>
        <v>1</v>
      </c>
      <c r="S1453" s="4">
        <f>J1453*K1453*M1453</f>
        <v>4575375</v>
      </c>
    </row>
    <row r="1454" spans="1:19" ht="43" hidden="1" customHeight="1">
      <c r="A1454" s="1" t="s">
        <v>2280</v>
      </c>
      <c r="B1454" s="1" t="s">
        <v>882</v>
      </c>
      <c r="C1454" s="29">
        <v>45989.803104988401</v>
      </c>
      <c r="D1454" s="1" t="s">
        <v>3054</v>
      </c>
      <c r="E1454" s="1" t="s">
        <v>3055</v>
      </c>
      <c r="F1454" s="1">
        <v>10</v>
      </c>
      <c r="G1454" s="12" t="s">
        <v>2140</v>
      </c>
      <c r="H1454" s="1" t="s">
        <v>69</v>
      </c>
      <c r="I1454" s="1" t="s">
        <v>62</v>
      </c>
      <c r="J1454" s="30">
        <v>307.60000000000002</v>
      </c>
      <c r="K1454" s="30">
        <v>18465.54</v>
      </c>
      <c r="L1454" s="31">
        <v>5680000</v>
      </c>
      <c r="M1454" s="1" t="s">
        <v>30</v>
      </c>
      <c r="N1454" s="1" t="s">
        <v>17</v>
      </c>
      <c r="O1454" s="1" t="s">
        <v>2057</v>
      </c>
      <c r="P1454" s="1" t="s">
        <v>2056</v>
      </c>
      <c r="Q1454" s="1" t="s">
        <v>394</v>
      </c>
      <c r="R1454" s="1">
        <f t="shared" si="22"/>
        <v>4</v>
      </c>
      <c r="S1454" s="4">
        <f>J1454*K1454*M1454</f>
        <v>568000.01040000003</v>
      </c>
    </row>
    <row r="1455" spans="1:19" ht="43" hidden="1" customHeight="1">
      <c r="A1455" s="1" t="s">
        <v>2280</v>
      </c>
      <c r="B1455" s="1" t="s">
        <v>20</v>
      </c>
      <c r="C1455" s="29">
        <v>45808.631850034697</v>
      </c>
      <c r="D1455" s="1" t="s">
        <v>3052</v>
      </c>
      <c r="E1455" s="1" t="s">
        <v>3053</v>
      </c>
      <c r="F1455" s="1">
        <v>2</v>
      </c>
      <c r="G1455" s="12" t="s">
        <v>2140</v>
      </c>
      <c r="H1455" s="1" t="s">
        <v>69</v>
      </c>
      <c r="I1455" s="1" t="s">
        <v>62</v>
      </c>
      <c r="J1455" s="30">
        <v>3076</v>
      </c>
      <c r="K1455" s="30">
        <v>16363</v>
      </c>
      <c r="L1455" s="31">
        <v>50332588</v>
      </c>
      <c r="M1455" s="1" t="s">
        <v>30</v>
      </c>
      <c r="N1455" s="1" t="s">
        <v>17</v>
      </c>
      <c r="O1455" s="1" t="s">
        <v>2057</v>
      </c>
      <c r="P1455" s="1" t="s">
        <v>2056</v>
      </c>
      <c r="Q1455" s="1" t="s">
        <v>36</v>
      </c>
      <c r="R1455" s="1">
        <f t="shared" si="22"/>
        <v>2</v>
      </c>
      <c r="S1455" s="4">
        <f>J1455*K1455*M1455</f>
        <v>5033258.8000000007</v>
      </c>
    </row>
    <row r="1456" spans="1:19" ht="43" hidden="1" customHeight="1">
      <c r="A1456" s="1" t="s">
        <v>2280</v>
      </c>
      <c r="B1456" s="1" t="s">
        <v>85</v>
      </c>
      <c r="C1456" s="29">
        <v>45793.569302812502</v>
      </c>
      <c r="D1456" s="1" t="s">
        <v>3050</v>
      </c>
      <c r="E1456" s="1" t="s">
        <v>3051</v>
      </c>
      <c r="F1456" s="1">
        <v>1</v>
      </c>
      <c r="G1456" s="12" t="s">
        <v>2140</v>
      </c>
      <c r="H1456" s="1" t="s">
        <v>69</v>
      </c>
      <c r="I1456" s="1" t="s">
        <v>62</v>
      </c>
      <c r="J1456" s="30">
        <v>266.39999999999998</v>
      </c>
      <c r="K1456" s="30">
        <v>17500</v>
      </c>
      <c r="L1456" s="31">
        <v>4662000</v>
      </c>
      <c r="M1456" s="1" t="s">
        <v>30</v>
      </c>
      <c r="N1456" s="1" t="s">
        <v>17</v>
      </c>
      <c r="O1456" s="1" t="s">
        <v>2057</v>
      </c>
      <c r="P1456" s="1" t="s">
        <v>2056</v>
      </c>
      <c r="Q1456" s="1" t="s">
        <v>1056</v>
      </c>
      <c r="R1456" s="1">
        <f t="shared" si="22"/>
        <v>2</v>
      </c>
      <c r="S1456" s="4">
        <f>J1456*K1456*M1456</f>
        <v>466200</v>
      </c>
    </row>
    <row r="1457" spans="1:19" ht="43" hidden="1" customHeight="1">
      <c r="A1457" s="1" t="s">
        <v>2280</v>
      </c>
      <c r="B1457" s="1" t="s">
        <v>1129</v>
      </c>
      <c r="C1457" s="29">
        <v>45765.484469919</v>
      </c>
      <c r="D1457" s="1" t="s">
        <v>3061</v>
      </c>
      <c r="E1457" s="1" t="s">
        <v>3062</v>
      </c>
      <c r="F1457" s="1">
        <v>2</v>
      </c>
      <c r="G1457" s="12" t="s">
        <v>2140</v>
      </c>
      <c r="H1457" s="1" t="s">
        <v>69</v>
      </c>
      <c r="I1457" s="1" t="s">
        <v>62</v>
      </c>
      <c r="J1457" s="30">
        <v>7121.85</v>
      </c>
      <c r="K1457" s="30">
        <v>16300</v>
      </c>
      <c r="L1457" s="31">
        <v>116086155</v>
      </c>
      <c r="M1457" s="1" t="s">
        <v>30</v>
      </c>
      <c r="N1457" s="1" t="s">
        <v>17</v>
      </c>
      <c r="O1457" s="1" t="s">
        <v>2057</v>
      </c>
      <c r="P1457" s="1" t="s">
        <v>2056</v>
      </c>
      <c r="Q1457" s="1" t="s">
        <v>1030</v>
      </c>
      <c r="R1457" s="1">
        <f t="shared" si="22"/>
        <v>2</v>
      </c>
      <c r="S1457" s="4">
        <f>J1457*K1457*M1457</f>
        <v>11608615.5</v>
      </c>
    </row>
    <row r="1458" spans="1:19" ht="43" hidden="1" customHeight="1">
      <c r="A1458" s="1" t="s">
        <v>2280</v>
      </c>
      <c r="B1458" s="1" t="s">
        <v>125</v>
      </c>
      <c r="C1458" s="29">
        <v>45927.918464398201</v>
      </c>
      <c r="D1458" s="1" t="s">
        <v>3054</v>
      </c>
      <c r="E1458" s="1" t="s">
        <v>3055</v>
      </c>
      <c r="F1458" s="1">
        <v>1</v>
      </c>
      <c r="G1458" s="12" t="s">
        <v>2140</v>
      </c>
      <c r="H1458" s="1" t="s">
        <v>1639</v>
      </c>
      <c r="I1458" s="1" t="s">
        <v>62</v>
      </c>
      <c r="J1458" s="30">
        <v>215.32</v>
      </c>
      <c r="K1458" s="30">
        <v>20026.007799999999</v>
      </c>
      <c r="L1458" s="31">
        <v>4312000</v>
      </c>
      <c r="M1458" s="1" t="s">
        <v>30</v>
      </c>
      <c r="N1458" s="1" t="s">
        <v>17</v>
      </c>
      <c r="O1458" s="1" t="s">
        <v>2057</v>
      </c>
      <c r="P1458" s="1" t="s">
        <v>2056</v>
      </c>
      <c r="Q1458" s="1" t="s">
        <v>588</v>
      </c>
      <c r="R1458" s="1">
        <f t="shared" si="22"/>
        <v>3</v>
      </c>
      <c r="S1458" s="4">
        <f>J1458*K1458*M1458</f>
        <v>431199.99994960002</v>
      </c>
    </row>
    <row r="1459" spans="1:19" ht="43" hidden="1" customHeight="1">
      <c r="A1459" s="1" t="s">
        <v>2280</v>
      </c>
      <c r="B1459" s="1" t="s">
        <v>882</v>
      </c>
      <c r="C1459" s="29">
        <v>45989.803104988401</v>
      </c>
      <c r="D1459" s="1" t="s">
        <v>3054</v>
      </c>
      <c r="E1459" s="1" t="s">
        <v>3055</v>
      </c>
      <c r="F1459" s="1">
        <v>2</v>
      </c>
      <c r="G1459" s="12" t="s">
        <v>2140</v>
      </c>
      <c r="H1459" s="1" t="s">
        <v>424</v>
      </c>
      <c r="I1459" s="1" t="s">
        <v>62</v>
      </c>
      <c r="J1459" s="30">
        <v>1882.56</v>
      </c>
      <c r="K1459" s="30">
        <v>18459.97</v>
      </c>
      <c r="L1459" s="31">
        <v>34752000</v>
      </c>
      <c r="M1459" s="1" t="s">
        <v>30</v>
      </c>
      <c r="N1459" s="1" t="s">
        <v>17</v>
      </c>
      <c r="O1459" s="1" t="s">
        <v>2057</v>
      </c>
      <c r="P1459" s="1" t="s">
        <v>2056</v>
      </c>
      <c r="Q1459" s="1" t="s">
        <v>394</v>
      </c>
      <c r="R1459" s="1">
        <f t="shared" si="22"/>
        <v>4</v>
      </c>
      <c r="S1459" s="4">
        <f>J1459*K1459*M1459</f>
        <v>3475200.1123200003</v>
      </c>
    </row>
    <row r="1460" spans="1:19" ht="43" hidden="1" customHeight="1">
      <c r="A1460" s="1" t="s">
        <v>2280</v>
      </c>
      <c r="B1460" s="1" t="s">
        <v>1413</v>
      </c>
      <c r="C1460" s="29">
        <v>45889.506525011602</v>
      </c>
      <c r="D1460" s="1" t="s">
        <v>3054</v>
      </c>
      <c r="E1460" s="1" t="s">
        <v>3055</v>
      </c>
      <c r="F1460" s="1">
        <v>3</v>
      </c>
      <c r="G1460" s="12" t="s">
        <v>2140</v>
      </c>
      <c r="H1460" s="1" t="s">
        <v>424</v>
      </c>
      <c r="I1460" s="1" t="s">
        <v>62</v>
      </c>
      <c r="J1460" s="30">
        <v>1255.04</v>
      </c>
      <c r="K1460" s="30">
        <v>18459.969400000002</v>
      </c>
      <c r="L1460" s="31">
        <v>23168000</v>
      </c>
      <c r="M1460" s="1" t="s">
        <v>30</v>
      </c>
      <c r="N1460" s="1" t="s">
        <v>17</v>
      </c>
      <c r="O1460" s="1" t="s">
        <v>2057</v>
      </c>
      <c r="P1460" s="1" t="s">
        <v>2056</v>
      </c>
      <c r="Q1460" s="1" t="s">
        <v>674</v>
      </c>
      <c r="R1460" s="1">
        <f t="shared" si="22"/>
        <v>3</v>
      </c>
      <c r="S1460" s="4">
        <f>J1460*K1460*M1460</f>
        <v>2316799.9995776</v>
      </c>
    </row>
    <row r="1461" spans="1:19" ht="43" hidden="1" customHeight="1">
      <c r="A1461" s="1" t="s">
        <v>2280</v>
      </c>
      <c r="B1461" s="1" t="s">
        <v>1413</v>
      </c>
      <c r="C1461" s="29">
        <v>45889.506525011602</v>
      </c>
      <c r="D1461" s="1" t="s">
        <v>3054</v>
      </c>
      <c r="E1461" s="1" t="s">
        <v>3055</v>
      </c>
      <c r="F1461" s="1">
        <v>6</v>
      </c>
      <c r="G1461" s="12" t="s">
        <v>2140</v>
      </c>
      <c r="H1461" s="1" t="s">
        <v>424</v>
      </c>
      <c r="I1461" s="1" t="s">
        <v>62</v>
      </c>
      <c r="J1461" s="30">
        <v>3255.26</v>
      </c>
      <c r="K1461" s="30">
        <v>18510.963800000001</v>
      </c>
      <c r="L1461" s="31">
        <v>60258000</v>
      </c>
      <c r="M1461" s="1" t="s">
        <v>30</v>
      </c>
      <c r="N1461" s="1" t="s">
        <v>17</v>
      </c>
      <c r="O1461" s="1" t="s">
        <v>2057</v>
      </c>
      <c r="P1461" s="1" t="s">
        <v>2056</v>
      </c>
      <c r="Q1461" s="1" t="s">
        <v>674</v>
      </c>
      <c r="R1461" s="1">
        <f t="shared" si="22"/>
        <v>3</v>
      </c>
      <c r="S1461" s="4">
        <f>J1461*K1461*M1461</f>
        <v>6025800.0019588014</v>
      </c>
    </row>
    <row r="1462" spans="1:19" ht="43" hidden="1" customHeight="1">
      <c r="A1462" s="1" t="s">
        <v>2280</v>
      </c>
      <c r="B1462" s="1" t="s">
        <v>126</v>
      </c>
      <c r="C1462" s="29">
        <v>45898.896719536999</v>
      </c>
      <c r="D1462" s="1" t="s">
        <v>3052</v>
      </c>
      <c r="E1462" s="1" t="s">
        <v>3053</v>
      </c>
      <c r="F1462" s="1">
        <v>11</v>
      </c>
      <c r="G1462" s="12" t="s">
        <v>2140</v>
      </c>
      <c r="H1462" s="1" t="s">
        <v>1716</v>
      </c>
      <c r="I1462" s="1" t="s">
        <v>62</v>
      </c>
      <c r="J1462" s="30">
        <v>7410</v>
      </c>
      <c r="K1462" s="30">
        <v>16363.643700000001</v>
      </c>
      <c r="L1462" s="31">
        <v>121254600</v>
      </c>
      <c r="M1462" s="1" t="s">
        <v>30</v>
      </c>
      <c r="N1462" s="1" t="s">
        <v>17</v>
      </c>
      <c r="O1462" s="1" t="s">
        <v>2057</v>
      </c>
      <c r="P1462" s="1" t="s">
        <v>2056</v>
      </c>
      <c r="Q1462" s="1" t="s">
        <v>652</v>
      </c>
      <c r="R1462" s="1">
        <f t="shared" si="22"/>
        <v>3</v>
      </c>
      <c r="S1462" s="4">
        <f>J1462*K1462*M1462</f>
        <v>12125459.981700001</v>
      </c>
    </row>
    <row r="1463" spans="1:19" ht="43" hidden="1" customHeight="1">
      <c r="A1463" s="1" t="s">
        <v>2280</v>
      </c>
      <c r="B1463" s="1" t="s">
        <v>126</v>
      </c>
      <c r="C1463" s="29">
        <v>45898.896719536999</v>
      </c>
      <c r="D1463" s="1" t="s">
        <v>3052</v>
      </c>
      <c r="E1463" s="1" t="s">
        <v>3053</v>
      </c>
      <c r="F1463" s="1">
        <v>5</v>
      </c>
      <c r="G1463" s="12" t="s">
        <v>2140</v>
      </c>
      <c r="H1463" s="1" t="s">
        <v>1711</v>
      </c>
      <c r="I1463" s="1" t="s">
        <v>62</v>
      </c>
      <c r="J1463" s="30">
        <v>6370</v>
      </c>
      <c r="K1463" s="30">
        <v>16818.181799999998</v>
      </c>
      <c r="L1463" s="31">
        <v>107131818</v>
      </c>
      <c r="M1463" s="1" t="s">
        <v>30</v>
      </c>
      <c r="N1463" s="1" t="s">
        <v>17</v>
      </c>
      <c r="O1463" s="1" t="s">
        <v>2057</v>
      </c>
      <c r="P1463" s="1" t="s">
        <v>2056</v>
      </c>
      <c r="Q1463" s="1" t="s">
        <v>652</v>
      </c>
      <c r="R1463" s="1">
        <f t="shared" si="22"/>
        <v>3</v>
      </c>
      <c r="S1463" s="4">
        <f>J1463*K1463*M1463</f>
        <v>10713181.806599999</v>
      </c>
    </row>
    <row r="1464" spans="1:19" ht="43" hidden="1" customHeight="1">
      <c r="A1464" s="1" t="s">
        <v>2280</v>
      </c>
      <c r="B1464" s="1" t="s">
        <v>126</v>
      </c>
      <c r="C1464" s="29">
        <v>45898.896719536999</v>
      </c>
      <c r="D1464" s="1" t="s">
        <v>3052</v>
      </c>
      <c r="E1464" s="1" t="s">
        <v>3053</v>
      </c>
      <c r="F1464" s="1">
        <v>12</v>
      </c>
      <c r="G1464" s="12" t="s">
        <v>2140</v>
      </c>
      <c r="H1464" s="1" t="s">
        <v>1711</v>
      </c>
      <c r="I1464" s="1" t="s">
        <v>62</v>
      </c>
      <c r="J1464" s="30">
        <v>6370</v>
      </c>
      <c r="K1464" s="30">
        <v>16365.777099999999</v>
      </c>
      <c r="L1464" s="31">
        <v>104250000</v>
      </c>
      <c r="M1464" s="1" t="s">
        <v>30</v>
      </c>
      <c r="N1464" s="1" t="s">
        <v>17</v>
      </c>
      <c r="O1464" s="1" t="s">
        <v>2057</v>
      </c>
      <c r="P1464" s="1" t="s">
        <v>2056</v>
      </c>
      <c r="Q1464" s="1" t="s">
        <v>652</v>
      </c>
      <c r="R1464" s="1">
        <f t="shared" si="22"/>
        <v>3</v>
      </c>
      <c r="S1464" s="4">
        <f>J1464*K1464*M1464</f>
        <v>10425000.012699999</v>
      </c>
    </row>
    <row r="1465" spans="1:19" ht="43" hidden="1" customHeight="1">
      <c r="A1465" s="1" t="s">
        <v>2280</v>
      </c>
      <c r="B1465" s="1" t="s">
        <v>82</v>
      </c>
      <c r="C1465" s="29">
        <v>45960.657712604203</v>
      </c>
      <c r="D1465" s="1" t="s">
        <v>3056</v>
      </c>
      <c r="E1465" s="1" t="s">
        <v>3057</v>
      </c>
      <c r="F1465" s="1">
        <v>3</v>
      </c>
      <c r="G1465" s="12" t="s">
        <v>2140</v>
      </c>
      <c r="H1465" s="1" t="s">
        <v>64</v>
      </c>
      <c r="I1465" s="1" t="s">
        <v>62</v>
      </c>
      <c r="J1465" s="30">
        <v>290.10000000000002</v>
      </c>
      <c r="K1465" s="30">
        <v>18500</v>
      </c>
      <c r="L1465" s="31">
        <v>5366850</v>
      </c>
      <c r="M1465" s="1" t="s">
        <v>30</v>
      </c>
      <c r="N1465" s="1" t="s">
        <v>17</v>
      </c>
      <c r="O1465" s="1" t="s">
        <v>2057</v>
      </c>
      <c r="P1465" s="1" t="s">
        <v>2056</v>
      </c>
      <c r="Q1465" s="1" t="s">
        <v>533</v>
      </c>
      <c r="R1465" s="1">
        <f t="shared" si="22"/>
        <v>4</v>
      </c>
      <c r="S1465" s="4">
        <f>J1465*K1465*M1465</f>
        <v>536685</v>
      </c>
    </row>
    <row r="1466" spans="1:19" ht="43" hidden="1" customHeight="1">
      <c r="A1466" s="1" t="s">
        <v>2280</v>
      </c>
      <c r="B1466" s="1" t="s">
        <v>1459</v>
      </c>
      <c r="C1466" s="29">
        <v>45933.374858148098</v>
      </c>
      <c r="D1466" s="1" t="s">
        <v>3063</v>
      </c>
      <c r="E1466" s="1" t="s">
        <v>3062</v>
      </c>
      <c r="F1466" s="1">
        <v>1</v>
      </c>
      <c r="G1466" s="12" t="s">
        <v>2140</v>
      </c>
      <c r="H1466" s="1" t="s">
        <v>64</v>
      </c>
      <c r="I1466" s="1" t="s">
        <v>62</v>
      </c>
      <c r="J1466" s="30">
        <v>2684.87</v>
      </c>
      <c r="K1466" s="30">
        <v>16830.423999999999</v>
      </c>
      <c r="L1466" s="31">
        <v>45187500</v>
      </c>
      <c r="M1466" s="1" t="s">
        <v>30</v>
      </c>
      <c r="N1466" s="1" t="s">
        <v>17</v>
      </c>
      <c r="O1466" s="1" t="s">
        <v>2057</v>
      </c>
      <c r="P1466" s="1" t="s">
        <v>2056</v>
      </c>
      <c r="Q1466" s="1" t="s">
        <v>1591</v>
      </c>
      <c r="R1466" s="1">
        <f t="shared" si="22"/>
        <v>4</v>
      </c>
      <c r="S1466" s="4">
        <f>J1466*K1466*M1466</f>
        <v>4518750.0484879995</v>
      </c>
    </row>
    <row r="1467" spans="1:19" ht="43" hidden="1" customHeight="1">
      <c r="A1467" s="1" t="s">
        <v>2280</v>
      </c>
      <c r="B1467" s="1" t="s">
        <v>1471</v>
      </c>
      <c r="C1467" s="29">
        <v>45910.438682407403</v>
      </c>
      <c r="D1467" s="1" t="s">
        <v>3052</v>
      </c>
      <c r="E1467" s="1" t="s">
        <v>3053</v>
      </c>
      <c r="F1467" s="1">
        <v>2</v>
      </c>
      <c r="G1467" s="12" t="s">
        <v>2140</v>
      </c>
      <c r="H1467" s="1" t="s">
        <v>64</v>
      </c>
      <c r="I1467" s="1" t="s">
        <v>62</v>
      </c>
      <c r="J1467" s="30">
        <v>386.8</v>
      </c>
      <c r="K1467" s="30">
        <v>16363.64</v>
      </c>
      <c r="L1467" s="31">
        <v>6329456</v>
      </c>
      <c r="M1467" s="1" t="s">
        <v>30</v>
      </c>
      <c r="N1467" s="1" t="s">
        <v>17</v>
      </c>
      <c r="O1467" s="1" t="s">
        <v>2057</v>
      </c>
      <c r="P1467" s="1" t="s">
        <v>2056</v>
      </c>
      <c r="Q1467" s="1" t="s">
        <v>1652</v>
      </c>
      <c r="R1467" s="1">
        <f t="shared" si="22"/>
        <v>3</v>
      </c>
      <c r="S1467" s="4">
        <f>J1467*K1467*M1467</f>
        <v>632945.59519999998</v>
      </c>
    </row>
    <row r="1468" spans="1:19" ht="43" hidden="1" customHeight="1">
      <c r="A1468" s="1" t="s">
        <v>2280</v>
      </c>
      <c r="B1468" s="1" t="s">
        <v>137</v>
      </c>
      <c r="C1468" s="29">
        <v>45868.572525138901</v>
      </c>
      <c r="D1468" s="1" t="s">
        <v>3056</v>
      </c>
      <c r="E1468" s="1" t="s">
        <v>3057</v>
      </c>
      <c r="F1468" s="1">
        <v>6</v>
      </c>
      <c r="G1468" s="12" t="s">
        <v>2140</v>
      </c>
      <c r="H1468" s="1" t="s">
        <v>64</v>
      </c>
      <c r="I1468" s="1" t="s">
        <v>62</v>
      </c>
      <c r="J1468" s="30">
        <v>193.4</v>
      </c>
      <c r="K1468" s="30">
        <v>18500</v>
      </c>
      <c r="L1468" s="31">
        <v>3577900</v>
      </c>
      <c r="M1468" s="1" t="s">
        <v>30</v>
      </c>
      <c r="N1468" s="1" t="s">
        <v>17</v>
      </c>
      <c r="O1468" s="1" t="s">
        <v>2057</v>
      </c>
      <c r="P1468" s="1" t="s">
        <v>2056</v>
      </c>
      <c r="Q1468" s="1" t="s">
        <v>800</v>
      </c>
      <c r="R1468" s="1">
        <f t="shared" si="22"/>
        <v>3</v>
      </c>
      <c r="S1468" s="4">
        <f>J1468*K1468*M1468</f>
        <v>357790</v>
      </c>
    </row>
    <row r="1469" spans="1:19" ht="43" hidden="1" customHeight="1">
      <c r="A1469" s="1" t="s">
        <v>2280</v>
      </c>
      <c r="B1469" s="1" t="s">
        <v>1421</v>
      </c>
      <c r="C1469" s="29">
        <v>45864.4410266782</v>
      </c>
      <c r="D1469" s="1" t="s">
        <v>3058</v>
      </c>
      <c r="E1469" s="1" t="s">
        <v>3059</v>
      </c>
      <c r="F1469" s="1">
        <v>5</v>
      </c>
      <c r="G1469" s="12" t="s">
        <v>2140</v>
      </c>
      <c r="H1469" s="1" t="s">
        <v>64</v>
      </c>
      <c r="I1469" s="1" t="s">
        <v>62</v>
      </c>
      <c r="J1469" s="30">
        <v>2762.76</v>
      </c>
      <c r="K1469" s="30">
        <v>16818.18</v>
      </c>
      <c r="L1469" s="31">
        <v>46464595</v>
      </c>
      <c r="M1469" s="1" t="s">
        <v>30</v>
      </c>
      <c r="N1469" s="1" t="s">
        <v>17</v>
      </c>
      <c r="O1469" s="1" t="s">
        <v>2057</v>
      </c>
      <c r="P1469" s="1" t="s">
        <v>2056</v>
      </c>
      <c r="Q1469" s="1" t="s">
        <v>1785</v>
      </c>
      <c r="R1469" s="1">
        <f t="shared" si="22"/>
        <v>3</v>
      </c>
      <c r="S1469" s="4">
        <f>J1469*K1469*M1469</f>
        <v>4646459.49768</v>
      </c>
    </row>
    <row r="1470" spans="1:19" ht="43" hidden="1" customHeight="1">
      <c r="A1470" s="1" t="s">
        <v>2280</v>
      </c>
      <c r="B1470" s="1" t="s">
        <v>163</v>
      </c>
      <c r="C1470" s="29">
        <v>45852.403095567097</v>
      </c>
      <c r="D1470" s="1" t="s">
        <v>3063</v>
      </c>
      <c r="E1470" s="1" t="s">
        <v>3062</v>
      </c>
      <c r="F1470" s="1">
        <v>2</v>
      </c>
      <c r="G1470" s="12" t="s">
        <v>2140</v>
      </c>
      <c r="H1470" s="1" t="s">
        <v>64</v>
      </c>
      <c r="I1470" s="1" t="s">
        <v>62</v>
      </c>
      <c r="J1470" s="30">
        <v>3866</v>
      </c>
      <c r="K1470" s="30">
        <v>16373.51</v>
      </c>
      <c r="L1470" s="31">
        <v>63299989.659999996</v>
      </c>
      <c r="M1470" s="1" t="s">
        <v>30</v>
      </c>
      <c r="N1470" s="1" t="s">
        <v>17</v>
      </c>
      <c r="O1470" s="1" t="s">
        <v>2057</v>
      </c>
      <c r="P1470" s="1" t="s">
        <v>2056</v>
      </c>
      <c r="Q1470" s="1" t="s">
        <v>1799</v>
      </c>
      <c r="R1470" s="1">
        <f t="shared" si="22"/>
        <v>3</v>
      </c>
      <c r="S1470" s="4">
        <f>J1470*K1470*M1470</f>
        <v>6329998.9660000009</v>
      </c>
    </row>
    <row r="1471" spans="1:19" ht="43" hidden="1" customHeight="1">
      <c r="A1471" s="1" t="s">
        <v>2280</v>
      </c>
      <c r="B1471" s="1" t="s">
        <v>1286</v>
      </c>
      <c r="C1471" s="29">
        <v>45825.610791388899</v>
      </c>
      <c r="D1471" s="1" t="s">
        <v>3058</v>
      </c>
      <c r="E1471" s="1" t="s">
        <v>3059</v>
      </c>
      <c r="F1471" s="1">
        <v>2</v>
      </c>
      <c r="G1471" s="12" t="s">
        <v>2140</v>
      </c>
      <c r="H1471" s="1" t="s">
        <v>64</v>
      </c>
      <c r="I1471" s="1" t="s">
        <v>62</v>
      </c>
      <c r="J1471" s="30">
        <v>3868</v>
      </c>
      <c r="K1471" s="30">
        <v>16818.18</v>
      </c>
      <c r="L1471" s="31">
        <v>65052720.240000002</v>
      </c>
      <c r="M1471" s="1" t="s">
        <v>30</v>
      </c>
      <c r="N1471" s="1" t="s">
        <v>17</v>
      </c>
      <c r="O1471" s="1" t="s">
        <v>2057</v>
      </c>
      <c r="P1471" s="1" t="s">
        <v>2056</v>
      </c>
      <c r="Q1471" s="1" t="s">
        <v>875</v>
      </c>
      <c r="R1471" s="1">
        <f t="shared" si="22"/>
        <v>2</v>
      </c>
      <c r="S1471" s="4">
        <f>J1471*K1471*M1471</f>
        <v>6505272.0240000002</v>
      </c>
    </row>
    <row r="1472" spans="1:19" ht="43" hidden="1" customHeight="1">
      <c r="A1472" s="1" t="s">
        <v>2280</v>
      </c>
      <c r="B1472" s="1" t="s">
        <v>180</v>
      </c>
      <c r="C1472" s="29">
        <v>45825.610418472199</v>
      </c>
      <c r="D1472" s="1" t="s">
        <v>3072</v>
      </c>
      <c r="E1472" s="1" t="s">
        <v>3073</v>
      </c>
      <c r="F1472" s="1">
        <v>2</v>
      </c>
      <c r="G1472" s="12" t="s">
        <v>2140</v>
      </c>
      <c r="H1472" s="1" t="s">
        <v>64</v>
      </c>
      <c r="I1472" s="1" t="s">
        <v>62</v>
      </c>
      <c r="J1472" s="30">
        <v>3868</v>
      </c>
      <c r="K1472" s="30">
        <v>16818.18</v>
      </c>
      <c r="L1472" s="31">
        <v>65052720.240000002</v>
      </c>
      <c r="M1472" s="1" t="s">
        <v>30</v>
      </c>
      <c r="N1472" s="1" t="s">
        <v>17</v>
      </c>
      <c r="O1472" s="1" t="s">
        <v>2057</v>
      </c>
      <c r="P1472" s="1" t="s">
        <v>2056</v>
      </c>
      <c r="Q1472" s="1" t="s">
        <v>875</v>
      </c>
      <c r="R1472" s="1">
        <f t="shared" si="22"/>
        <v>2</v>
      </c>
      <c r="S1472" s="4">
        <f>J1472*K1472*M1472</f>
        <v>6505272.0240000002</v>
      </c>
    </row>
    <row r="1473" spans="1:19" ht="43" hidden="1" customHeight="1">
      <c r="A1473" s="1" t="s">
        <v>2280</v>
      </c>
      <c r="B1473" s="1" t="s">
        <v>146</v>
      </c>
      <c r="C1473" s="29">
        <v>45808.4997962384</v>
      </c>
      <c r="D1473" s="1" t="s">
        <v>3058</v>
      </c>
      <c r="E1473" s="1" t="s">
        <v>3059</v>
      </c>
      <c r="F1473" s="1">
        <v>1</v>
      </c>
      <c r="G1473" s="12" t="s">
        <v>2140</v>
      </c>
      <c r="H1473" s="1" t="s">
        <v>64</v>
      </c>
      <c r="I1473" s="1" t="s">
        <v>62</v>
      </c>
      <c r="J1473" s="30">
        <v>251.42</v>
      </c>
      <c r="K1473" s="30">
        <v>23220.799999999999</v>
      </c>
      <c r="L1473" s="31">
        <v>5838173.54</v>
      </c>
      <c r="M1473" s="1" t="s">
        <v>30</v>
      </c>
      <c r="N1473" s="1" t="s">
        <v>17</v>
      </c>
      <c r="O1473" s="1" t="s">
        <v>2057</v>
      </c>
      <c r="P1473" s="1" t="s">
        <v>2056</v>
      </c>
      <c r="Q1473" s="1" t="s">
        <v>36</v>
      </c>
      <c r="R1473" s="1">
        <f t="shared" si="22"/>
        <v>2</v>
      </c>
      <c r="S1473" s="4">
        <f>J1473*K1473*M1473</f>
        <v>583817.35359999991</v>
      </c>
    </row>
    <row r="1474" spans="1:19" ht="43" hidden="1" customHeight="1">
      <c r="A1474" s="1" t="s">
        <v>2280</v>
      </c>
      <c r="B1474" s="1" t="s">
        <v>717</v>
      </c>
      <c r="C1474" s="29">
        <v>45807.729117129602</v>
      </c>
      <c r="D1474" s="1" t="s">
        <v>3052</v>
      </c>
      <c r="E1474" s="1" t="s">
        <v>3053</v>
      </c>
      <c r="F1474" s="1">
        <v>22</v>
      </c>
      <c r="G1474" s="12" t="s">
        <v>2140</v>
      </c>
      <c r="H1474" s="1" t="s">
        <v>64</v>
      </c>
      <c r="I1474" s="1" t="s">
        <v>62</v>
      </c>
      <c r="J1474" s="30">
        <v>1875.98</v>
      </c>
      <c r="K1474" s="30">
        <v>16330.71</v>
      </c>
      <c r="L1474" s="31">
        <v>30636085.350000001</v>
      </c>
      <c r="M1474" s="1" t="s">
        <v>30</v>
      </c>
      <c r="N1474" s="1" t="s">
        <v>17</v>
      </c>
      <c r="O1474" s="1" t="s">
        <v>2057</v>
      </c>
      <c r="P1474" s="1" t="s">
        <v>2056</v>
      </c>
      <c r="Q1474" s="1" t="s">
        <v>925</v>
      </c>
      <c r="R1474" s="1">
        <f t="shared" si="22"/>
        <v>2</v>
      </c>
      <c r="S1474" s="4">
        <f>J1474*K1474*M1474</f>
        <v>3063608.5345799997</v>
      </c>
    </row>
    <row r="1475" spans="1:19" ht="43" hidden="1" customHeight="1">
      <c r="A1475" s="1" t="s">
        <v>2280</v>
      </c>
      <c r="B1475" s="1" t="s">
        <v>136</v>
      </c>
      <c r="C1475" s="29">
        <v>45709.704236689802</v>
      </c>
      <c r="D1475" s="1" t="s">
        <v>3052</v>
      </c>
      <c r="E1475" s="1" t="s">
        <v>3053</v>
      </c>
      <c r="F1475" s="1">
        <v>2</v>
      </c>
      <c r="G1475" s="12" t="s">
        <v>2140</v>
      </c>
      <c r="H1475" s="1" t="s">
        <v>64</v>
      </c>
      <c r="I1475" s="1" t="s">
        <v>62</v>
      </c>
      <c r="J1475" s="30">
        <v>1997</v>
      </c>
      <c r="K1475" s="30">
        <v>17500</v>
      </c>
      <c r="L1475" s="31">
        <v>34947500</v>
      </c>
      <c r="M1475" s="1" t="s">
        <v>30</v>
      </c>
      <c r="N1475" s="1" t="s">
        <v>17</v>
      </c>
      <c r="O1475" s="1" t="s">
        <v>2057</v>
      </c>
      <c r="P1475" s="1" t="s">
        <v>2056</v>
      </c>
      <c r="Q1475" s="1" t="s">
        <v>2040</v>
      </c>
      <c r="R1475" s="1">
        <f t="shared" ref="R1475:R1538" si="23">ROUNDUP(MONTH(Q1475)/3,0)</f>
        <v>1</v>
      </c>
      <c r="S1475" s="4">
        <f>J1475*K1475*M1475</f>
        <v>3494750</v>
      </c>
    </row>
    <row r="1476" spans="1:19" ht="43" hidden="1" customHeight="1">
      <c r="A1476" s="1" t="s">
        <v>2280</v>
      </c>
      <c r="B1476" s="1" t="s">
        <v>25</v>
      </c>
      <c r="C1476" s="29">
        <v>45681.457743611099</v>
      </c>
      <c r="D1476" s="1" t="s">
        <v>3063</v>
      </c>
      <c r="E1476" s="1" t="s">
        <v>3062</v>
      </c>
      <c r="F1476" s="1">
        <v>2</v>
      </c>
      <c r="G1476" s="12" t="s">
        <v>2140</v>
      </c>
      <c r="H1476" s="1" t="s">
        <v>64</v>
      </c>
      <c r="I1476" s="1" t="s">
        <v>62</v>
      </c>
      <c r="J1476" s="30">
        <v>6935.4</v>
      </c>
      <c r="K1476" s="30">
        <v>17500</v>
      </c>
      <c r="L1476" s="31">
        <v>121369500</v>
      </c>
      <c r="M1476" s="1" t="s">
        <v>30</v>
      </c>
      <c r="N1476" s="1" t="s">
        <v>17</v>
      </c>
      <c r="O1476" s="1" t="s">
        <v>2057</v>
      </c>
      <c r="P1476" s="1" t="s">
        <v>2056</v>
      </c>
      <c r="Q1476" s="1" t="s">
        <v>2045</v>
      </c>
      <c r="R1476" s="1">
        <f t="shared" si="23"/>
        <v>1</v>
      </c>
      <c r="S1476" s="4">
        <f>J1476*K1476*M1476</f>
        <v>12136950</v>
      </c>
    </row>
    <row r="1477" spans="1:19" ht="43" hidden="1" customHeight="1">
      <c r="A1477" s="1" t="s">
        <v>2280</v>
      </c>
      <c r="B1477" s="1" t="s">
        <v>1421</v>
      </c>
      <c r="C1477" s="29">
        <v>45864.4410266782</v>
      </c>
      <c r="D1477" s="1" t="s">
        <v>3058</v>
      </c>
      <c r="E1477" s="1" t="s">
        <v>3059</v>
      </c>
      <c r="F1477" s="1">
        <v>6</v>
      </c>
      <c r="G1477" s="12" t="s">
        <v>2140</v>
      </c>
      <c r="H1477" s="1" t="s">
        <v>1787</v>
      </c>
      <c r="I1477" s="1" t="s">
        <v>62</v>
      </c>
      <c r="J1477" s="30">
        <v>676.9</v>
      </c>
      <c r="K1477" s="30">
        <v>18636.36</v>
      </c>
      <c r="L1477" s="31">
        <v>12614952</v>
      </c>
      <c r="M1477" s="1" t="s">
        <v>30</v>
      </c>
      <c r="N1477" s="1" t="s">
        <v>17</v>
      </c>
      <c r="O1477" s="1" t="s">
        <v>2057</v>
      </c>
      <c r="P1477" s="1" t="s">
        <v>2056</v>
      </c>
      <c r="Q1477" s="1" t="s">
        <v>1785</v>
      </c>
      <c r="R1477" s="1">
        <f t="shared" si="23"/>
        <v>3</v>
      </c>
      <c r="S1477" s="4">
        <f>J1477*K1477*M1477</f>
        <v>1261495.2084000001</v>
      </c>
    </row>
    <row r="1478" spans="1:19" ht="43" hidden="1" customHeight="1">
      <c r="A1478" s="1" t="s">
        <v>2072</v>
      </c>
      <c r="B1478" s="1" t="s">
        <v>457</v>
      </c>
      <c r="C1478" s="29">
        <v>46018.477315138902</v>
      </c>
      <c r="D1478" s="1" t="s">
        <v>3052</v>
      </c>
      <c r="E1478" s="1" t="s">
        <v>3053</v>
      </c>
      <c r="F1478" s="1">
        <v>2</v>
      </c>
      <c r="G1478" s="12" t="s">
        <v>2140</v>
      </c>
      <c r="H1478" s="1" t="s">
        <v>1029</v>
      </c>
      <c r="I1478" s="1" t="s">
        <v>62</v>
      </c>
      <c r="J1478" s="30">
        <v>23465</v>
      </c>
      <c r="K1478" s="30">
        <v>17200</v>
      </c>
      <c r="L1478" s="31">
        <v>403598000</v>
      </c>
      <c r="M1478" s="1" t="s">
        <v>30</v>
      </c>
      <c r="N1478" s="1" t="s">
        <v>17</v>
      </c>
      <c r="O1478" s="1" t="s">
        <v>2057</v>
      </c>
      <c r="P1478" s="1" t="s">
        <v>2056</v>
      </c>
      <c r="Q1478" s="1" t="s">
        <v>293</v>
      </c>
      <c r="R1478" s="1">
        <f t="shared" si="23"/>
        <v>4</v>
      </c>
      <c r="S1478" s="4">
        <f>J1478*K1478*M1478</f>
        <v>40359800</v>
      </c>
    </row>
    <row r="1479" spans="1:19" ht="43" hidden="1" customHeight="1">
      <c r="A1479" s="1" t="s">
        <v>2280</v>
      </c>
      <c r="B1479" s="1" t="s">
        <v>1385</v>
      </c>
      <c r="C1479" s="29">
        <v>46007.907636979202</v>
      </c>
      <c r="D1479" s="1" t="s">
        <v>3052</v>
      </c>
      <c r="E1479" s="1" t="s">
        <v>3053</v>
      </c>
      <c r="F1479" s="1">
        <v>1</v>
      </c>
      <c r="G1479" s="12" t="s">
        <v>2140</v>
      </c>
      <c r="H1479" s="1" t="s">
        <v>1029</v>
      </c>
      <c r="I1479" s="1" t="s">
        <v>62</v>
      </c>
      <c r="J1479" s="30">
        <v>6916</v>
      </c>
      <c r="K1479" s="30">
        <v>16900</v>
      </c>
      <c r="L1479" s="31">
        <v>116880400</v>
      </c>
      <c r="M1479" s="1" t="s">
        <v>30</v>
      </c>
      <c r="N1479" s="1" t="s">
        <v>17</v>
      </c>
      <c r="O1479" s="1" t="s">
        <v>2057</v>
      </c>
      <c r="P1479" s="1" t="s">
        <v>2056</v>
      </c>
      <c r="Q1479" s="1" t="s">
        <v>262</v>
      </c>
      <c r="R1479" s="1">
        <f t="shared" si="23"/>
        <v>4</v>
      </c>
      <c r="S1479" s="4">
        <f>J1479*K1479*M1479</f>
        <v>11688040</v>
      </c>
    </row>
    <row r="1480" spans="1:19" ht="43" hidden="1" customHeight="1">
      <c r="A1480" s="1" t="s">
        <v>2280</v>
      </c>
      <c r="B1480" s="1" t="s">
        <v>1401</v>
      </c>
      <c r="C1480" s="29">
        <v>45990.720828530102</v>
      </c>
      <c r="D1480" s="1" t="s">
        <v>3052</v>
      </c>
      <c r="E1480" s="1" t="s">
        <v>3053</v>
      </c>
      <c r="F1480" s="1">
        <v>5</v>
      </c>
      <c r="G1480" s="12" t="s">
        <v>2140</v>
      </c>
      <c r="H1480" s="1" t="s">
        <v>1029</v>
      </c>
      <c r="I1480" s="1" t="s">
        <v>62</v>
      </c>
      <c r="J1480" s="30">
        <v>4816.5</v>
      </c>
      <c r="K1480" s="30">
        <v>17200</v>
      </c>
      <c r="L1480" s="31">
        <v>82843800</v>
      </c>
      <c r="M1480" s="1" t="s">
        <v>30</v>
      </c>
      <c r="N1480" s="1" t="s">
        <v>17</v>
      </c>
      <c r="O1480" s="1" t="s">
        <v>2057</v>
      </c>
      <c r="P1480" s="1" t="s">
        <v>2056</v>
      </c>
      <c r="Q1480" s="1" t="s">
        <v>1531</v>
      </c>
      <c r="R1480" s="1">
        <f t="shared" si="23"/>
        <v>4</v>
      </c>
      <c r="S1480" s="4">
        <f>J1480*K1480*M1480</f>
        <v>8284380</v>
      </c>
    </row>
    <row r="1481" spans="1:19" ht="43" hidden="1" customHeight="1">
      <c r="A1481" s="1" t="s">
        <v>2280</v>
      </c>
      <c r="B1481" s="1" t="s">
        <v>882</v>
      </c>
      <c r="C1481" s="29">
        <v>45989.803104988401</v>
      </c>
      <c r="D1481" s="1" t="s">
        <v>3054</v>
      </c>
      <c r="E1481" s="1" t="s">
        <v>3055</v>
      </c>
      <c r="F1481" s="1">
        <v>3</v>
      </c>
      <c r="G1481" s="12" t="s">
        <v>2140</v>
      </c>
      <c r="H1481" s="1" t="s">
        <v>1029</v>
      </c>
      <c r="I1481" s="1" t="s">
        <v>62</v>
      </c>
      <c r="J1481" s="30">
        <v>741</v>
      </c>
      <c r="K1481" s="30">
        <v>18461.54</v>
      </c>
      <c r="L1481" s="31">
        <v>13680000</v>
      </c>
      <c r="M1481" s="1" t="s">
        <v>30</v>
      </c>
      <c r="N1481" s="1" t="s">
        <v>17</v>
      </c>
      <c r="O1481" s="1" t="s">
        <v>2057</v>
      </c>
      <c r="P1481" s="1" t="s">
        <v>2056</v>
      </c>
      <c r="Q1481" s="1" t="s">
        <v>394</v>
      </c>
      <c r="R1481" s="1">
        <f t="shared" si="23"/>
        <v>4</v>
      </c>
      <c r="S1481" s="4">
        <f>J1481*K1481*M1481</f>
        <v>1368000.1140000001</v>
      </c>
    </row>
    <row r="1482" spans="1:19" ht="43" hidden="1" customHeight="1">
      <c r="A1482" s="1" t="s">
        <v>2280</v>
      </c>
      <c r="B1482" s="1" t="s">
        <v>1405</v>
      </c>
      <c r="C1482" s="29">
        <v>45988.740924270802</v>
      </c>
      <c r="D1482" s="1" t="s">
        <v>3052</v>
      </c>
      <c r="E1482" s="1" t="s">
        <v>3053</v>
      </c>
      <c r="F1482" s="1">
        <v>2</v>
      </c>
      <c r="G1482" s="12" t="s">
        <v>2140</v>
      </c>
      <c r="H1482" s="1" t="s">
        <v>1029</v>
      </c>
      <c r="I1482" s="1" t="s">
        <v>62</v>
      </c>
      <c r="J1482" s="30">
        <v>9880</v>
      </c>
      <c r="K1482" s="30">
        <v>17200</v>
      </c>
      <c r="L1482" s="31">
        <v>169936000</v>
      </c>
      <c r="M1482" s="1" t="s">
        <v>30</v>
      </c>
      <c r="N1482" s="1" t="s">
        <v>17</v>
      </c>
      <c r="O1482" s="1" t="s">
        <v>2057</v>
      </c>
      <c r="P1482" s="1" t="s">
        <v>2056</v>
      </c>
      <c r="Q1482" s="1" t="s">
        <v>416</v>
      </c>
      <c r="R1482" s="1">
        <f t="shared" si="23"/>
        <v>4</v>
      </c>
      <c r="S1482" s="4">
        <f>J1482*K1482*M1482</f>
        <v>16993600</v>
      </c>
    </row>
    <row r="1483" spans="1:19" ht="43" hidden="1" customHeight="1">
      <c r="A1483" s="1" t="s">
        <v>2280</v>
      </c>
      <c r="B1483" s="1" t="s">
        <v>1433</v>
      </c>
      <c r="C1483" s="29">
        <v>45965.444945543997</v>
      </c>
      <c r="D1483" s="1" t="s">
        <v>3052</v>
      </c>
      <c r="E1483" s="1" t="s">
        <v>3053</v>
      </c>
      <c r="F1483" s="1">
        <v>2</v>
      </c>
      <c r="G1483" s="12" t="s">
        <v>2140</v>
      </c>
      <c r="H1483" s="1" t="s">
        <v>1029</v>
      </c>
      <c r="I1483" s="1" t="s">
        <v>62</v>
      </c>
      <c r="J1483" s="30">
        <v>3211</v>
      </c>
      <c r="K1483" s="30">
        <v>16892.216</v>
      </c>
      <c r="L1483" s="31">
        <v>54240906</v>
      </c>
      <c r="M1483" s="1" t="s">
        <v>30</v>
      </c>
      <c r="N1483" s="1" t="s">
        <v>17</v>
      </c>
      <c r="O1483" s="1" t="s">
        <v>2057</v>
      </c>
      <c r="P1483" s="1" t="s">
        <v>2056</v>
      </c>
      <c r="Q1483" s="1" t="s">
        <v>443</v>
      </c>
      <c r="R1483" s="1">
        <f t="shared" si="23"/>
        <v>4</v>
      </c>
      <c r="S1483" s="4">
        <f>J1483*K1483*M1483</f>
        <v>5424090.5575999999</v>
      </c>
    </row>
    <row r="1484" spans="1:19" ht="43" hidden="1" customHeight="1">
      <c r="A1484" s="1" t="s">
        <v>2280</v>
      </c>
      <c r="B1484" s="1" t="s">
        <v>188</v>
      </c>
      <c r="C1484" s="29">
        <v>45928.944600393501</v>
      </c>
      <c r="D1484" s="1" t="s">
        <v>3052</v>
      </c>
      <c r="E1484" s="1" t="s">
        <v>3053</v>
      </c>
      <c r="F1484" s="1">
        <v>22</v>
      </c>
      <c r="G1484" s="12" t="s">
        <v>2140</v>
      </c>
      <c r="H1484" s="1" t="s">
        <v>1029</v>
      </c>
      <c r="I1484" s="1" t="s">
        <v>62</v>
      </c>
      <c r="J1484" s="30">
        <v>8002.8</v>
      </c>
      <c r="K1484" s="30">
        <v>16664.008099999999</v>
      </c>
      <c r="L1484" s="31">
        <v>133358724</v>
      </c>
      <c r="M1484" s="1" t="s">
        <v>30</v>
      </c>
      <c r="N1484" s="1" t="s">
        <v>17</v>
      </c>
      <c r="O1484" s="1" t="s">
        <v>2057</v>
      </c>
      <c r="P1484" s="1" t="s">
        <v>2056</v>
      </c>
      <c r="Q1484" s="1" t="s">
        <v>546</v>
      </c>
      <c r="R1484" s="1">
        <f t="shared" si="23"/>
        <v>3</v>
      </c>
      <c r="S1484" s="4">
        <f>J1484*K1484*M1484</f>
        <v>13335872.402268</v>
      </c>
    </row>
    <row r="1485" spans="1:19" ht="43" hidden="1" customHeight="1">
      <c r="A1485" s="1" t="s">
        <v>2280</v>
      </c>
      <c r="B1485" s="1" t="s">
        <v>1413</v>
      </c>
      <c r="C1485" s="29">
        <v>45889.506525011602</v>
      </c>
      <c r="D1485" s="1" t="s">
        <v>3054</v>
      </c>
      <c r="E1485" s="1" t="s">
        <v>3055</v>
      </c>
      <c r="F1485" s="1">
        <v>2</v>
      </c>
      <c r="G1485" s="12" t="s">
        <v>2140</v>
      </c>
      <c r="H1485" s="1" t="s">
        <v>1029</v>
      </c>
      <c r="I1485" s="1" t="s">
        <v>62</v>
      </c>
      <c r="J1485" s="30">
        <v>889.2</v>
      </c>
      <c r="K1485" s="30">
        <v>18461.538400000001</v>
      </c>
      <c r="L1485" s="31">
        <v>16416000</v>
      </c>
      <c r="M1485" s="1" t="s">
        <v>30</v>
      </c>
      <c r="N1485" s="1" t="s">
        <v>17</v>
      </c>
      <c r="O1485" s="1" t="s">
        <v>2057</v>
      </c>
      <c r="P1485" s="1" t="s">
        <v>2056</v>
      </c>
      <c r="Q1485" s="1" t="s">
        <v>674</v>
      </c>
      <c r="R1485" s="1">
        <f t="shared" si="23"/>
        <v>3</v>
      </c>
      <c r="S1485" s="4">
        <f>J1485*K1485*M1485</f>
        <v>1641599.9945280002</v>
      </c>
    </row>
    <row r="1486" spans="1:19" ht="43" hidden="1" customHeight="1">
      <c r="A1486" s="1" t="s">
        <v>2280</v>
      </c>
      <c r="B1486" s="1" t="s">
        <v>1413</v>
      </c>
      <c r="C1486" s="29">
        <v>45889.506525011602</v>
      </c>
      <c r="D1486" s="1" t="s">
        <v>3054</v>
      </c>
      <c r="E1486" s="1" t="s">
        <v>3055</v>
      </c>
      <c r="F1486" s="1">
        <v>5</v>
      </c>
      <c r="G1486" s="12" t="s">
        <v>2140</v>
      </c>
      <c r="H1486" s="1" t="s">
        <v>1029</v>
      </c>
      <c r="I1486" s="1" t="s">
        <v>62</v>
      </c>
      <c r="J1486" s="30">
        <v>345.8</v>
      </c>
      <c r="K1486" s="30">
        <v>18500</v>
      </c>
      <c r="L1486" s="31">
        <v>6397300</v>
      </c>
      <c r="M1486" s="1" t="s">
        <v>30</v>
      </c>
      <c r="N1486" s="1" t="s">
        <v>17</v>
      </c>
      <c r="O1486" s="1" t="s">
        <v>2057</v>
      </c>
      <c r="P1486" s="1" t="s">
        <v>2056</v>
      </c>
      <c r="Q1486" s="1" t="s">
        <v>674</v>
      </c>
      <c r="R1486" s="1">
        <f t="shared" si="23"/>
        <v>3</v>
      </c>
      <c r="S1486" s="4">
        <f>J1486*K1486*M1486</f>
        <v>639730</v>
      </c>
    </row>
    <row r="1487" spans="1:19" ht="43" hidden="1" customHeight="1">
      <c r="A1487" s="1" t="s">
        <v>2280</v>
      </c>
      <c r="B1487" s="1" t="s">
        <v>178</v>
      </c>
      <c r="C1487" s="29">
        <v>45843.566720439798</v>
      </c>
      <c r="D1487" s="1" t="s">
        <v>3052</v>
      </c>
      <c r="E1487" s="1" t="s">
        <v>3053</v>
      </c>
      <c r="F1487" s="1">
        <v>2</v>
      </c>
      <c r="G1487" s="12" t="s">
        <v>2140</v>
      </c>
      <c r="H1487" s="1" t="s">
        <v>1029</v>
      </c>
      <c r="I1487" s="1" t="s">
        <v>62</v>
      </c>
      <c r="J1487" s="30">
        <v>24897.599999999999</v>
      </c>
      <c r="K1487" s="30">
        <v>15627.53</v>
      </c>
      <c r="L1487" s="31">
        <v>389087990.93000001</v>
      </c>
      <c r="M1487" s="1" t="s">
        <v>30</v>
      </c>
      <c r="N1487" s="1" t="s">
        <v>17</v>
      </c>
      <c r="O1487" s="1" t="s">
        <v>2057</v>
      </c>
      <c r="P1487" s="1" t="s">
        <v>2056</v>
      </c>
      <c r="Q1487" s="1" t="s">
        <v>808</v>
      </c>
      <c r="R1487" s="1">
        <f t="shared" si="23"/>
        <v>3</v>
      </c>
      <c r="S1487" s="4">
        <f>J1487*K1487*M1487</f>
        <v>38908799.092799999</v>
      </c>
    </row>
    <row r="1488" spans="1:19" ht="43" hidden="1" customHeight="1">
      <c r="A1488" s="1" t="s">
        <v>2280</v>
      </c>
      <c r="B1488" s="1" t="s">
        <v>1272</v>
      </c>
      <c r="C1488" s="29">
        <v>45836.414122164402</v>
      </c>
      <c r="D1488" s="1" t="s">
        <v>3052</v>
      </c>
      <c r="E1488" s="1" t="s">
        <v>3053</v>
      </c>
      <c r="F1488" s="1">
        <v>15</v>
      </c>
      <c r="G1488" s="12" t="s">
        <v>2140</v>
      </c>
      <c r="H1488" s="1" t="s">
        <v>1029</v>
      </c>
      <c r="I1488" s="1" t="s">
        <v>62</v>
      </c>
      <c r="J1488" s="30">
        <v>7209.74</v>
      </c>
      <c r="K1488" s="30">
        <v>16818.18</v>
      </c>
      <c r="L1488" s="31">
        <v>121254705.06999999</v>
      </c>
      <c r="M1488" s="1" t="s">
        <v>30</v>
      </c>
      <c r="N1488" s="1" t="s">
        <v>17</v>
      </c>
      <c r="O1488" s="1" t="s">
        <v>2057</v>
      </c>
      <c r="P1488" s="1" t="s">
        <v>2056</v>
      </c>
      <c r="Q1488" s="1" t="s">
        <v>845</v>
      </c>
      <c r="R1488" s="1">
        <f t="shared" si="23"/>
        <v>2</v>
      </c>
      <c r="S1488" s="4">
        <f>J1488*K1488*M1488</f>
        <v>12125470.507320002</v>
      </c>
    </row>
    <row r="1489" spans="1:19" ht="43" hidden="1" customHeight="1">
      <c r="A1489" s="1" t="s">
        <v>2280</v>
      </c>
      <c r="B1489" s="1" t="s">
        <v>1276</v>
      </c>
      <c r="C1489" s="29">
        <v>45831.391818900498</v>
      </c>
      <c r="D1489" s="1" t="s">
        <v>3052</v>
      </c>
      <c r="E1489" s="1" t="s">
        <v>3053</v>
      </c>
      <c r="F1489" s="1">
        <v>2</v>
      </c>
      <c r="G1489" s="12" t="s">
        <v>2140</v>
      </c>
      <c r="H1489" s="1" t="s">
        <v>1029</v>
      </c>
      <c r="I1489" s="1" t="s">
        <v>35</v>
      </c>
      <c r="J1489" s="30">
        <v>5511</v>
      </c>
      <c r="K1489" s="30">
        <v>18062.060000000001</v>
      </c>
      <c r="L1489" s="31">
        <v>99540012.659999996</v>
      </c>
      <c r="M1489" s="1" t="s">
        <v>30</v>
      </c>
      <c r="N1489" s="1" t="s">
        <v>17</v>
      </c>
      <c r="O1489" s="1" t="s">
        <v>2057</v>
      </c>
      <c r="P1489" s="1" t="s">
        <v>2056</v>
      </c>
      <c r="Q1489" s="1" t="s">
        <v>1856</v>
      </c>
      <c r="R1489" s="1">
        <f t="shared" si="23"/>
        <v>2</v>
      </c>
      <c r="S1489" s="4">
        <f>J1489*K1489*M1489</f>
        <v>9954001.2660000008</v>
      </c>
    </row>
    <row r="1490" spans="1:19" ht="43" hidden="1" customHeight="1">
      <c r="A1490" s="1" t="s">
        <v>2280</v>
      </c>
      <c r="B1490" s="1" t="s">
        <v>717</v>
      </c>
      <c r="C1490" s="29">
        <v>45807.729117129602</v>
      </c>
      <c r="D1490" s="1" t="s">
        <v>3052</v>
      </c>
      <c r="E1490" s="1" t="s">
        <v>3053</v>
      </c>
      <c r="F1490" s="1">
        <v>12</v>
      </c>
      <c r="G1490" s="12" t="s">
        <v>2140</v>
      </c>
      <c r="H1490" s="1" t="s">
        <v>1029</v>
      </c>
      <c r="I1490" s="1" t="s">
        <v>62</v>
      </c>
      <c r="J1490" s="30">
        <v>7410</v>
      </c>
      <c r="K1490" s="30">
        <v>16363.64</v>
      </c>
      <c r="L1490" s="31">
        <v>121254572.40000001</v>
      </c>
      <c r="M1490" s="1" t="s">
        <v>30</v>
      </c>
      <c r="N1490" s="1" t="s">
        <v>17</v>
      </c>
      <c r="O1490" s="1" t="s">
        <v>2057</v>
      </c>
      <c r="P1490" s="1" t="s">
        <v>2056</v>
      </c>
      <c r="Q1490" s="1" t="s">
        <v>925</v>
      </c>
      <c r="R1490" s="1">
        <f t="shared" si="23"/>
        <v>2</v>
      </c>
      <c r="S1490" s="4">
        <f>J1490*K1490*M1490</f>
        <v>12125457.24</v>
      </c>
    </row>
    <row r="1491" spans="1:19" ht="43" hidden="1" customHeight="1">
      <c r="A1491" s="1" t="s">
        <v>2280</v>
      </c>
      <c r="B1491" s="1" t="s">
        <v>221</v>
      </c>
      <c r="C1491" s="29">
        <v>45776.500553657403</v>
      </c>
      <c r="D1491" s="1" t="s">
        <v>3052</v>
      </c>
      <c r="E1491" s="1" t="s">
        <v>3053</v>
      </c>
      <c r="F1491" s="1">
        <v>25</v>
      </c>
      <c r="G1491" s="12" t="s">
        <v>2140</v>
      </c>
      <c r="H1491" s="1" t="s">
        <v>1029</v>
      </c>
      <c r="I1491" s="1" t="s">
        <v>62</v>
      </c>
      <c r="J1491" s="30">
        <v>6928.83</v>
      </c>
      <c r="K1491" s="30">
        <v>17500</v>
      </c>
      <c r="L1491" s="31">
        <v>121254525</v>
      </c>
      <c r="M1491" s="1" t="s">
        <v>30</v>
      </c>
      <c r="N1491" s="1" t="s">
        <v>17</v>
      </c>
      <c r="O1491" s="1" t="s">
        <v>2057</v>
      </c>
      <c r="P1491" s="1" t="s">
        <v>2056</v>
      </c>
      <c r="Q1491" s="1" t="s">
        <v>937</v>
      </c>
      <c r="R1491" s="1">
        <f t="shared" si="23"/>
        <v>2</v>
      </c>
      <c r="S1491" s="4">
        <f>J1491*K1491*M1491</f>
        <v>12125452.5</v>
      </c>
    </row>
    <row r="1492" spans="1:19" ht="43" hidden="1" customHeight="1">
      <c r="A1492" s="1" t="s">
        <v>2280</v>
      </c>
      <c r="B1492" s="1" t="s">
        <v>1272</v>
      </c>
      <c r="C1492" s="29">
        <v>45836.414122164402</v>
      </c>
      <c r="D1492" s="1" t="s">
        <v>3052</v>
      </c>
      <c r="E1492" s="1" t="s">
        <v>3053</v>
      </c>
      <c r="F1492" s="1">
        <v>11</v>
      </c>
      <c r="G1492" s="12" t="s">
        <v>2140</v>
      </c>
      <c r="H1492" s="1" t="s">
        <v>1844</v>
      </c>
      <c r="I1492" s="1" t="s">
        <v>62</v>
      </c>
      <c r="J1492" s="30">
        <v>4772.96</v>
      </c>
      <c r="K1492" s="30">
        <v>16818.18</v>
      </c>
      <c r="L1492" s="31">
        <v>80272500.409999996</v>
      </c>
      <c r="M1492" s="1" t="s">
        <v>30</v>
      </c>
      <c r="N1492" s="1" t="s">
        <v>17</v>
      </c>
      <c r="O1492" s="1" t="s">
        <v>2057</v>
      </c>
      <c r="P1492" s="1" t="s">
        <v>2056</v>
      </c>
      <c r="Q1492" s="1" t="s">
        <v>845</v>
      </c>
      <c r="R1492" s="1">
        <f t="shared" si="23"/>
        <v>2</v>
      </c>
      <c r="S1492" s="4">
        <f>J1492*K1492*M1492</f>
        <v>8027250.0412800005</v>
      </c>
    </row>
    <row r="1493" spans="1:19" ht="43" hidden="1" customHeight="1">
      <c r="A1493" s="1" t="s">
        <v>2072</v>
      </c>
      <c r="B1493" s="1" t="s">
        <v>457</v>
      </c>
      <c r="C1493" s="29">
        <v>46018.477315138902</v>
      </c>
      <c r="D1493" s="1" t="s">
        <v>3052</v>
      </c>
      <c r="E1493" s="1" t="s">
        <v>3053</v>
      </c>
      <c r="F1493" s="1">
        <v>1</v>
      </c>
      <c r="G1493" s="12" t="s">
        <v>2140</v>
      </c>
      <c r="H1493" s="1" t="s">
        <v>110</v>
      </c>
      <c r="I1493" s="1" t="s">
        <v>62</v>
      </c>
      <c r="J1493" s="30">
        <v>8918</v>
      </c>
      <c r="K1493" s="30">
        <v>17200</v>
      </c>
      <c r="L1493" s="31">
        <v>153389600</v>
      </c>
      <c r="M1493" s="1" t="s">
        <v>30</v>
      </c>
      <c r="N1493" s="1" t="s">
        <v>17</v>
      </c>
      <c r="O1493" s="1" t="s">
        <v>2057</v>
      </c>
      <c r="P1493" s="1" t="s">
        <v>2056</v>
      </c>
      <c r="Q1493" s="1" t="s">
        <v>293</v>
      </c>
      <c r="R1493" s="1">
        <f t="shared" si="23"/>
        <v>4</v>
      </c>
      <c r="S1493" s="4">
        <f>J1493*K1493*M1493</f>
        <v>15338960</v>
      </c>
    </row>
    <row r="1494" spans="1:19" ht="43" hidden="1" customHeight="1">
      <c r="A1494" s="1" t="s">
        <v>2280</v>
      </c>
      <c r="B1494" s="1" t="s">
        <v>1385</v>
      </c>
      <c r="C1494" s="29">
        <v>46007.907636979202</v>
      </c>
      <c r="D1494" s="1" t="s">
        <v>3052</v>
      </c>
      <c r="E1494" s="1" t="s">
        <v>3053</v>
      </c>
      <c r="F1494" s="1">
        <v>2</v>
      </c>
      <c r="G1494" s="12" t="s">
        <v>2140</v>
      </c>
      <c r="H1494" s="1" t="s">
        <v>110</v>
      </c>
      <c r="I1494" s="1" t="s">
        <v>62</v>
      </c>
      <c r="J1494" s="30">
        <v>1719.9</v>
      </c>
      <c r="K1494" s="30">
        <v>16900</v>
      </c>
      <c r="L1494" s="31">
        <v>29066310</v>
      </c>
      <c r="M1494" s="1" t="s">
        <v>30</v>
      </c>
      <c r="N1494" s="1" t="s">
        <v>17</v>
      </c>
      <c r="O1494" s="1" t="s">
        <v>2057</v>
      </c>
      <c r="P1494" s="1" t="s">
        <v>2056</v>
      </c>
      <c r="Q1494" s="1" t="s">
        <v>262</v>
      </c>
      <c r="R1494" s="1">
        <f t="shared" si="23"/>
        <v>4</v>
      </c>
      <c r="S1494" s="4">
        <f>J1494*K1494*M1494</f>
        <v>2906631</v>
      </c>
    </row>
    <row r="1495" spans="1:19" ht="43" hidden="1" customHeight="1">
      <c r="A1495" s="1" t="s">
        <v>2280</v>
      </c>
      <c r="B1495" s="1" t="s">
        <v>1401</v>
      </c>
      <c r="C1495" s="29">
        <v>45990.720828530102</v>
      </c>
      <c r="D1495" s="1" t="s">
        <v>3052</v>
      </c>
      <c r="E1495" s="1" t="s">
        <v>3053</v>
      </c>
      <c r="F1495" s="1">
        <v>6</v>
      </c>
      <c r="G1495" s="12" t="s">
        <v>2140</v>
      </c>
      <c r="H1495" s="1" t="s">
        <v>110</v>
      </c>
      <c r="I1495" s="1" t="s">
        <v>62</v>
      </c>
      <c r="J1495" s="30">
        <v>6370</v>
      </c>
      <c r="K1495" s="30">
        <v>17200</v>
      </c>
      <c r="L1495" s="31">
        <v>109564000</v>
      </c>
      <c r="M1495" s="1" t="s">
        <v>30</v>
      </c>
      <c r="N1495" s="1" t="s">
        <v>17</v>
      </c>
      <c r="O1495" s="1" t="s">
        <v>2057</v>
      </c>
      <c r="P1495" s="1" t="s">
        <v>2056</v>
      </c>
      <c r="Q1495" s="1" t="s">
        <v>1531</v>
      </c>
      <c r="R1495" s="1">
        <f t="shared" si="23"/>
        <v>4</v>
      </c>
      <c r="S1495" s="4">
        <f>J1495*K1495*M1495</f>
        <v>10956400</v>
      </c>
    </row>
    <row r="1496" spans="1:19" ht="43" hidden="1" customHeight="1">
      <c r="A1496" s="1" t="s">
        <v>2280</v>
      </c>
      <c r="B1496" s="1" t="s">
        <v>1405</v>
      </c>
      <c r="C1496" s="29">
        <v>45988.740924270802</v>
      </c>
      <c r="D1496" s="1" t="s">
        <v>3052</v>
      </c>
      <c r="E1496" s="1" t="s">
        <v>3053</v>
      </c>
      <c r="F1496" s="1">
        <v>1</v>
      </c>
      <c r="G1496" s="12" t="s">
        <v>2140</v>
      </c>
      <c r="H1496" s="1" t="s">
        <v>110</v>
      </c>
      <c r="I1496" s="1" t="s">
        <v>62</v>
      </c>
      <c r="J1496" s="30">
        <v>5096</v>
      </c>
      <c r="K1496" s="30">
        <v>17200</v>
      </c>
      <c r="L1496" s="31">
        <v>87651200</v>
      </c>
      <c r="M1496" s="1" t="s">
        <v>30</v>
      </c>
      <c r="N1496" s="1" t="s">
        <v>17</v>
      </c>
      <c r="O1496" s="1" t="s">
        <v>2057</v>
      </c>
      <c r="P1496" s="1" t="s">
        <v>2056</v>
      </c>
      <c r="Q1496" s="1" t="s">
        <v>416</v>
      </c>
      <c r="R1496" s="1">
        <f t="shared" si="23"/>
        <v>4</v>
      </c>
      <c r="S1496" s="4">
        <f>J1496*K1496*M1496</f>
        <v>8765120</v>
      </c>
    </row>
    <row r="1497" spans="1:19" ht="43" hidden="1" customHeight="1">
      <c r="A1497" s="1" t="s">
        <v>2280</v>
      </c>
      <c r="B1497" s="1" t="s">
        <v>1433</v>
      </c>
      <c r="C1497" s="29">
        <v>45965.444945543997</v>
      </c>
      <c r="D1497" s="1" t="s">
        <v>3052</v>
      </c>
      <c r="E1497" s="1" t="s">
        <v>3053</v>
      </c>
      <c r="F1497" s="1">
        <v>1</v>
      </c>
      <c r="G1497" s="12" t="s">
        <v>2140</v>
      </c>
      <c r="H1497" s="1" t="s">
        <v>110</v>
      </c>
      <c r="I1497" s="1" t="s">
        <v>62</v>
      </c>
      <c r="J1497" s="30">
        <v>7261.8</v>
      </c>
      <c r="K1497" s="30">
        <v>16425.68</v>
      </c>
      <c r="L1497" s="31">
        <v>119280003</v>
      </c>
      <c r="M1497" s="1" t="s">
        <v>30</v>
      </c>
      <c r="N1497" s="1" t="s">
        <v>17</v>
      </c>
      <c r="O1497" s="1" t="s">
        <v>2057</v>
      </c>
      <c r="P1497" s="1" t="s">
        <v>2056</v>
      </c>
      <c r="Q1497" s="1" t="s">
        <v>443</v>
      </c>
      <c r="R1497" s="1">
        <f t="shared" si="23"/>
        <v>4</v>
      </c>
      <c r="S1497" s="4">
        <f>J1497*K1497*M1497</f>
        <v>11928000.3024</v>
      </c>
    </row>
    <row r="1498" spans="1:19" ht="43" hidden="1" customHeight="1">
      <c r="A1498" s="1" t="s">
        <v>2280</v>
      </c>
      <c r="B1498" s="1" t="s">
        <v>1442</v>
      </c>
      <c r="C1498" s="29">
        <v>45960.6594943866</v>
      </c>
      <c r="D1498" s="1" t="s">
        <v>3052</v>
      </c>
      <c r="E1498" s="1" t="s">
        <v>3053</v>
      </c>
      <c r="F1498" s="1">
        <v>9</v>
      </c>
      <c r="G1498" s="12" t="s">
        <v>2140</v>
      </c>
      <c r="H1498" s="1" t="s">
        <v>110</v>
      </c>
      <c r="I1498" s="1" t="s">
        <v>62</v>
      </c>
      <c r="J1498" s="30">
        <v>7223.58</v>
      </c>
      <c r="K1498" s="30">
        <v>17500</v>
      </c>
      <c r="L1498" s="31">
        <v>126412650</v>
      </c>
      <c r="M1498" s="1" t="s">
        <v>30</v>
      </c>
      <c r="N1498" s="1" t="s">
        <v>17</v>
      </c>
      <c r="O1498" s="1" t="s">
        <v>2057</v>
      </c>
      <c r="P1498" s="1" t="s">
        <v>2056</v>
      </c>
      <c r="Q1498" s="1" t="s">
        <v>533</v>
      </c>
      <c r="R1498" s="1">
        <f t="shared" si="23"/>
        <v>4</v>
      </c>
      <c r="S1498" s="4">
        <f>J1498*K1498*M1498</f>
        <v>12641265</v>
      </c>
    </row>
    <row r="1499" spans="1:19" ht="43" hidden="1" customHeight="1">
      <c r="A1499" s="1" t="s">
        <v>2280</v>
      </c>
      <c r="B1499" s="1" t="s">
        <v>82</v>
      </c>
      <c r="C1499" s="29">
        <v>45960.657712604203</v>
      </c>
      <c r="D1499" s="1" t="s">
        <v>3056</v>
      </c>
      <c r="E1499" s="1" t="s">
        <v>3057</v>
      </c>
      <c r="F1499" s="1">
        <v>1</v>
      </c>
      <c r="G1499" s="12" t="s">
        <v>2140</v>
      </c>
      <c r="H1499" s="1" t="s">
        <v>110</v>
      </c>
      <c r="I1499" s="1" t="s">
        <v>62</v>
      </c>
      <c r="J1499" s="30">
        <v>382.2</v>
      </c>
      <c r="K1499" s="30">
        <v>18500</v>
      </c>
      <c r="L1499" s="31">
        <v>7070700</v>
      </c>
      <c r="M1499" s="1" t="s">
        <v>30</v>
      </c>
      <c r="N1499" s="1" t="s">
        <v>17</v>
      </c>
      <c r="O1499" s="1" t="s">
        <v>2057</v>
      </c>
      <c r="P1499" s="1" t="s">
        <v>2056</v>
      </c>
      <c r="Q1499" s="1" t="s">
        <v>533</v>
      </c>
      <c r="R1499" s="1">
        <f t="shared" si="23"/>
        <v>4</v>
      </c>
      <c r="S1499" s="4">
        <f>J1499*K1499*M1499</f>
        <v>707070</v>
      </c>
    </row>
    <row r="1500" spans="1:19" ht="43" hidden="1" customHeight="1">
      <c r="A1500" s="1" t="s">
        <v>2280</v>
      </c>
      <c r="B1500" s="1" t="s">
        <v>1459</v>
      </c>
      <c r="C1500" s="29">
        <v>45933.374858148098</v>
      </c>
      <c r="D1500" s="1" t="s">
        <v>3063</v>
      </c>
      <c r="E1500" s="1" t="s">
        <v>3062</v>
      </c>
      <c r="F1500" s="1">
        <v>2</v>
      </c>
      <c r="G1500" s="12" t="s">
        <v>2140</v>
      </c>
      <c r="H1500" s="1" t="s">
        <v>110</v>
      </c>
      <c r="I1500" s="1" t="s">
        <v>62</v>
      </c>
      <c r="J1500" s="30">
        <v>3822</v>
      </c>
      <c r="K1500" s="30">
        <v>16875.981</v>
      </c>
      <c r="L1500" s="31">
        <v>64500000</v>
      </c>
      <c r="M1500" s="1" t="s">
        <v>30</v>
      </c>
      <c r="N1500" s="1" t="s">
        <v>17</v>
      </c>
      <c r="O1500" s="1" t="s">
        <v>2057</v>
      </c>
      <c r="P1500" s="1" t="s">
        <v>2056</v>
      </c>
      <c r="Q1500" s="1" t="s">
        <v>1591</v>
      </c>
      <c r="R1500" s="1">
        <f t="shared" si="23"/>
        <v>4</v>
      </c>
      <c r="S1500" s="4">
        <f>J1500*K1500*M1500</f>
        <v>6449999.9382000007</v>
      </c>
    </row>
    <row r="1501" spans="1:19" ht="43" hidden="1" customHeight="1">
      <c r="A1501" s="1" t="s">
        <v>2280</v>
      </c>
      <c r="B1501" s="1" t="s">
        <v>188</v>
      </c>
      <c r="C1501" s="29">
        <v>45928.944600393501</v>
      </c>
      <c r="D1501" s="1" t="s">
        <v>3052</v>
      </c>
      <c r="E1501" s="1" t="s">
        <v>3053</v>
      </c>
      <c r="F1501" s="1">
        <v>21</v>
      </c>
      <c r="G1501" s="12" t="s">
        <v>2140</v>
      </c>
      <c r="H1501" s="1" t="s">
        <v>110</v>
      </c>
      <c r="I1501" s="1" t="s">
        <v>62</v>
      </c>
      <c r="J1501" s="30">
        <v>3983.37</v>
      </c>
      <c r="K1501" s="30">
        <v>17119.088</v>
      </c>
      <c r="L1501" s="31">
        <v>68191662</v>
      </c>
      <c r="M1501" s="1" t="s">
        <v>30</v>
      </c>
      <c r="N1501" s="1" t="s">
        <v>17</v>
      </c>
      <c r="O1501" s="1" t="s">
        <v>2057</v>
      </c>
      <c r="P1501" s="1" t="s">
        <v>2056</v>
      </c>
      <c r="Q1501" s="1" t="s">
        <v>546</v>
      </c>
      <c r="R1501" s="1">
        <f t="shared" si="23"/>
        <v>3</v>
      </c>
      <c r="S1501" s="4">
        <f>J1501*K1501*M1501</f>
        <v>6819166.1566560008</v>
      </c>
    </row>
    <row r="1502" spans="1:19" ht="43" hidden="1" customHeight="1">
      <c r="A1502" s="1" t="s">
        <v>2280</v>
      </c>
      <c r="B1502" s="1" t="s">
        <v>1143</v>
      </c>
      <c r="C1502" s="29">
        <v>45926.638938830998</v>
      </c>
      <c r="D1502" s="1" t="s">
        <v>3056</v>
      </c>
      <c r="E1502" s="1" t="s">
        <v>3057</v>
      </c>
      <c r="F1502" s="1">
        <v>1</v>
      </c>
      <c r="G1502" s="12" t="s">
        <v>2140</v>
      </c>
      <c r="H1502" s="1" t="s">
        <v>110</v>
      </c>
      <c r="I1502" s="1" t="s">
        <v>62</v>
      </c>
      <c r="J1502" s="30">
        <v>2267.7199999999998</v>
      </c>
      <c r="K1502" s="30">
        <v>18500</v>
      </c>
      <c r="L1502" s="31">
        <v>41952820</v>
      </c>
      <c r="M1502" s="1" t="s">
        <v>30</v>
      </c>
      <c r="N1502" s="1" t="s">
        <v>17</v>
      </c>
      <c r="O1502" s="1" t="s">
        <v>2057</v>
      </c>
      <c r="P1502" s="1" t="s">
        <v>2056</v>
      </c>
      <c r="Q1502" s="1" t="s">
        <v>558</v>
      </c>
      <c r="R1502" s="1">
        <f t="shared" si="23"/>
        <v>3</v>
      </c>
      <c r="S1502" s="4">
        <f>J1502*K1502*M1502</f>
        <v>4195282</v>
      </c>
    </row>
    <row r="1503" spans="1:19" ht="43" hidden="1" customHeight="1">
      <c r="A1503" s="1" t="s">
        <v>2280</v>
      </c>
      <c r="B1503" s="1" t="s">
        <v>1471</v>
      </c>
      <c r="C1503" s="29">
        <v>45910.438682407403</v>
      </c>
      <c r="D1503" s="1" t="s">
        <v>3052</v>
      </c>
      <c r="E1503" s="1" t="s">
        <v>3053</v>
      </c>
      <c r="F1503" s="1">
        <v>1</v>
      </c>
      <c r="G1503" s="12" t="s">
        <v>2140</v>
      </c>
      <c r="H1503" s="1" t="s">
        <v>110</v>
      </c>
      <c r="I1503" s="1" t="s">
        <v>62</v>
      </c>
      <c r="J1503" s="30">
        <v>764.4</v>
      </c>
      <c r="K1503" s="30">
        <v>16363.64</v>
      </c>
      <c r="L1503" s="31">
        <v>12508366</v>
      </c>
      <c r="M1503" s="1" t="s">
        <v>30</v>
      </c>
      <c r="N1503" s="1" t="s">
        <v>17</v>
      </c>
      <c r="O1503" s="1" t="s">
        <v>2057</v>
      </c>
      <c r="P1503" s="1" t="s">
        <v>2056</v>
      </c>
      <c r="Q1503" s="1" t="s">
        <v>1652</v>
      </c>
      <c r="R1503" s="1">
        <f t="shared" si="23"/>
        <v>3</v>
      </c>
      <c r="S1503" s="4">
        <f>J1503*K1503*M1503</f>
        <v>1250836.6416</v>
      </c>
    </row>
    <row r="1504" spans="1:19" ht="43" hidden="1" customHeight="1">
      <c r="A1504" s="1" t="s">
        <v>2280</v>
      </c>
      <c r="B1504" s="1" t="s">
        <v>1157</v>
      </c>
      <c r="C1504" s="29">
        <v>45879.701586655101</v>
      </c>
      <c r="D1504" s="1" t="s">
        <v>3052</v>
      </c>
      <c r="E1504" s="1" t="s">
        <v>3053</v>
      </c>
      <c r="F1504" s="1">
        <v>1</v>
      </c>
      <c r="G1504" s="12" t="s">
        <v>2140</v>
      </c>
      <c r="H1504" s="1" t="s">
        <v>110</v>
      </c>
      <c r="I1504" s="1" t="s">
        <v>62</v>
      </c>
      <c r="J1504" s="30">
        <v>2548</v>
      </c>
      <c r="K1504" s="30">
        <v>16363.636</v>
      </c>
      <c r="L1504" s="31">
        <v>41694545</v>
      </c>
      <c r="M1504" s="1" t="s">
        <v>30</v>
      </c>
      <c r="N1504" s="1" t="s">
        <v>17</v>
      </c>
      <c r="O1504" s="1" t="s">
        <v>2057</v>
      </c>
      <c r="P1504" s="1" t="s">
        <v>2056</v>
      </c>
      <c r="Q1504" s="1" t="s">
        <v>1745</v>
      </c>
      <c r="R1504" s="1">
        <f t="shared" si="23"/>
        <v>3</v>
      </c>
      <c r="S1504" s="4">
        <f>J1504*K1504*M1504</f>
        <v>4169454.4528000006</v>
      </c>
    </row>
    <row r="1505" spans="1:19" ht="43" hidden="1" customHeight="1">
      <c r="A1505" s="1" t="s">
        <v>2280</v>
      </c>
      <c r="B1505" s="1" t="s">
        <v>137</v>
      </c>
      <c r="C1505" s="29">
        <v>45868.572525138901</v>
      </c>
      <c r="D1505" s="1" t="s">
        <v>3056</v>
      </c>
      <c r="E1505" s="1" t="s">
        <v>3057</v>
      </c>
      <c r="F1505" s="1">
        <v>5</v>
      </c>
      <c r="G1505" s="12" t="s">
        <v>2140</v>
      </c>
      <c r="H1505" s="1" t="s">
        <v>110</v>
      </c>
      <c r="I1505" s="1" t="s">
        <v>62</v>
      </c>
      <c r="J1505" s="30">
        <v>891.8</v>
      </c>
      <c r="K1505" s="30">
        <v>18500</v>
      </c>
      <c r="L1505" s="31">
        <v>16498300</v>
      </c>
      <c r="M1505" s="1" t="s">
        <v>30</v>
      </c>
      <c r="N1505" s="1" t="s">
        <v>17</v>
      </c>
      <c r="O1505" s="1" t="s">
        <v>2057</v>
      </c>
      <c r="P1505" s="1" t="s">
        <v>2056</v>
      </c>
      <c r="Q1505" s="1" t="s">
        <v>800</v>
      </c>
      <c r="R1505" s="1">
        <f t="shared" si="23"/>
        <v>3</v>
      </c>
      <c r="S1505" s="4">
        <f>J1505*K1505*M1505</f>
        <v>1649830</v>
      </c>
    </row>
    <row r="1506" spans="1:19" ht="43" hidden="1" customHeight="1">
      <c r="A1506" s="1" t="s">
        <v>2280</v>
      </c>
      <c r="B1506" s="1" t="s">
        <v>1419</v>
      </c>
      <c r="C1506" s="29">
        <v>45866.749486990702</v>
      </c>
      <c r="D1506" s="1" t="s">
        <v>3052</v>
      </c>
      <c r="E1506" s="1" t="s">
        <v>3053</v>
      </c>
      <c r="F1506" s="1">
        <v>15</v>
      </c>
      <c r="G1506" s="12" t="s">
        <v>2140</v>
      </c>
      <c r="H1506" s="1" t="s">
        <v>110</v>
      </c>
      <c r="I1506" s="1" t="s">
        <v>62</v>
      </c>
      <c r="J1506" s="30">
        <v>5945.33</v>
      </c>
      <c r="K1506" s="30">
        <v>16819.09</v>
      </c>
      <c r="L1506" s="31">
        <v>99995040</v>
      </c>
      <c r="M1506" s="1" t="s">
        <v>30</v>
      </c>
      <c r="N1506" s="1" t="s">
        <v>17</v>
      </c>
      <c r="O1506" s="1" t="s">
        <v>2057</v>
      </c>
      <c r="P1506" s="1" t="s">
        <v>2056</v>
      </c>
      <c r="Q1506" s="1" t="s">
        <v>1763</v>
      </c>
      <c r="R1506" s="1">
        <f t="shared" si="23"/>
        <v>3</v>
      </c>
      <c r="S1506" s="4">
        <f>J1506*K1506*M1506</f>
        <v>9999504.0349700004</v>
      </c>
    </row>
    <row r="1507" spans="1:19" ht="43" hidden="1" customHeight="1">
      <c r="A1507" s="1" t="s">
        <v>2280</v>
      </c>
      <c r="B1507" s="1" t="s">
        <v>1421</v>
      </c>
      <c r="C1507" s="29">
        <v>45864.4410266782</v>
      </c>
      <c r="D1507" s="1" t="s">
        <v>3058</v>
      </c>
      <c r="E1507" s="1" t="s">
        <v>3059</v>
      </c>
      <c r="F1507" s="1">
        <v>4</v>
      </c>
      <c r="G1507" s="12" t="s">
        <v>2140</v>
      </c>
      <c r="H1507" s="1" t="s">
        <v>110</v>
      </c>
      <c r="I1507" s="1" t="s">
        <v>62</v>
      </c>
      <c r="J1507" s="30">
        <v>13198.64</v>
      </c>
      <c r="K1507" s="30">
        <v>16818.18</v>
      </c>
      <c r="L1507" s="31">
        <v>221977103</v>
      </c>
      <c r="M1507" s="1" t="s">
        <v>30</v>
      </c>
      <c r="N1507" s="1" t="s">
        <v>17</v>
      </c>
      <c r="O1507" s="1" t="s">
        <v>2057</v>
      </c>
      <c r="P1507" s="1" t="s">
        <v>2056</v>
      </c>
      <c r="Q1507" s="1" t="s">
        <v>1785</v>
      </c>
      <c r="R1507" s="1">
        <f t="shared" si="23"/>
        <v>3</v>
      </c>
      <c r="S1507" s="4">
        <f>J1507*K1507*M1507</f>
        <v>22197710.327519998</v>
      </c>
    </row>
    <row r="1508" spans="1:19" ht="43" hidden="1" customHeight="1">
      <c r="A1508" s="1" t="s">
        <v>2280</v>
      </c>
      <c r="B1508" s="1" t="s">
        <v>163</v>
      </c>
      <c r="C1508" s="29">
        <v>45852.403095567097</v>
      </c>
      <c r="D1508" s="1" t="s">
        <v>3063</v>
      </c>
      <c r="E1508" s="1" t="s">
        <v>3062</v>
      </c>
      <c r="F1508" s="1">
        <v>1</v>
      </c>
      <c r="G1508" s="12" t="s">
        <v>2140</v>
      </c>
      <c r="H1508" s="1" t="s">
        <v>110</v>
      </c>
      <c r="I1508" s="1" t="s">
        <v>62</v>
      </c>
      <c r="J1508" s="30">
        <v>6370</v>
      </c>
      <c r="K1508" s="30">
        <v>16365.78</v>
      </c>
      <c r="L1508" s="31">
        <v>104250018.59999999</v>
      </c>
      <c r="M1508" s="1" t="s">
        <v>30</v>
      </c>
      <c r="N1508" s="1" t="s">
        <v>17</v>
      </c>
      <c r="O1508" s="1" t="s">
        <v>2057</v>
      </c>
      <c r="P1508" s="1" t="s">
        <v>2056</v>
      </c>
      <c r="Q1508" s="1" t="s">
        <v>1799</v>
      </c>
      <c r="R1508" s="1">
        <f t="shared" si="23"/>
        <v>3</v>
      </c>
      <c r="S1508" s="4">
        <f>J1508*K1508*M1508</f>
        <v>10425001.860000001</v>
      </c>
    </row>
    <row r="1509" spans="1:19" ht="43" hidden="1" customHeight="1">
      <c r="A1509" s="1" t="s">
        <v>2280</v>
      </c>
      <c r="B1509" s="1" t="s">
        <v>178</v>
      </c>
      <c r="C1509" s="29">
        <v>45843.566720439798</v>
      </c>
      <c r="D1509" s="1" t="s">
        <v>3052</v>
      </c>
      <c r="E1509" s="1" t="s">
        <v>3053</v>
      </c>
      <c r="F1509" s="1">
        <v>1</v>
      </c>
      <c r="G1509" s="12" t="s">
        <v>2140</v>
      </c>
      <c r="H1509" s="1" t="s">
        <v>110</v>
      </c>
      <c r="I1509" s="1" t="s">
        <v>62</v>
      </c>
      <c r="J1509" s="30">
        <v>25480</v>
      </c>
      <c r="K1509" s="30">
        <v>15777.08</v>
      </c>
      <c r="L1509" s="31">
        <v>401999998.39999998</v>
      </c>
      <c r="M1509" s="1" t="s">
        <v>30</v>
      </c>
      <c r="N1509" s="1" t="s">
        <v>17</v>
      </c>
      <c r="O1509" s="1" t="s">
        <v>2057</v>
      </c>
      <c r="P1509" s="1" t="s">
        <v>2056</v>
      </c>
      <c r="Q1509" s="1" t="s">
        <v>808</v>
      </c>
      <c r="R1509" s="1">
        <f t="shared" si="23"/>
        <v>3</v>
      </c>
      <c r="S1509" s="4">
        <f>J1509*K1509*M1509</f>
        <v>40199999.839999996</v>
      </c>
    </row>
    <row r="1510" spans="1:19" ht="43" hidden="1" customHeight="1">
      <c r="A1510" s="1" t="s">
        <v>2280</v>
      </c>
      <c r="B1510" s="1" t="s">
        <v>1276</v>
      </c>
      <c r="C1510" s="29">
        <v>45831.391818900498</v>
      </c>
      <c r="D1510" s="1" t="s">
        <v>3052</v>
      </c>
      <c r="E1510" s="1" t="s">
        <v>3053</v>
      </c>
      <c r="F1510" s="1">
        <v>1</v>
      </c>
      <c r="G1510" s="12" t="s">
        <v>2140</v>
      </c>
      <c r="H1510" s="1" t="s">
        <v>110</v>
      </c>
      <c r="I1510" s="1" t="s">
        <v>35</v>
      </c>
      <c r="J1510" s="30">
        <v>6084</v>
      </c>
      <c r="K1510" s="30">
        <v>18161.57</v>
      </c>
      <c r="L1510" s="31">
        <v>110494991.88</v>
      </c>
      <c r="M1510" s="1" t="s">
        <v>30</v>
      </c>
      <c r="N1510" s="1" t="s">
        <v>17</v>
      </c>
      <c r="O1510" s="1" t="s">
        <v>2057</v>
      </c>
      <c r="P1510" s="1" t="s">
        <v>2056</v>
      </c>
      <c r="Q1510" s="1" t="s">
        <v>1856</v>
      </c>
      <c r="R1510" s="1">
        <f t="shared" si="23"/>
        <v>2</v>
      </c>
      <c r="S1510" s="4">
        <f>J1510*K1510*M1510</f>
        <v>11049499.188000001</v>
      </c>
    </row>
    <row r="1511" spans="1:19" ht="43" hidden="1" customHeight="1">
      <c r="A1511" s="1" t="s">
        <v>2280</v>
      </c>
      <c r="B1511" s="1" t="s">
        <v>1126</v>
      </c>
      <c r="C1511" s="29">
        <v>45826.433636481503</v>
      </c>
      <c r="D1511" s="1" t="s">
        <v>3058</v>
      </c>
      <c r="E1511" s="1" t="s">
        <v>3059</v>
      </c>
      <c r="F1511" s="1">
        <v>2</v>
      </c>
      <c r="G1511" s="12" t="s">
        <v>2140</v>
      </c>
      <c r="H1511" s="1" t="s">
        <v>110</v>
      </c>
      <c r="I1511" s="1" t="s">
        <v>62</v>
      </c>
      <c r="J1511" s="30">
        <v>509.6</v>
      </c>
      <c r="K1511" s="30">
        <v>16818.18</v>
      </c>
      <c r="L1511" s="31">
        <v>8570544.5299999993</v>
      </c>
      <c r="M1511" s="1" t="s">
        <v>30</v>
      </c>
      <c r="N1511" s="1" t="s">
        <v>17</v>
      </c>
      <c r="O1511" s="1" t="s">
        <v>2057</v>
      </c>
      <c r="P1511" s="1" t="s">
        <v>2056</v>
      </c>
      <c r="Q1511" s="1" t="s">
        <v>863</v>
      </c>
      <c r="R1511" s="1">
        <f t="shared" si="23"/>
        <v>2</v>
      </c>
      <c r="S1511" s="4">
        <f>J1511*K1511*M1511</f>
        <v>857054.45280000009</v>
      </c>
    </row>
    <row r="1512" spans="1:19" ht="43" hidden="1" customHeight="1">
      <c r="A1512" s="1" t="s">
        <v>2280</v>
      </c>
      <c r="B1512" s="1" t="s">
        <v>1286</v>
      </c>
      <c r="C1512" s="29">
        <v>45825.610791388899</v>
      </c>
      <c r="D1512" s="1" t="s">
        <v>3058</v>
      </c>
      <c r="E1512" s="1" t="s">
        <v>3059</v>
      </c>
      <c r="F1512" s="1">
        <v>1</v>
      </c>
      <c r="G1512" s="12" t="s">
        <v>2140</v>
      </c>
      <c r="H1512" s="1" t="s">
        <v>110</v>
      </c>
      <c r="I1512" s="1" t="s">
        <v>62</v>
      </c>
      <c r="J1512" s="30">
        <v>10192</v>
      </c>
      <c r="K1512" s="30">
        <v>16818.18</v>
      </c>
      <c r="L1512" s="31">
        <v>171410890.56</v>
      </c>
      <c r="M1512" s="1" t="s">
        <v>30</v>
      </c>
      <c r="N1512" s="1" t="s">
        <v>17</v>
      </c>
      <c r="O1512" s="1" t="s">
        <v>2057</v>
      </c>
      <c r="P1512" s="1" t="s">
        <v>2056</v>
      </c>
      <c r="Q1512" s="1" t="s">
        <v>875</v>
      </c>
      <c r="R1512" s="1">
        <f t="shared" si="23"/>
        <v>2</v>
      </c>
      <c r="S1512" s="4">
        <f>J1512*K1512*M1512</f>
        <v>17141089.056000002</v>
      </c>
    </row>
    <row r="1513" spans="1:19" ht="43" hidden="1" customHeight="1">
      <c r="A1513" s="1" t="s">
        <v>2280</v>
      </c>
      <c r="B1513" s="1" t="s">
        <v>180</v>
      </c>
      <c r="C1513" s="29">
        <v>45825.610418472199</v>
      </c>
      <c r="D1513" s="1" t="s">
        <v>3072</v>
      </c>
      <c r="E1513" s="1" t="s">
        <v>3073</v>
      </c>
      <c r="F1513" s="1">
        <v>1</v>
      </c>
      <c r="G1513" s="12" t="s">
        <v>2140</v>
      </c>
      <c r="H1513" s="1" t="s">
        <v>110</v>
      </c>
      <c r="I1513" s="1" t="s">
        <v>62</v>
      </c>
      <c r="J1513" s="30">
        <v>2548</v>
      </c>
      <c r="K1513" s="30">
        <v>16818.18</v>
      </c>
      <c r="L1513" s="31">
        <v>42852722.640000001</v>
      </c>
      <c r="M1513" s="1" t="s">
        <v>30</v>
      </c>
      <c r="N1513" s="1" t="s">
        <v>17</v>
      </c>
      <c r="O1513" s="1" t="s">
        <v>2057</v>
      </c>
      <c r="P1513" s="1" t="s">
        <v>2056</v>
      </c>
      <c r="Q1513" s="1" t="s">
        <v>875</v>
      </c>
      <c r="R1513" s="1">
        <f t="shared" si="23"/>
        <v>2</v>
      </c>
      <c r="S1513" s="4">
        <f>J1513*K1513*M1513</f>
        <v>4285272.2640000004</v>
      </c>
    </row>
    <row r="1514" spans="1:19" ht="43" hidden="1" customHeight="1">
      <c r="A1514" s="1" t="s">
        <v>2280</v>
      </c>
      <c r="B1514" s="1" t="s">
        <v>1294</v>
      </c>
      <c r="C1514" s="29">
        <v>45808.709792268499</v>
      </c>
      <c r="D1514" s="1" t="s">
        <v>3052</v>
      </c>
      <c r="E1514" s="1" t="s">
        <v>3053</v>
      </c>
      <c r="F1514" s="1">
        <v>9</v>
      </c>
      <c r="G1514" s="12" t="s">
        <v>2140</v>
      </c>
      <c r="H1514" s="1" t="s">
        <v>110</v>
      </c>
      <c r="I1514" s="1" t="s">
        <v>62</v>
      </c>
      <c r="J1514" s="30">
        <v>394.21</v>
      </c>
      <c r="K1514" s="30">
        <v>17500</v>
      </c>
      <c r="L1514" s="31">
        <v>6898675</v>
      </c>
      <c r="M1514" s="1" t="s">
        <v>30</v>
      </c>
      <c r="N1514" s="1" t="s">
        <v>17</v>
      </c>
      <c r="O1514" s="1" t="s">
        <v>2057</v>
      </c>
      <c r="P1514" s="1" t="s">
        <v>2056</v>
      </c>
      <c r="Q1514" s="1" t="s">
        <v>36</v>
      </c>
      <c r="R1514" s="1">
        <f t="shared" si="23"/>
        <v>2</v>
      </c>
      <c r="S1514" s="4">
        <f>J1514*K1514*M1514</f>
        <v>689867.5</v>
      </c>
    </row>
    <row r="1515" spans="1:19" ht="43" hidden="1" customHeight="1">
      <c r="A1515" s="1" t="s">
        <v>2280</v>
      </c>
      <c r="B1515" s="1" t="s">
        <v>20</v>
      </c>
      <c r="C1515" s="29">
        <v>45808.631850034697</v>
      </c>
      <c r="D1515" s="1" t="s">
        <v>3052</v>
      </c>
      <c r="E1515" s="1" t="s">
        <v>3053</v>
      </c>
      <c r="F1515" s="1">
        <v>1</v>
      </c>
      <c r="G1515" s="12" t="s">
        <v>2140</v>
      </c>
      <c r="H1515" s="1" t="s">
        <v>110</v>
      </c>
      <c r="I1515" s="1" t="s">
        <v>62</v>
      </c>
      <c r="J1515" s="30">
        <v>2930.2</v>
      </c>
      <c r="K1515" s="30">
        <v>16365.78</v>
      </c>
      <c r="L1515" s="31">
        <v>47955008.560000002</v>
      </c>
      <c r="M1515" s="1" t="s">
        <v>30</v>
      </c>
      <c r="N1515" s="1" t="s">
        <v>17</v>
      </c>
      <c r="O1515" s="1" t="s">
        <v>2057</v>
      </c>
      <c r="P1515" s="1" t="s">
        <v>2056</v>
      </c>
      <c r="Q1515" s="1" t="s">
        <v>36</v>
      </c>
      <c r="R1515" s="1">
        <f t="shared" si="23"/>
        <v>2</v>
      </c>
      <c r="S1515" s="4">
        <f>J1515*K1515*M1515</f>
        <v>4795500.8556000004</v>
      </c>
    </row>
    <row r="1516" spans="1:19" ht="43" hidden="1" customHeight="1">
      <c r="A1516" s="1" t="s">
        <v>2280</v>
      </c>
      <c r="B1516" s="1" t="s">
        <v>1303</v>
      </c>
      <c r="C1516" s="29">
        <v>45786.672059513898</v>
      </c>
      <c r="D1516" s="1" t="s">
        <v>3063</v>
      </c>
      <c r="E1516" s="1" t="s">
        <v>3062</v>
      </c>
      <c r="F1516" s="1">
        <v>1</v>
      </c>
      <c r="G1516" s="12" t="s">
        <v>2140</v>
      </c>
      <c r="H1516" s="1" t="s">
        <v>110</v>
      </c>
      <c r="I1516" s="1" t="s">
        <v>62</v>
      </c>
      <c r="J1516" s="30">
        <v>1274</v>
      </c>
      <c r="K1516" s="30">
        <v>16365.78</v>
      </c>
      <c r="L1516" s="31">
        <v>20850003.719999999</v>
      </c>
      <c r="M1516" s="1" t="s">
        <v>30</v>
      </c>
      <c r="N1516" s="1" t="s">
        <v>17</v>
      </c>
      <c r="O1516" s="1" t="s">
        <v>2057</v>
      </c>
      <c r="P1516" s="1" t="s">
        <v>2056</v>
      </c>
      <c r="Q1516" s="1" t="s">
        <v>933</v>
      </c>
      <c r="R1516" s="1">
        <f t="shared" si="23"/>
        <v>2</v>
      </c>
      <c r="S1516" s="4">
        <f>J1516*K1516*M1516</f>
        <v>2085000.3720000004</v>
      </c>
    </row>
    <row r="1517" spans="1:19" ht="43" hidden="1" customHeight="1">
      <c r="A1517" s="1" t="s">
        <v>2280</v>
      </c>
      <c r="B1517" s="1" t="s">
        <v>221</v>
      </c>
      <c r="C1517" s="29">
        <v>45776.500553657403</v>
      </c>
      <c r="D1517" s="1" t="s">
        <v>3052</v>
      </c>
      <c r="E1517" s="1" t="s">
        <v>3053</v>
      </c>
      <c r="F1517" s="1">
        <v>21</v>
      </c>
      <c r="G1517" s="12" t="s">
        <v>2140</v>
      </c>
      <c r="H1517" s="1" t="s">
        <v>110</v>
      </c>
      <c r="I1517" s="1" t="s">
        <v>62</v>
      </c>
      <c r="J1517" s="30">
        <v>5956.4</v>
      </c>
      <c r="K1517" s="30">
        <v>17500</v>
      </c>
      <c r="L1517" s="31">
        <v>104237000</v>
      </c>
      <c r="M1517" s="1" t="s">
        <v>30</v>
      </c>
      <c r="N1517" s="1" t="s">
        <v>17</v>
      </c>
      <c r="O1517" s="1" t="s">
        <v>2057</v>
      </c>
      <c r="P1517" s="1" t="s">
        <v>2056</v>
      </c>
      <c r="Q1517" s="1" t="s">
        <v>937</v>
      </c>
      <c r="R1517" s="1">
        <f t="shared" si="23"/>
        <v>2</v>
      </c>
      <c r="S1517" s="4">
        <f>J1517*K1517*M1517</f>
        <v>10423700</v>
      </c>
    </row>
    <row r="1518" spans="1:19" ht="43" hidden="1" customHeight="1">
      <c r="A1518" s="1" t="s">
        <v>2280</v>
      </c>
      <c r="B1518" s="1" t="s">
        <v>194</v>
      </c>
      <c r="C1518" s="29">
        <v>45747.667547175901</v>
      </c>
      <c r="D1518" s="1" t="s">
        <v>3071</v>
      </c>
      <c r="E1518" s="1" t="s">
        <v>3053</v>
      </c>
      <c r="F1518" s="1">
        <v>14</v>
      </c>
      <c r="G1518" s="12" t="s">
        <v>2140</v>
      </c>
      <c r="H1518" s="1" t="s">
        <v>110</v>
      </c>
      <c r="I1518" s="1" t="s">
        <v>62</v>
      </c>
      <c r="J1518" s="30">
        <v>4765.72</v>
      </c>
      <c r="K1518" s="30">
        <v>17500</v>
      </c>
      <c r="L1518" s="31">
        <v>83400100</v>
      </c>
      <c r="M1518" s="1" t="s">
        <v>30</v>
      </c>
      <c r="N1518" s="1" t="s">
        <v>17</v>
      </c>
      <c r="O1518" s="1" t="s">
        <v>2057</v>
      </c>
      <c r="P1518" s="1" t="s">
        <v>2056</v>
      </c>
      <c r="Q1518" s="1" t="s">
        <v>42</v>
      </c>
      <c r="R1518" s="1">
        <f t="shared" si="23"/>
        <v>1</v>
      </c>
      <c r="S1518" s="4">
        <f>J1518*K1518*M1518</f>
        <v>8340010</v>
      </c>
    </row>
    <row r="1519" spans="1:19" ht="43" hidden="1" customHeight="1">
      <c r="A1519" s="1" t="s">
        <v>2280</v>
      </c>
      <c r="B1519" s="1" t="s">
        <v>97</v>
      </c>
      <c r="C1519" s="29">
        <v>45709.341472835702</v>
      </c>
      <c r="D1519" s="1" t="s">
        <v>3063</v>
      </c>
      <c r="E1519" s="1" t="s">
        <v>3062</v>
      </c>
      <c r="F1519" s="1">
        <v>1</v>
      </c>
      <c r="G1519" s="12" t="s">
        <v>2140</v>
      </c>
      <c r="H1519" s="1" t="s">
        <v>110</v>
      </c>
      <c r="I1519" s="1" t="s">
        <v>62</v>
      </c>
      <c r="J1519" s="30">
        <v>1274</v>
      </c>
      <c r="K1519" s="30">
        <v>16326.5</v>
      </c>
      <c r="L1519" s="31">
        <v>20799961</v>
      </c>
      <c r="M1519" s="1" t="s">
        <v>30</v>
      </c>
      <c r="N1519" s="1" t="s">
        <v>17</v>
      </c>
      <c r="O1519" s="1" t="s">
        <v>2057</v>
      </c>
      <c r="P1519" s="1" t="s">
        <v>2056</v>
      </c>
      <c r="Q1519" s="1" t="s">
        <v>2040</v>
      </c>
      <c r="R1519" s="1">
        <f t="shared" si="23"/>
        <v>1</v>
      </c>
      <c r="S1519" s="4">
        <f>J1519*K1519*M1519</f>
        <v>2079996.1</v>
      </c>
    </row>
    <row r="1520" spans="1:19" ht="43" hidden="1" customHeight="1">
      <c r="A1520" s="1" t="s">
        <v>2280</v>
      </c>
      <c r="B1520" s="1" t="s">
        <v>1313</v>
      </c>
      <c r="C1520" s="29">
        <v>45706.4589159838</v>
      </c>
      <c r="D1520" s="1" t="s">
        <v>3063</v>
      </c>
      <c r="E1520" s="1" t="s">
        <v>3062</v>
      </c>
      <c r="F1520" s="1">
        <v>1</v>
      </c>
      <c r="G1520" s="12" t="s">
        <v>2140</v>
      </c>
      <c r="H1520" s="1" t="s">
        <v>110</v>
      </c>
      <c r="I1520" s="1" t="s">
        <v>62</v>
      </c>
      <c r="J1520" s="30">
        <v>1274</v>
      </c>
      <c r="K1520" s="30">
        <v>16326.5</v>
      </c>
      <c r="L1520" s="31">
        <v>20799961</v>
      </c>
      <c r="M1520" s="1" t="s">
        <v>30</v>
      </c>
      <c r="N1520" s="1" t="s">
        <v>17</v>
      </c>
      <c r="O1520" s="1" t="s">
        <v>2057</v>
      </c>
      <c r="P1520" s="1" t="s">
        <v>2056</v>
      </c>
      <c r="Q1520" s="1" t="s">
        <v>1237</v>
      </c>
      <c r="R1520" s="1">
        <f t="shared" si="23"/>
        <v>1</v>
      </c>
      <c r="S1520" s="4">
        <f>J1520*K1520*M1520</f>
        <v>2079996.1</v>
      </c>
    </row>
    <row r="1521" spans="1:19" ht="43" hidden="1" customHeight="1">
      <c r="A1521" s="1" t="s">
        <v>2280</v>
      </c>
      <c r="B1521" s="1" t="s">
        <v>136</v>
      </c>
      <c r="C1521" s="29">
        <v>45709.704236689802</v>
      </c>
      <c r="D1521" s="1" t="s">
        <v>3052</v>
      </c>
      <c r="E1521" s="1" t="s">
        <v>3053</v>
      </c>
      <c r="F1521" s="1">
        <v>1</v>
      </c>
      <c r="G1521" s="12" t="s">
        <v>2140</v>
      </c>
      <c r="H1521" s="1" t="s">
        <v>110</v>
      </c>
      <c r="I1521" s="1" t="s">
        <v>62</v>
      </c>
      <c r="J1521" s="30">
        <v>2574.5</v>
      </c>
      <c r="K1521" s="30">
        <v>17500</v>
      </c>
      <c r="L1521" s="31">
        <v>45053750</v>
      </c>
      <c r="M1521" s="1" t="s">
        <v>30</v>
      </c>
      <c r="N1521" s="1" t="s">
        <v>17</v>
      </c>
      <c r="O1521" s="1" t="s">
        <v>2057</v>
      </c>
      <c r="P1521" s="1" t="s">
        <v>2056</v>
      </c>
      <c r="Q1521" s="1" t="s">
        <v>2040</v>
      </c>
      <c r="R1521" s="1">
        <f t="shared" si="23"/>
        <v>1</v>
      </c>
      <c r="S1521" s="4">
        <f>J1521*K1521*M1521</f>
        <v>4505375</v>
      </c>
    </row>
    <row r="1522" spans="1:19" ht="43" hidden="1" customHeight="1">
      <c r="A1522" s="1" t="s">
        <v>2280</v>
      </c>
      <c r="B1522" s="1" t="s">
        <v>25</v>
      </c>
      <c r="C1522" s="29">
        <v>45681.457743611099</v>
      </c>
      <c r="D1522" s="1" t="s">
        <v>3063</v>
      </c>
      <c r="E1522" s="1" t="s">
        <v>3062</v>
      </c>
      <c r="F1522" s="1">
        <v>1</v>
      </c>
      <c r="G1522" s="12" t="s">
        <v>2140</v>
      </c>
      <c r="H1522" s="1" t="s">
        <v>110</v>
      </c>
      <c r="I1522" s="1" t="s">
        <v>62</v>
      </c>
      <c r="J1522" s="30">
        <v>7594</v>
      </c>
      <c r="K1522" s="30">
        <v>17500</v>
      </c>
      <c r="L1522" s="31">
        <v>132895000</v>
      </c>
      <c r="M1522" s="1" t="s">
        <v>30</v>
      </c>
      <c r="N1522" s="1" t="s">
        <v>17</v>
      </c>
      <c r="O1522" s="1" t="s">
        <v>2057</v>
      </c>
      <c r="P1522" s="1" t="s">
        <v>2056</v>
      </c>
      <c r="Q1522" s="1" t="s">
        <v>2045</v>
      </c>
      <c r="R1522" s="1">
        <f t="shared" si="23"/>
        <v>1</v>
      </c>
      <c r="S1522" s="4">
        <f>J1522*K1522*M1522</f>
        <v>13289500</v>
      </c>
    </row>
    <row r="1523" spans="1:19" ht="43" hidden="1" customHeight="1">
      <c r="A1523" s="1" t="s">
        <v>2280</v>
      </c>
      <c r="B1523" s="1" t="s">
        <v>169</v>
      </c>
      <c r="C1523" s="29">
        <v>45673.582065567098</v>
      </c>
      <c r="D1523" s="1" t="s">
        <v>3052</v>
      </c>
      <c r="E1523" s="1" t="s">
        <v>3053</v>
      </c>
      <c r="F1523" s="1">
        <v>1</v>
      </c>
      <c r="G1523" s="12" t="s">
        <v>2140</v>
      </c>
      <c r="H1523" s="1" t="s">
        <v>110</v>
      </c>
      <c r="I1523" s="1" t="s">
        <v>62</v>
      </c>
      <c r="J1523" s="30">
        <v>96.83</v>
      </c>
      <c r="K1523" s="30">
        <v>17500.21</v>
      </c>
      <c r="L1523" s="31">
        <v>1694545.33</v>
      </c>
      <c r="M1523" s="1" t="s">
        <v>30</v>
      </c>
      <c r="N1523" s="1" t="s">
        <v>17</v>
      </c>
      <c r="O1523" s="1" t="s">
        <v>2057</v>
      </c>
      <c r="P1523" s="1" t="s">
        <v>2056</v>
      </c>
      <c r="Q1523" s="1" t="s">
        <v>1232</v>
      </c>
      <c r="R1523" s="1">
        <f t="shared" si="23"/>
        <v>1</v>
      </c>
      <c r="S1523" s="4">
        <f>J1523*K1523*M1523</f>
        <v>169454.53343000001</v>
      </c>
    </row>
    <row r="1524" spans="1:19" ht="43" hidden="1" customHeight="1">
      <c r="A1524" s="1" t="s">
        <v>2280</v>
      </c>
      <c r="B1524" s="1" t="s">
        <v>126</v>
      </c>
      <c r="C1524" s="29">
        <v>45898.896719536999</v>
      </c>
      <c r="D1524" s="1" t="s">
        <v>3052</v>
      </c>
      <c r="E1524" s="1" t="s">
        <v>3053</v>
      </c>
      <c r="F1524" s="1">
        <v>15</v>
      </c>
      <c r="G1524" s="12" t="s">
        <v>2140</v>
      </c>
      <c r="H1524" s="1" t="s">
        <v>1718</v>
      </c>
      <c r="I1524" s="1" t="s">
        <v>62</v>
      </c>
      <c r="J1524" s="30">
        <v>5962.32</v>
      </c>
      <c r="K1524" s="30">
        <v>16819.073799999998</v>
      </c>
      <c r="L1524" s="31">
        <v>100280700.0992</v>
      </c>
      <c r="M1524" s="1" t="s">
        <v>30</v>
      </c>
      <c r="N1524" s="1" t="s">
        <v>17</v>
      </c>
      <c r="O1524" s="1" t="s">
        <v>2057</v>
      </c>
      <c r="P1524" s="1" t="s">
        <v>2056</v>
      </c>
      <c r="Q1524" s="1" t="s">
        <v>652</v>
      </c>
      <c r="R1524" s="1">
        <f t="shared" si="23"/>
        <v>3</v>
      </c>
      <c r="S1524" s="4">
        <f>J1524*K1524*M1524</f>
        <v>10028070.009921599</v>
      </c>
    </row>
    <row r="1525" spans="1:19" ht="43" hidden="1" customHeight="1">
      <c r="A1525" s="1" t="s">
        <v>2280</v>
      </c>
      <c r="B1525" s="1" t="s">
        <v>1272</v>
      </c>
      <c r="C1525" s="29">
        <v>45836.414122164402</v>
      </c>
      <c r="D1525" s="1" t="s">
        <v>3052</v>
      </c>
      <c r="E1525" s="1" t="s">
        <v>3053</v>
      </c>
      <c r="F1525" s="1">
        <v>5</v>
      </c>
      <c r="G1525" s="12" t="s">
        <v>2140</v>
      </c>
      <c r="H1525" s="1" t="s">
        <v>1718</v>
      </c>
      <c r="I1525" s="1" t="s">
        <v>62</v>
      </c>
      <c r="J1525" s="30">
        <v>12757.66</v>
      </c>
      <c r="K1525" s="30">
        <v>16818.18</v>
      </c>
      <c r="L1525" s="31">
        <v>214560622.25999999</v>
      </c>
      <c r="M1525" s="1" t="s">
        <v>30</v>
      </c>
      <c r="N1525" s="1" t="s">
        <v>17</v>
      </c>
      <c r="O1525" s="1" t="s">
        <v>2057</v>
      </c>
      <c r="P1525" s="1" t="s">
        <v>2056</v>
      </c>
      <c r="Q1525" s="1" t="s">
        <v>845</v>
      </c>
      <c r="R1525" s="1">
        <f t="shared" si="23"/>
        <v>2</v>
      </c>
      <c r="S1525" s="4">
        <f>J1525*K1525*M1525</f>
        <v>21456062.225880001</v>
      </c>
    </row>
    <row r="1526" spans="1:19" ht="43" hidden="1" customHeight="1">
      <c r="A1526" s="1" t="s">
        <v>2280</v>
      </c>
      <c r="B1526" s="1" t="s">
        <v>717</v>
      </c>
      <c r="C1526" s="29">
        <v>45807.729117129602</v>
      </c>
      <c r="D1526" s="1" t="s">
        <v>3052</v>
      </c>
      <c r="E1526" s="1" t="s">
        <v>3053</v>
      </c>
      <c r="F1526" s="1">
        <v>10</v>
      </c>
      <c r="G1526" s="12" t="s">
        <v>2140</v>
      </c>
      <c r="H1526" s="1" t="s">
        <v>1878</v>
      </c>
      <c r="I1526" s="1" t="s">
        <v>62</v>
      </c>
      <c r="J1526" s="30">
        <v>13822.9</v>
      </c>
      <c r="K1526" s="30">
        <v>11212.71</v>
      </c>
      <c r="L1526" s="31">
        <v>154992169.06</v>
      </c>
      <c r="M1526" s="1" t="s">
        <v>30</v>
      </c>
      <c r="N1526" s="1" t="s">
        <v>17</v>
      </c>
      <c r="O1526" s="1" t="s">
        <v>2057</v>
      </c>
      <c r="P1526" s="1" t="s">
        <v>2056</v>
      </c>
      <c r="Q1526" s="1" t="s">
        <v>925</v>
      </c>
      <c r="R1526" s="1">
        <f t="shared" si="23"/>
        <v>2</v>
      </c>
      <c r="S1526" s="4">
        <f>J1526*K1526*M1526</f>
        <v>15499216.9059</v>
      </c>
    </row>
    <row r="1527" spans="1:19" ht="43" hidden="1" customHeight="1">
      <c r="A1527" s="1" t="s">
        <v>2280</v>
      </c>
      <c r="B1527" s="1" t="s">
        <v>717</v>
      </c>
      <c r="C1527" s="29">
        <v>45807.729117129602</v>
      </c>
      <c r="D1527" s="1" t="s">
        <v>3052</v>
      </c>
      <c r="E1527" s="1" t="s">
        <v>3053</v>
      </c>
      <c r="F1527" s="1">
        <v>11</v>
      </c>
      <c r="G1527" s="12" t="s">
        <v>2140</v>
      </c>
      <c r="H1527" s="1" t="s">
        <v>1879</v>
      </c>
      <c r="I1527" s="1" t="s">
        <v>62</v>
      </c>
      <c r="J1527" s="30">
        <v>3185</v>
      </c>
      <c r="K1527" s="30">
        <v>16365.78</v>
      </c>
      <c r="L1527" s="31">
        <v>52125009.299999997</v>
      </c>
      <c r="M1527" s="1" t="s">
        <v>30</v>
      </c>
      <c r="N1527" s="1" t="s">
        <v>17</v>
      </c>
      <c r="O1527" s="1" t="s">
        <v>2057</v>
      </c>
      <c r="P1527" s="1" t="s">
        <v>2056</v>
      </c>
      <c r="Q1527" s="1" t="s">
        <v>925</v>
      </c>
      <c r="R1527" s="1">
        <f t="shared" si="23"/>
        <v>2</v>
      </c>
      <c r="S1527" s="4">
        <f>J1527*K1527*M1527</f>
        <v>5212500.9300000006</v>
      </c>
    </row>
    <row r="1528" spans="1:19" ht="43" hidden="1" customHeight="1">
      <c r="A1528" s="1" t="s">
        <v>2280</v>
      </c>
      <c r="B1528" s="1" t="s">
        <v>1461</v>
      </c>
      <c r="C1528" s="29">
        <v>45933.358910983799</v>
      </c>
      <c r="D1528" s="1" t="s">
        <v>3048</v>
      </c>
      <c r="E1528" s="1" t="s">
        <v>3049</v>
      </c>
      <c r="F1528" s="1">
        <v>2</v>
      </c>
      <c r="G1528" s="12" t="s">
        <v>2140</v>
      </c>
      <c r="H1528" s="1" t="s">
        <v>580</v>
      </c>
      <c r="I1528" s="1" t="s">
        <v>62</v>
      </c>
      <c r="J1528" s="30">
        <v>64.88</v>
      </c>
      <c r="K1528" s="30">
        <v>20000</v>
      </c>
      <c r="L1528" s="31">
        <v>1297600</v>
      </c>
      <c r="M1528" s="1" t="s">
        <v>30</v>
      </c>
      <c r="N1528" s="1" t="s">
        <v>17</v>
      </c>
      <c r="O1528" s="1" t="s">
        <v>2057</v>
      </c>
      <c r="P1528" s="1" t="s">
        <v>2056</v>
      </c>
      <c r="Q1528" s="1" t="s">
        <v>1591</v>
      </c>
      <c r="R1528" s="1">
        <f t="shared" si="23"/>
        <v>4</v>
      </c>
      <c r="S1528" s="4">
        <f>J1528*K1528*M1528</f>
        <v>129760</v>
      </c>
    </row>
    <row r="1529" spans="1:19" ht="43" hidden="1" customHeight="1">
      <c r="A1529" s="1" t="s">
        <v>2280</v>
      </c>
      <c r="B1529" s="1" t="s">
        <v>1419</v>
      </c>
      <c r="C1529" s="29">
        <v>45866.749486990702</v>
      </c>
      <c r="D1529" s="1" t="s">
        <v>3052</v>
      </c>
      <c r="E1529" s="1" t="s">
        <v>3053</v>
      </c>
      <c r="F1529" s="1">
        <v>16</v>
      </c>
      <c r="G1529" s="12" t="s">
        <v>2140</v>
      </c>
      <c r="H1529" s="1" t="s">
        <v>580</v>
      </c>
      <c r="I1529" s="1" t="s">
        <v>62</v>
      </c>
      <c r="J1529" s="30">
        <v>7558.2</v>
      </c>
      <c r="K1529" s="30">
        <v>16363.64</v>
      </c>
      <c r="L1529" s="31">
        <v>123679664</v>
      </c>
      <c r="M1529" s="1" t="s">
        <v>30</v>
      </c>
      <c r="N1529" s="1" t="s">
        <v>17</v>
      </c>
      <c r="O1529" s="1" t="s">
        <v>2057</v>
      </c>
      <c r="P1529" s="1" t="s">
        <v>2056</v>
      </c>
      <c r="Q1529" s="1" t="s">
        <v>1763</v>
      </c>
      <c r="R1529" s="1">
        <f t="shared" si="23"/>
        <v>3</v>
      </c>
      <c r="S1529" s="4">
        <f>J1529*K1529*M1529</f>
        <v>12367966.3848</v>
      </c>
    </row>
    <row r="1530" spans="1:19" ht="43" hidden="1" customHeight="1">
      <c r="A1530" s="1" t="s">
        <v>2280</v>
      </c>
      <c r="B1530" s="1" t="s">
        <v>1461</v>
      </c>
      <c r="C1530" s="29">
        <v>45933.358910983799</v>
      </c>
      <c r="D1530" s="1" t="s">
        <v>3048</v>
      </c>
      <c r="E1530" s="1" t="s">
        <v>3049</v>
      </c>
      <c r="F1530" s="1">
        <v>1</v>
      </c>
      <c r="G1530" s="12" t="s">
        <v>2140</v>
      </c>
      <c r="H1530" s="1" t="s">
        <v>76</v>
      </c>
      <c r="I1530" s="1" t="s">
        <v>62</v>
      </c>
      <c r="J1530" s="30">
        <v>98.8</v>
      </c>
      <c r="K1530" s="30">
        <v>20000</v>
      </c>
      <c r="L1530" s="31">
        <v>1976000</v>
      </c>
      <c r="M1530" s="1" t="s">
        <v>30</v>
      </c>
      <c r="N1530" s="1" t="s">
        <v>17</v>
      </c>
      <c r="O1530" s="1" t="s">
        <v>2057</v>
      </c>
      <c r="P1530" s="1" t="s">
        <v>2056</v>
      </c>
      <c r="Q1530" s="1" t="s">
        <v>1591</v>
      </c>
      <c r="R1530" s="1">
        <f t="shared" si="23"/>
        <v>4</v>
      </c>
      <c r="S1530" s="4">
        <f>J1530*K1530*M1530</f>
        <v>197600</v>
      </c>
    </row>
    <row r="1531" spans="1:19" ht="43" hidden="1" customHeight="1">
      <c r="A1531" s="1" t="s">
        <v>2280</v>
      </c>
      <c r="B1531" s="1" t="s">
        <v>1252</v>
      </c>
      <c r="C1531" s="29">
        <v>45783.453024409697</v>
      </c>
      <c r="D1531" s="1" t="s">
        <v>3070</v>
      </c>
      <c r="E1531" s="1" t="s">
        <v>3059</v>
      </c>
      <c r="F1531" s="1">
        <v>1</v>
      </c>
      <c r="G1531" s="12" t="s">
        <v>2140</v>
      </c>
      <c r="H1531" s="1" t="s">
        <v>1900</v>
      </c>
      <c r="I1531" s="1" t="s">
        <v>62</v>
      </c>
      <c r="J1531" s="30">
        <v>1640.31</v>
      </c>
      <c r="K1531" s="30">
        <v>17500</v>
      </c>
      <c r="L1531" s="31">
        <v>28705425</v>
      </c>
      <c r="M1531" s="1" t="s">
        <v>30</v>
      </c>
      <c r="N1531" s="1" t="s">
        <v>17</v>
      </c>
      <c r="O1531" s="1" t="s">
        <v>2057</v>
      </c>
      <c r="P1531" s="1" t="s">
        <v>2056</v>
      </c>
      <c r="Q1531" s="1" t="s">
        <v>38</v>
      </c>
      <c r="R1531" s="1">
        <f t="shared" si="23"/>
        <v>2</v>
      </c>
      <c r="S1531" s="4">
        <f>J1531*K1531*M1531</f>
        <v>2870542.5</v>
      </c>
    </row>
    <row r="1532" spans="1:19" ht="43" hidden="1" customHeight="1">
      <c r="A1532" s="1" t="s">
        <v>2072</v>
      </c>
      <c r="B1532" s="1" t="s">
        <v>717</v>
      </c>
      <c r="C1532" s="29">
        <v>46020.384472314799</v>
      </c>
      <c r="D1532" s="1" t="s">
        <v>3052</v>
      </c>
      <c r="E1532" s="1" t="s">
        <v>3053</v>
      </c>
      <c r="F1532" s="1">
        <v>5</v>
      </c>
      <c r="G1532" s="12" t="s">
        <v>2140</v>
      </c>
      <c r="H1532" s="1" t="s">
        <v>1505</v>
      </c>
      <c r="I1532" s="1" t="s">
        <v>62</v>
      </c>
      <c r="J1532" s="30">
        <v>82.5</v>
      </c>
      <c r="K1532" s="30">
        <v>20000</v>
      </c>
      <c r="L1532" s="31">
        <v>1650000</v>
      </c>
      <c r="M1532" s="1" t="s">
        <v>30</v>
      </c>
      <c r="N1532" s="1" t="s">
        <v>17</v>
      </c>
      <c r="O1532" s="1" t="s">
        <v>2057</v>
      </c>
      <c r="P1532" s="1" t="s">
        <v>2056</v>
      </c>
      <c r="Q1532" s="1" t="s">
        <v>275</v>
      </c>
      <c r="R1532" s="1">
        <f t="shared" si="23"/>
        <v>4</v>
      </c>
      <c r="S1532" s="4">
        <f>J1532*K1532*M1532</f>
        <v>165000</v>
      </c>
    </row>
    <row r="1533" spans="1:19" ht="43" hidden="1" customHeight="1">
      <c r="A1533" s="1" t="s">
        <v>2072</v>
      </c>
      <c r="B1533" s="1" t="s">
        <v>717</v>
      </c>
      <c r="C1533" s="29">
        <v>46020.384472314799</v>
      </c>
      <c r="D1533" s="1" t="s">
        <v>3052</v>
      </c>
      <c r="E1533" s="1" t="s">
        <v>3053</v>
      </c>
      <c r="F1533" s="1">
        <v>4</v>
      </c>
      <c r="G1533" s="12" t="s">
        <v>2140</v>
      </c>
      <c r="H1533" s="1" t="s">
        <v>1504</v>
      </c>
      <c r="I1533" s="1" t="s">
        <v>62</v>
      </c>
      <c r="J1533" s="30">
        <v>240.6</v>
      </c>
      <c r="K1533" s="30">
        <v>18453.87</v>
      </c>
      <c r="L1533" s="31">
        <v>4440000</v>
      </c>
      <c r="M1533" s="1" t="s">
        <v>30</v>
      </c>
      <c r="N1533" s="1" t="s">
        <v>17</v>
      </c>
      <c r="O1533" s="1" t="s">
        <v>2057</v>
      </c>
      <c r="P1533" s="1" t="s">
        <v>2056</v>
      </c>
      <c r="Q1533" s="1" t="s">
        <v>275</v>
      </c>
      <c r="R1533" s="1">
        <f t="shared" si="23"/>
        <v>4</v>
      </c>
      <c r="S1533" s="4">
        <f>J1533*K1533*M1533</f>
        <v>444000.11219999997</v>
      </c>
    </row>
    <row r="1534" spans="1:19" ht="43" hidden="1" customHeight="1">
      <c r="A1534" s="1" t="s">
        <v>2072</v>
      </c>
      <c r="B1534" s="1" t="s">
        <v>717</v>
      </c>
      <c r="C1534" s="29">
        <v>46020.384472314799</v>
      </c>
      <c r="D1534" s="1" t="s">
        <v>3052</v>
      </c>
      <c r="E1534" s="1" t="s">
        <v>3053</v>
      </c>
      <c r="F1534" s="1">
        <v>1</v>
      </c>
      <c r="G1534" s="12" t="s">
        <v>2140</v>
      </c>
      <c r="H1534" s="1" t="s">
        <v>1503</v>
      </c>
      <c r="I1534" s="1" t="s">
        <v>62</v>
      </c>
      <c r="J1534" s="30">
        <v>382.2</v>
      </c>
      <c r="K1534" s="30">
        <v>18445.84</v>
      </c>
      <c r="L1534" s="31">
        <v>7050000</v>
      </c>
      <c r="M1534" s="1" t="s">
        <v>30</v>
      </c>
      <c r="N1534" s="1" t="s">
        <v>17</v>
      </c>
      <c r="O1534" s="1" t="s">
        <v>2057</v>
      </c>
      <c r="P1534" s="1" t="s">
        <v>2056</v>
      </c>
      <c r="Q1534" s="1" t="s">
        <v>275</v>
      </c>
      <c r="R1534" s="1">
        <f t="shared" si="23"/>
        <v>4</v>
      </c>
      <c r="S1534" s="4">
        <f>J1534*K1534*M1534</f>
        <v>705000.0048</v>
      </c>
    </row>
    <row r="1535" spans="1:19" ht="43" hidden="1" customHeight="1">
      <c r="A1535" s="1" t="s">
        <v>2280</v>
      </c>
      <c r="B1535" s="1" t="s">
        <v>1308</v>
      </c>
      <c r="C1535" s="29">
        <v>45755.643458275503</v>
      </c>
      <c r="D1535" s="1" t="s">
        <v>3061</v>
      </c>
      <c r="E1535" s="1" t="s">
        <v>3062</v>
      </c>
      <c r="F1535" s="1">
        <v>4</v>
      </c>
      <c r="G1535" s="12" t="s">
        <v>2140</v>
      </c>
      <c r="H1535" s="1" t="s">
        <v>1983</v>
      </c>
      <c r="I1535" s="1" t="s">
        <v>62</v>
      </c>
      <c r="J1535" s="30">
        <v>3531.11</v>
      </c>
      <c r="K1535" s="30">
        <v>16200</v>
      </c>
      <c r="L1535" s="31">
        <v>57203982</v>
      </c>
      <c r="M1535" s="1" t="s">
        <v>30</v>
      </c>
      <c r="N1535" s="1" t="s">
        <v>17</v>
      </c>
      <c r="O1535" s="1" t="s">
        <v>2057</v>
      </c>
      <c r="P1535" s="1" t="s">
        <v>2056</v>
      </c>
      <c r="Q1535" s="1" t="s">
        <v>1023</v>
      </c>
      <c r="R1535" s="1">
        <f t="shared" si="23"/>
        <v>2</v>
      </c>
      <c r="S1535" s="4">
        <f>J1535*K1535*M1535</f>
        <v>5720398.2000000002</v>
      </c>
    </row>
    <row r="1536" spans="1:19" ht="43" hidden="1" customHeight="1">
      <c r="A1536" s="1" t="s">
        <v>2280</v>
      </c>
      <c r="B1536" s="1" t="s">
        <v>1308</v>
      </c>
      <c r="C1536" s="29">
        <v>45755.643458275503</v>
      </c>
      <c r="D1536" s="1" t="s">
        <v>3061</v>
      </c>
      <c r="E1536" s="1" t="s">
        <v>3062</v>
      </c>
      <c r="F1536" s="1">
        <v>1</v>
      </c>
      <c r="G1536" s="12" t="s">
        <v>2140</v>
      </c>
      <c r="H1536" s="1" t="s">
        <v>1980</v>
      </c>
      <c r="I1536" s="1" t="s">
        <v>62</v>
      </c>
      <c r="J1536" s="30">
        <v>10703.24</v>
      </c>
      <c r="K1536" s="30">
        <v>16200</v>
      </c>
      <c r="L1536" s="31">
        <v>173392488</v>
      </c>
      <c r="M1536" s="1" t="s">
        <v>30</v>
      </c>
      <c r="N1536" s="1" t="s">
        <v>17</v>
      </c>
      <c r="O1536" s="1" t="s">
        <v>2057</v>
      </c>
      <c r="P1536" s="1" t="s">
        <v>2056</v>
      </c>
      <c r="Q1536" s="1" t="s">
        <v>1023</v>
      </c>
      <c r="R1536" s="1">
        <f t="shared" si="23"/>
        <v>2</v>
      </c>
      <c r="S1536" s="4">
        <f>J1536*K1536*M1536</f>
        <v>17339248.800000001</v>
      </c>
    </row>
    <row r="1537" spans="1:19" ht="43" hidden="1" customHeight="1">
      <c r="A1537" s="1" t="s">
        <v>2280</v>
      </c>
      <c r="B1537" s="1" t="s">
        <v>1308</v>
      </c>
      <c r="C1537" s="29">
        <v>45755.643458275503</v>
      </c>
      <c r="D1537" s="1" t="s">
        <v>3061</v>
      </c>
      <c r="E1537" s="1" t="s">
        <v>3062</v>
      </c>
      <c r="F1537" s="1">
        <v>2</v>
      </c>
      <c r="G1537" s="12" t="s">
        <v>2140</v>
      </c>
      <c r="H1537" s="1" t="s">
        <v>1981</v>
      </c>
      <c r="I1537" s="1" t="s">
        <v>62</v>
      </c>
      <c r="J1537" s="30">
        <v>7121.85</v>
      </c>
      <c r="K1537" s="30">
        <v>16200</v>
      </c>
      <c r="L1537" s="31">
        <v>115373970</v>
      </c>
      <c r="M1537" s="1" t="s">
        <v>30</v>
      </c>
      <c r="N1537" s="1" t="s">
        <v>17</v>
      </c>
      <c r="O1537" s="1" t="s">
        <v>2057</v>
      </c>
      <c r="P1537" s="1" t="s">
        <v>2056</v>
      </c>
      <c r="Q1537" s="1" t="s">
        <v>1023</v>
      </c>
      <c r="R1537" s="1">
        <f t="shared" si="23"/>
        <v>2</v>
      </c>
      <c r="S1537" s="4">
        <f>J1537*K1537*M1537</f>
        <v>11537397</v>
      </c>
    </row>
    <row r="1538" spans="1:19" ht="43" hidden="1" customHeight="1">
      <c r="A1538" s="1" t="s">
        <v>2280</v>
      </c>
      <c r="B1538" s="1" t="s">
        <v>1308</v>
      </c>
      <c r="C1538" s="29">
        <v>45755.643458275503</v>
      </c>
      <c r="D1538" s="1" t="s">
        <v>3061</v>
      </c>
      <c r="E1538" s="1" t="s">
        <v>3062</v>
      </c>
      <c r="F1538" s="1">
        <v>3</v>
      </c>
      <c r="G1538" s="12" t="s">
        <v>2140</v>
      </c>
      <c r="H1538" s="1" t="s">
        <v>1982</v>
      </c>
      <c r="I1538" s="1" t="s">
        <v>62</v>
      </c>
      <c r="J1538" s="30">
        <v>3238.05</v>
      </c>
      <c r="K1538" s="30">
        <v>16200</v>
      </c>
      <c r="L1538" s="31">
        <v>52456410</v>
      </c>
      <c r="M1538" s="1" t="s">
        <v>30</v>
      </c>
      <c r="N1538" s="1" t="s">
        <v>17</v>
      </c>
      <c r="O1538" s="1" t="s">
        <v>2057</v>
      </c>
      <c r="P1538" s="1" t="s">
        <v>2056</v>
      </c>
      <c r="Q1538" s="1" t="s">
        <v>1023</v>
      </c>
      <c r="R1538" s="1">
        <f t="shared" si="23"/>
        <v>2</v>
      </c>
      <c r="S1538" s="4">
        <f>J1538*K1538*M1538</f>
        <v>5245641</v>
      </c>
    </row>
    <row r="1539" spans="1:19" ht="43" hidden="1" customHeight="1">
      <c r="A1539" s="1" t="s">
        <v>2280</v>
      </c>
      <c r="B1539" s="1" t="s">
        <v>1417</v>
      </c>
      <c r="C1539" s="29">
        <v>45868.607072511601</v>
      </c>
      <c r="D1539" s="1" t="s">
        <v>3052</v>
      </c>
      <c r="E1539" s="1" t="s">
        <v>3053</v>
      </c>
      <c r="F1539" s="1">
        <v>15</v>
      </c>
      <c r="G1539" s="12" t="s">
        <v>796</v>
      </c>
      <c r="H1539" s="1" t="s">
        <v>1747</v>
      </c>
      <c r="I1539" s="1" t="s">
        <v>62</v>
      </c>
      <c r="J1539" s="30">
        <v>504</v>
      </c>
      <c r="K1539" s="30">
        <v>21000</v>
      </c>
      <c r="L1539" s="31">
        <v>10584000</v>
      </c>
      <c r="M1539" s="1" t="s">
        <v>30</v>
      </c>
      <c r="N1539" s="1" t="s">
        <v>17</v>
      </c>
      <c r="O1539" s="1" t="s">
        <v>2057</v>
      </c>
      <c r="P1539" s="1" t="s">
        <v>2056</v>
      </c>
      <c r="Q1539" s="1" t="s">
        <v>800</v>
      </c>
      <c r="R1539" s="1">
        <f t="shared" ref="R1539:R1602" si="24">ROUNDUP(MONTH(Q1539)/3,0)</f>
        <v>3</v>
      </c>
      <c r="S1539" s="4">
        <f>J1539*K1539*M1539</f>
        <v>1058400</v>
      </c>
    </row>
    <row r="1540" spans="1:19" ht="43" customHeight="1">
      <c r="A1540" s="1" t="s">
        <v>2280</v>
      </c>
      <c r="B1540" s="1" t="s">
        <v>1272</v>
      </c>
      <c r="C1540" s="29">
        <v>45836.414122164402</v>
      </c>
      <c r="D1540" s="1" t="s">
        <v>3052</v>
      </c>
      <c r="E1540" s="1" t="s">
        <v>3053</v>
      </c>
      <c r="F1540" s="1">
        <v>18</v>
      </c>
      <c r="H1540" s="1" t="s">
        <v>1847</v>
      </c>
      <c r="I1540" s="1" t="s">
        <v>62</v>
      </c>
      <c r="J1540" s="30">
        <v>10</v>
      </c>
      <c r="K1540" s="30">
        <v>23000</v>
      </c>
      <c r="L1540" s="31">
        <v>230000</v>
      </c>
      <c r="M1540" s="1" t="s">
        <v>30</v>
      </c>
      <c r="N1540" s="1" t="s">
        <v>17</v>
      </c>
      <c r="O1540" s="1" t="s">
        <v>2057</v>
      </c>
      <c r="P1540" s="1" t="s">
        <v>2056</v>
      </c>
      <c r="Q1540" s="1" t="s">
        <v>845</v>
      </c>
      <c r="R1540" s="1">
        <f t="shared" si="24"/>
        <v>2</v>
      </c>
      <c r="S1540" s="4">
        <f>J1540*K1540*M1540</f>
        <v>23000</v>
      </c>
    </row>
    <row r="1541" spans="1:19" ht="43" hidden="1" customHeight="1">
      <c r="A1541" s="1" t="s">
        <v>2280</v>
      </c>
      <c r="B1541" s="1" t="s">
        <v>798</v>
      </c>
      <c r="C1541" s="29">
        <v>46007.7069191435</v>
      </c>
      <c r="F1541" s="1">
        <v>2</v>
      </c>
      <c r="G1541" s="12" t="s">
        <v>2140</v>
      </c>
      <c r="H1541" s="1" t="s">
        <v>1154</v>
      </c>
      <c r="I1541" s="1" t="s">
        <v>62</v>
      </c>
      <c r="J1541" s="30">
        <v>479.45</v>
      </c>
      <c r="K1541" s="30">
        <v>16775</v>
      </c>
      <c r="L1541" s="31">
        <v>8042773.75</v>
      </c>
      <c r="M1541" s="1" t="s">
        <v>30</v>
      </c>
      <c r="N1541" s="1" t="s">
        <v>17</v>
      </c>
      <c r="O1541" s="1" t="s">
        <v>2057</v>
      </c>
      <c r="P1541" s="1" t="s">
        <v>2056</v>
      </c>
      <c r="Q1541" s="1" t="s">
        <v>262</v>
      </c>
      <c r="R1541" s="1">
        <f t="shared" si="24"/>
        <v>4</v>
      </c>
      <c r="S1541" s="4">
        <f>J1541*K1541*M1541</f>
        <v>804277.375</v>
      </c>
    </row>
    <row r="1542" spans="1:19" ht="43" hidden="1" customHeight="1">
      <c r="A1542" s="1" t="s">
        <v>2280</v>
      </c>
      <c r="B1542" s="1" t="s">
        <v>197</v>
      </c>
      <c r="C1542" s="29">
        <v>45937.4827558912</v>
      </c>
      <c r="D1542" s="1" t="s">
        <v>3066</v>
      </c>
      <c r="E1542" s="1" t="s">
        <v>3067</v>
      </c>
      <c r="F1542" s="1">
        <v>1</v>
      </c>
      <c r="G1542" s="12" t="s">
        <v>2140</v>
      </c>
      <c r="H1542" s="1" t="s">
        <v>1154</v>
      </c>
      <c r="I1542" s="1" t="s">
        <v>62</v>
      </c>
      <c r="J1542" s="30">
        <v>125</v>
      </c>
      <c r="K1542" s="30">
        <v>18528</v>
      </c>
      <c r="L1542" s="31">
        <v>2316000</v>
      </c>
      <c r="M1542" s="1" t="s">
        <v>30</v>
      </c>
      <c r="N1542" s="1" t="s">
        <v>17</v>
      </c>
      <c r="O1542" s="1" t="s">
        <v>2057</v>
      </c>
      <c r="P1542" s="1" t="s">
        <v>2056</v>
      </c>
      <c r="Q1542" s="1" t="s">
        <v>1587</v>
      </c>
      <c r="R1542" s="1">
        <f t="shared" si="24"/>
        <v>4</v>
      </c>
      <c r="S1542" s="4">
        <f>J1542*K1542*M1542</f>
        <v>231600</v>
      </c>
    </row>
    <row r="1543" spans="1:19" ht="43" hidden="1" customHeight="1">
      <c r="A1543" s="1" t="s">
        <v>2280</v>
      </c>
      <c r="B1543" s="1" t="s">
        <v>1341</v>
      </c>
      <c r="C1543" s="29">
        <v>45713.406629375</v>
      </c>
      <c r="D1543" s="1" t="s">
        <v>3063</v>
      </c>
      <c r="E1543" s="1" t="s">
        <v>3062</v>
      </c>
      <c r="F1543" s="1">
        <v>1</v>
      </c>
      <c r="G1543" s="12" t="s">
        <v>2140</v>
      </c>
      <c r="H1543" s="1" t="s">
        <v>1154</v>
      </c>
      <c r="I1543" s="1" t="s">
        <v>62</v>
      </c>
      <c r="J1543" s="30">
        <v>7133.2</v>
      </c>
      <c r="K1543" s="30">
        <v>17500</v>
      </c>
      <c r="L1543" s="31">
        <v>124831000</v>
      </c>
      <c r="M1543" s="1" t="s">
        <v>30</v>
      </c>
      <c r="N1543" s="1" t="s">
        <v>17</v>
      </c>
      <c r="O1543" s="1" t="s">
        <v>2057</v>
      </c>
      <c r="P1543" s="1" t="s">
        <v>2056</v>
      </c>
      <c r="Q1543" s="1" t="s">
        <v>1186</v>
      </c>
      <c r="R1543" s="1">
        <f t="shared" si="24"/>
        <v>1</v>
      </c>
      <c r="S1543" s="4">
        <f>J1543*K1543*M1543</f>
        <v>12483100</v>
      </c>
    </row>
    <row r="1544" spans="1:19" ht="43" customHeight="1">
      <c r="A1544" s="1" t="s">
        <v>2280</v>
      </c>
      <c r="B1544" s="1" t="s">
        <v>1226</v>
      </c>
      <c r="C1544" s="29">
        <v>45709.695765023098</v>
      </c>
      <c r="D1544" s="1" t="s">
        <v>3096</v>
      </c>
      <c r="E1544" s="1" t="s">
        <v>3097</v>
      </c>
      <c r="F1544" s="1">
        <v>1</v>
      </c>
      <c r="H1544" s="1" t="s">
        <v>2039</v>
      </c>
      <c r="I1544" s="1" t="s">
        <v>62</v>
      </c>
      <c r="J1544" s="30">
        <v>123.43</v>
      </c>
      <c r="K1544" s="30">
        <v>17500</v>
      </c>
      <c r="L1544" s="31">
        <v>2160025</v>
      </c>
      <c r="M1544" s="1" t="s">
        <v>30</v>
      </c>
      <c r="N1544" s="1" t="s">
        <v>17</v>
      </c>
      <c r="O1544" s="1" t="s">
        <v>2057</v>
      </c>
      <c r="P1544" s="1" t="s">
        <v>2056</v>
      </c>
      <c r="Q1544" s="1" t="s">
        <v>2040</v>
      </c>
      <c r="R1544" s="1">
        <f t="shared" si="24"/>
        <v>1</v>
      </c>
      <c r="S1544" s="4">
        <f>J1544*K1544*M1544</f>
        <v>216002.5</v>
      </c>
    </row>
    <row r="1545" spans="1:19" ht="43" hidden="1" customHeight="1">
      <c r="A1545" s="1" t="s">
        <v>2072</v>
      </c>
      <c r="B1545" s="1" t="s">
        <v>1250</v>
      </c>
      <c r="C1545" s="29">
        <v>46021.613467673596</v>
      </c>
      <c r="D1545" s="1" t="s">
        <v>3052</v>
      </c>
      <c r="E1545" s="1" t="s">
        <v>3053</v>
      </c>
      <c r="F1545" s="1">
        <v>5</v>
      </c>
      <c r="G1545" s="12" t="s">
        <v>303</v>
      </c>
      <c r="H1545" s="1" t="s">
        <v>1494</v>
      </c>
      <c r="I1545" s="1" t="s">
        <v>62</v>
      </c>
      <c r="J1545" s="30">
        <v>20560</v>
      </c>
      <c r="K1545" s="30">
        <v>25000</v>
      </c>
      <c r="L1545" s="31">
        <v>514000000</v>
      </c>
      <c r="M1545" s="1" t="s">
        <v>30</v>
      </c>
      <c r="N1545" s="1" t="s">
        <v>17</v>
      </c>
      <c r="O1545" s="1" t="s">
        <v>2057</v>
      </c>
      <c r="P1545" s="1" t="s">
        <v>2056</v>
      </c>
      <c r="Q1545" s="1" t="s">
        <v>1474</v>
      </c>
      <c r="R1545" s="1">
        <f t="shared" si="24"/>
        <v>4</v>
      </c>
      <c r="S1545" s="4">
        <f>J1545*K1545*M1545</f>
        <v>51400000</v>
      </c>
    </row>
    <row r="1546" spans="1:19" ht="43" hidden="1" customHeight="1">
      <c r="A1546" s="1" t="s">
        <v>2280</v>
      </c>
      <c r="B1546" s="1" t="s">
        <v>442</v>
      </c>
      <c r="C1546" s="29">
        <v>45817.574854166698</v>
      </c>
      <c r="D1546" s="1" t="s">
        <v>3052</v>
      </c>
      <c r="E1546" s="1" t="s">
        <v>3053</v>
      </c>
      <c r="F1546" s="1">
        <v>4</v>
      </c>
      <c r="G1546" s="12" t="s">
        <v>303</v>
      </c>
      <c r="H1546" s="1" t="s">
        <v>1862</v>
      </c>
      <c r="I1546" s="1" t="s">
        <v>62</v>
      </c>
      <c r="J1546" s="30">
        <v>663</v>
      </c>
      <c r="K1546" s="30">
        <v>25500</v>
      </c>
      <c r="L1546" s="31">
        <v>16906500</v>
      </c>
      <c r="M1546" s="1" t="s">
        <v>30</v>
      </c>
      <c r="N1546" s="1" t="s">
        <v>17</v>
      </c>
      <c r="O1546" s="1" t="s">
        <v>2057</v>
      </c>
      <c r="P1546" s="1" t="s">
        <v>2056</v>
      </c>
      <c r="Q1546" s="1" t="s">
        <v>1860</v>
      </c>
      <c r="R1546" s="1">
        <f t="shared" si="24"/>
        <v>2</v>
      </c>
      <c r="S1546" s="4">
        <f>J1546*K1546*M1546</f>
        <v>1690650</v>
      </c>
    </row>
    <row r="1547" spans="1:19" ht="43" hidden="1" customHeight="1">
      <c r="A1547" s="1" t="s">
        <v>2280</v>
      </c>
      <c r="B1547" s="1" t="s">
        <v>442</v>
      </c>
      <c r="C1547" s="29">
        <v>45817.574854166698</v>
      </c>
      <c r="D1547" s="1" t="s">
        <v>3052</v>
      </c>
      <c r="E1547" s="1" t="s">
        <v>3053</v>
      </c>
      <c r="F1547" s="1">
        <v>3</v>
      </c>
      <c r="G1547" s="12" t="s">
        <v>303</v>
      </c>
      <c r="H1547" s="1" t="s">
        <v>1861</v>
      </c>
      <c r="I1547" s="1" t="s">
        <v>62</v>
      </c>
      <c r="J1547" s="30">
        <v>1848</v>
      </c>
      <c r="K1547" s="30">
        <v>25000</v>
      </c>
      <c r="L1547" s="31">
        <v>46200000</v>
      </c>
      <c r="M1547" s="1" t="s">
        <v>30</v>
      </c>
      <c r="N1547" s="1" t="s">
        <v>17</v>
      </c>
      <c r="O1547" s="1" t="s">
        <v>2057</v>
      </c>
      <c r="P1547" s="1" t="s">
        <v>2056</v>
      </c>
      <c r="Q1547" s="1" t="s">
        <v>1860</v>
      </c>
      <c r="R1547" s="1">
        <f t="shared" si="24"/>
        <v>2</v>
      </c>
      <c r="S1547" s="4">
        <f>J1547*K1547*M1547</f>
        <v>4620000</v>
      </c>
    </row>
    <row r="1548" spans="1:19" ht="43" customHeight="1">
      <c r="A1548" s="1" t="s">
        <v>2280</v>
      </c>
      <c r="B1548" s="1" t="s">
        <v>1442</v>
      </c>
      <c r="C1548" s="29">
        <v>45960.6594943866</v>
      </c>
      <c r="D1548" s="1" t="s">
        <v>3052</v>
      </c>
      <c r="E1548" s="1" t="s">
        <v>3053</v>
      </c>
      <c r="F1548" s="1">
        <v>10</v>
      </c>
      <c r="H1548" s="1" t="s">
        <v>1566</v>
      </c>
      <c r="I1548" s="1" t="s">
        <v>62</v>
      </c>
      <c r="J1548" s="30">
        <v>542.53750000000002</v>
      </c>
      <c r="K1548" s="30">
        <v>28000</v>
      </c>
      <c r="L1548" s="31">
        <v>15191050</v>
      </c>
      <c r="M1548" s="1" t="s">
        <v>30</v>
      </c>
      <c r="N1548" s="1" t="s">
        <v>17</v>
      </c>
      <c r="O1548" s="1" t="s">
        <v>2057</v>
      </c>
      <c r="P1548" s="1" t="s">
        <v>2056</v>
      </c>
      <c r="Q1548" s="1" t="s">
        <v>533</v>
      </c>
      <c r="R1548" s="1">
        <f t="shared" si="24"/>
        <v>4</v>
      </c>
      <c r="S1548" s="4">
        <f>J1548*K1548*M1548</f>
        <v>1519105</v>
      </c>
    </row>
    <row r="1549" spans="1:19" ht="43" hidden="1" customHeight="1">
      <c r="A1549" s="1" t="s">
        <v>2280</v>
      </c>
      <c r="B1549" s="1" t="s">
        <v>1446</v>
      </c>
      <c r="C1549" s="29">
        <v>45957.708850381903</v>
      </c>
      <c r="D1549" s="1" t="s">
        <v>3058</v>
      </c>
      <c r="E1549" s="1" t="s">
        <v>3059</v>
      </c>
      <c r="F1549" s="1">
        <v>1</v>
      </c>
      <c r="G1549" s="12" t="s">
        <v>582</v>
      </c>
      <c r="H1549" s="1" t="s">
        <v>582</v>
      </c>
      <c r="I1549" s="1" t="s">
        <v>62</v>
      </c>
      <c r="J1549" s="30">
        <v>185</v>
      </c>
      <c r="K1549" s="30">
        <v>16000</v>
      </c>
      <c r="L1549" s="31">
        <v>2960000</v>
      </c>
      <c r="M1549" s="1" t="s">
        <v>30</v>
      </c>
      <c r="N1549" s="1" t="s">
        <v>17</v>
      </c>
      <c r="O1549" s="1" t="s">
        <v>2057</v>
      </c>
      <c r="P1549" s="1" t="s">
        <v>2056</v>
      </c>
      <c r="Q1549" s="1" t="s">
        <v>1583</v>
      </c>
      <c r="R1549" s="1">
        <f t="shared" si="24"/>
        <v>4</v>
      </c>
      <c r="S1549" s="4">
        <f>J1549*K1549*M1549</f>
        <v>296000</v>
      </c>
    </row>
    <row r="1550" spans="1:19" ht="43" hidden="1" customHeight="1">
      <c r="A1550" s="1" t="s">
        <v>2280</v>
      </c>
      <c r="B1550" s="1" t="s">
        <v>1457</v>
      </c>
      <c r="C1550" s="29">
        <v>45937.407710069398</v>
      </c>
      <c r="D1550" s="1" t="s">
        <v>3083</v>
      </c>
      <c r="E1550" s="1" t="s">
        <v>3084</v>
      </c>
      <c r="F1550" s="1">
        <v>1</v>
      </c>
      <c r="G1550" s="12" t="s">
        <v>582</v>
      </c>
      <c r="H1550" s="1" t="s">
        <v>582</v>
      </c>
      <c r="I1550" s="1" t="s">
        <v>62</v>
      </c>
      <c r="J1550" s="30">
        <v>20</v>
      </c>
      <c r="K1550" s="30">
        <v>18000</v>
      </c>
      <c r="L1550" s="31">
        <v>360000</v>
      </c>
      <c r="M1550" s="1" t="s">
        <v>30</v>
      </c>
      <c r="N1550" s="1" t="s">
        <v>17</v>
      </c>
      <c r="O1550" s="1" t="s">
        <v>2057</v>
      </c>
      <c r="P1550" s="1" t="s">
        <v>2056</v>
      </c>
      <c r="Q1550" s="1" t="s">
        <v>1587</v>
      </c>
      <c r="R1550" s="1">
        <f t="shared" si="24"/>
        <v>4</v>
      </c>
      <c r="S1550" s="4">
        <f>J1550*K1550*M1550</f>
        <v>36000</v>
      </c>
    </row>
    <row r="1551" spans="1:19" ht="43" hidden="1" customHeight="1">
      <c r="A1551" s="1" t="s">
        <v>2280</v>
      </c>
      <c r="B1551" s="1" t="s">
        <v>1467</v>
      </c>
      <c r="C1551" s="29">
        <v>45928.732318564798</v>
      </c>
      <c r="D1551" s="1" t="s">
        <v>3052</v>
      </c>
      <c r="E1551" s="1" t="s">
        <v>3053</v>
      </c>
      <c r="F1551" s="1">
        <v>51</v>
      </c>
      <c r="G1551" s="12" t="s">
        <v>1627</v>
      </c>
      <c r="H1551" s="1" t="s">
        <v>1627</v>
      </c>
      <c r="I1551" s="1" t="s">
        <v>130</v>
      </c>
      <c r="J1551" s="30">
        <v>5</v>
      </c>
      <c r="K1551" s="30">
        <v>498000</v>
      </c>
      <c r="L1551" s="31">
        <v>2490000</v>
      </c>
      <c r="M1551" s="1" t="s">
        <v>16</v>
      </c>
      <c r="N1551" s="1" t="s">
        <v>17</v>
      </c>
      <c r="O1551" s="1" t="s">
        <v>2057</v>
      </c>
      <c r="P1551" s="1" t="s">
        <v>2056</v>
      </c>
      <c r="Q1551" s="1" t="s">
        <v>546</v>
      </c>
      <c r="R1551" s="1">
        <f t="shared" si="24"/>
        <v>3</v>
      </c>
      <c r="S1551" s="4">
        <f>J1551*K1551*M1551</f>
        <v>199200</v>
      </c>
    </row>
    <row r="1552" spans="1:19" ht="43" hidden="1" customHeight="1">
      <c r="A1552" s="1" t="s">
        <v>2280</v>
      </c>
      <c r="B1552" s="1" t="s">
        <v>1262</v>
      </c>
      <c r="C1552" s="29">
        <v>45838.622051655097</v>
      </c>
      <c r="D1552" s="1" t="s">
        <v>3052</v>
      </c>
      <c r="E1552" s="1" t="s">
        <v>3053</v>
      </c>
      <c r="F1552" s="1">
        <v>17</v>
      </c>
      <c r="G1552" s="12" t="s">
        <v>1627</v>
      </c>
      <c r="H1552" s="1" t="s">
        <v>1627</v>
      </c>
      <c r="I1552" s="1" t="s">
        <v>130</v>
      </c>
      <c r="J1552" s="30">
        <v>1</v>
      </c>
      <c r="K1552" s="30">
        <v>180000</v>
      </c>
      <c r="L1552" s="31">
        <v>180000</v>
      </c>
      <c r="M1552" s="1" t="s">
        <v>30</v>
      </c>
      <c r="N1552" s="1" t="s">
        <v>17</v>
      </c>
      <c r="O1552" s="1" t="s">
        <v>2057</v>
      </c>
      <c r="P1552" s="1" t="s">
        <v>2056</v>
      </c>
      <c r="Q1552" s="1" t="s">
        <v>828</v>
      </c>
      <c r="R1552" s="1">
        <f t="shared" si="24"/>
        <v>2</v>
      </c>
      <c r="S1552" s="4">
        <f>J1552*K1552*M1552</f>
        <v>18000</v>
      </c>
    </row>
    <row r="1553" spans="1:19" ht="43" customHeight="1">
      <c r="A1553" s="1" t="s">
        <v>2280</v>
      </c>
      <c r="B1553" s="1" t="s">
        <v>1400</v>
      </c>
      <c r="C1553" s="29">
        <v>45990.721094398097</v>
      </c>
      <c r="D1553" s="1" t="s">
        <v>3052</v>
      </c>
      <c r="E1553" s="1" t="s">
        <v>3053</v>
      </c>
      <c r="F1553" s="1">
        <v>54</v>
      </c>
      <c r="H1553" s="1" t="s">
        <v>1331</v>
      </c>
      <c r="I1553" s="1" t="s">
        <v>130</v>
      </c>
      <c r="J1553" s="30">
        <v>1</v>
      </c>
      <c r="K1553" s="30">
        <v>50000</v>
      </c>
      <c r="L1553" s="31">
        <v>50000</v>
      </c>
      <c r="M1553" s="1" t="s">
        <v>16</v>
      </c>
      <c r="N1553" s="1" t="s">
        <v>17</v>
      </c>
      <c r="O1553" s="1" t="s">
        <v>2057</v>
      </c>
      <c r="P1553" s="1" t="s">
        <v>2056</v>
      </c>
      <c r="Q1553" s="1" t="s">
        <v>1531</v>
      </c>
      <c r="R1553" s="1">
        <f t="shared" si="24"/>
        <v>4</v>
      </c>
      <c r="S1553" s="4">
        <f>J1553*K1553*M1553</f>
        <v>4000</v>
      </c>
    </row>
    <row r="1554" spans="1:19" ht="43" hidden="1" customHeight="1">
      <c r="A1554" s="1" t="s">
        <v>2072</v>
      </c>
      <c r="B1554" s="1" t="s">
        <v>1295</v>
      </c>
      <c r="C1554" s="29">
        <v>46019.8874690046</v>
      </c>
      <c r="F1554" s="1">
        <v>2</v>
      </c>
      <c r="G1554" s="12" t="s">
        <v>1319</v>
      </c>
      <c r="H1554" s="1" t="s">
        <v>1319</v>
      </c>
      <c r="I1554" s="1" t="s">
        <v>130</v>
      </c>
      <c r="J1554" s="30">
        <v>5</v>
      </c>
      <c r="K1554" s="30">
        <v>16000</v>
      </c>
      <c r="L1554" s="31">
        <v>80000</v>
      </c>
      <c r="M1554" s="1" t="s">
        <v>16</v>
      </c>
      <c r="N1554" s="1" t="s">
        <v>17</v>
      </c>
      <c r="O1554" s="1" t="s">
        <v>2057</v>
      </c>
      <c r="P1554" s="1" t="s">
        <v>2056</v>
      </c>
      <c r="Q1554" s="1" t="s">
        <v>260</v>
      </c>
      <c r="R1554" s="1">
        <f t="shared" si="24"/>
        <v>4</v>
      </c>
      <c r="S1554" s="4">
        <f>J1554*K1554*M1554</f>
        <v>6400</v>
      </c>
    </row>
    <row r="1555" spans="1:19" ht="43" hidden="1" customHeight="1">
      <c r="A1555" s="1" t="s">
        <v>2072</v>
      </c>
      <c r="B1555" s="1" t="s">
        <v>1294</v>
      </c>
      <c r="C1555" s="29">
        <v>46021.613942164397</v>
      </c>
      <c r="D1555" s="1" t="s">
        <v>3052</v>
      </c>
      <c r="E1555" s="1" t="s">
        <v>3053</v>
      </c>
      <c r="F1555" s="1">
        <v>2</v>
      </c>
      <c r="G1555" s="12" t="s">
        <v>1349</v>
      </c>
      <c r="H1555" s="1" t="s">
        <v>1349</v>
      </c>
      <c r="I1555" s="1" t="s">
        <v>130</v>
      </c>
      <c r="J1555" s="30">
        <v>10</v>
      </c>
      <c r="K1555" s="30">
        <v>40000</v>
      </c>
      <c r="L1555" s="31">
        <v>400000</v>
      </c>
      <c r="M1555" s="1" t="s">
        <v>16</v>
      </c>
      <c r="N1555" s="1" t="s">
        <v>17</v>
      </c>
      <c r="O1555" s="1" t="s">
        <v>2057</v>
      </c>
      <c r="P1555" s="1" t="s">
        <v>2056</v>
      </c>
      <c r="Q1555" s="1" t="s">
        <v>1474</v>
      </c>
      <c r="R1555" s="1">
        <f t="shared" si="24"/>
        <v>4</v>
      </c>
      <c r="S1555" s="4">
        <f>J1555*K1555*M1555</f>
        <v>32000</v>
      </c>
    </row>
    <row r="1556" spans="1:19" ht="43" hidden="1" customHeight="1">
      <c r="A1556" s="1" t="s">
        <v>2280</v>
      </c>
      <c r="B1556" s="1" t="s">
        <v>1400</v>
      </c>
      <c r="C1556" s="29">
        <v>45990.721094398097</v>
      </c>
      <c r="D1556" s="1" t="s">
        <v>3052</v>
      </c>
      <c r="E1556" s="1" t="s">
        <v>3053</v>
      </c>
      <c r="F1556" s="1">
        <v>32</v>
      </c>
      <c r="G1556" s="12" t="s">
        <v>2201</v>
      </c>
      <c r="H1556" s="1" t="s">
        <v>1538</v>
      </c>
      <c r="I1556" s="1" t="s">
        <v>130</v>
      </c>
      <c r="J1556" s="30">
        <v>14</v>
      </c>
      <c r="K1556" s="30">
        <v>130000</v>
      </c>
      <c r="L1556" s="31">
        <v>1820000</v>
      </c>
      <c r="M1556" s="1" t="s">
        <v>16</v>
      </c>
      <c r="N1556" s="1" t="s">
        <v>17</v>
      </c>
      <c r="O1556" s="1" t="s">
        <v>2057</v>
      </c>
      <c r="P1556" s="1" t="s">
        <v>2056</v>
      </c>
      <c r="Q1556" s="1" t="s">
        <v>1531</v>
      </c>
      <c r="R1556" s="1">
        <f t="shared" si="24"/>
        <v>4</v>
      </c>
      <c r="S1556" s="4">
        <f>J1556*K1556*M1556</f>
        <v>145600</v>
      </c>
    </row>
    <row r="1557" spans="1:19" ht="43" customHeight="1">
      <c r="A1557" s="1" t="s">
        <v>2280</v>
      </c>
      <c r="B1557" s="1" t="s">
        <v>1412</v>
      </c>
      <c r="C1557" s="29">
        <v>45898.896986157401</v>
      </c>
      <c r="D1557" s="1" t="s">
        <v>3052</v>
      </c>
      <c r="E1557" s="1" t="s">
        <v>3053</v>
      </c>
      <c r="F1557" s="1">
        <v>50</v>
      </c>
      <c r="H1557" s="1" t="s">
        <v>1694</v>
      </c>
      <c r="I1557" s="1" t="s">
        <v>130</v>
      </c>
      <c r="J1557" s="30">
        <v>1</v>
      </c>
      <c r="K1557" s="30">
        <v>40000</v>
      </c>
      <c r="L1557" s="31">
        <v>40000</v>
      </c>
      <c r="M1557" s="1" t="s">
        <v>16</v>
      </c>
      <c r="N1557" s="1" t="s">
        <v>17</v>
      </c>
      <c r="O1557" s="1" t="s">
        <v>2057</v>
      </c>
      <c r="P1557" s="1" t="s">
        <v>2056</v>
      </c>
      <c r="Q1557" s="1" t="s">
        <v>652</v>
      </c>
      <c r="R1557" s="1">
        <f t="shared" si="24"/>
        <v>3</v>
      </c>
      <c r="S1557" s="4">
        <f>J1557*K1557*M1557</f>
        <v>3200</v>
      </c>
    </row>
    <row r="1558" spans="1:19" ht="43" customHeight="1">
      <c r="A1558" s="1" t="s">
        <v>2280</v>
      </c>
      <c r="B1558" s="1" t="s">
        <v>1412</v>
      </c>
      <c r="C1558" s="29">
        <v>45898.896986157401</v>
      </c>
      <c r="D1558" s="1" t="s">
        <v>3052</v>
      </c>
      <c r="E1558" s="1" t="s">
        <v>3053</v>
      </c>
      <c r="F1558" s="1">
        <v>56</v>
      </c>
      <c r="H1558" s="1" t="s">
        <v>1694</v>
      </c>
      <c r="I1558" s="1" t="s">
        <v>130</v>
      </c>
      <c r="J1558" s="30">
        <v>1</v>
      </c>
      <c r="K1558" s="30">
        <v>60000</v>
      </c>
      <c r="L1558" s="31">
        <v>60000</v>
      </c>
      <c r="M1558" s="1" t="s">
        <v>16</v>
      </c>
      <c r="N1558" s="1" t="s">
        <v>17</v>
      </c>
      <c r="O1558" s="1" t="s">
        <v>2057</v>
      </c>
      <c r="P1558" s="1" t="s">
        <v>2056</v>
      </c>
      <c r="Q1558" s="1" t="s">
        <v>652</v>
      </c>
      <c r="R1558" s="1">
        <f t="shared" si="24"/>
        <v>3</v>
      </c>
      <c r="S1558" s="4">
        <f>J1558*K1558*M1558</f>
        <v>4800</v>
      </c>
    </row>
    <row r="1559" spans="1:19" ht="43" hidden="1" customHeight="1">
      <c r="A1559" s="1" t="s">
        <v>2280</v>
      </c>
      <c r="B1559" s="1" t="s">
        <v>1467</v>
      </c>
      <c r="C1559" s="29">
        <v>45928.732318564798</v>
      </c>
      <c r="D1559" s="1" t="s">
        <v>3052</v>
      </c>
      <c r="E1559" s="1" t="s">
        <v>3053</v>
      </c>
      <c r="F1559" s="1">
        <v>11</v>
      </c>
      <c r="G1559" s="12" t="s">
        <v>1293</v>
      </c>
      <c r="H1559" s="1" t="s">
        <v>1293</v>
      </c>
      <c r="I1559" s="1" t="s">
        <v>130</v>
      </c>
      <c r="J1559" s="30">
        <v>5</v>
      </c>
      <c r="K1559" s="30">
        <v>10000</v>
      </c>
      <c r="L1559" s="31">
        <v>50000</v>
      </c>
      <c r="M1559" s="1" t="s">
        <v>16</v>
      </c>
      <c r="N1559" s="1" t="s">
        <v>17</v>
      </c>
      <c r="O1559" s="1" t="s">
        <v>2057</v>
      </c>
      <c r="P1559" s="1" t="s">
        <v>2056</v>
      </c>
      <c r="Q1559" s="1" t="s">
        <v>546</v>
      </c>
      <c r="R1559" s="1">
        <f t="shared" si="24"/>
        <v>3</v>
      </c>
      <c r="S1559" s="4">
        <f>J1559*K1559*M1559</f>
        <v>4000</v>
      </c>
    </row>
    <row r="1560" spans="1:19" ht="43" customHeight="1">
      <c r="A1560" s="1" t="s">
        <v>2280</v>
      </c>
      <c r="B1560" s="1" t="s">
        <v>91</v>
      </c>
      <c r="C1560" s="29">
        <v>45899.644512638901</v>
      </c>
      <c r="D1560" s="1" t="s">
        <v>3052</v>
      </c>
      <c r="E1560" s="1" t="s">
        <v>3053</v>
      </c>
      <c r="F1560" s="1">
        <v>22</v>
      </c>
      <c r="H1560" s="1" t="s">
        <v>1658</v>
      </c>
      <c r="I1560" s="1" t="s">
        <v>130</v>
      </c>
      <c r="J1560" s="30">
        <v>3</v>
      </c>
      <c r="K1560" s="30">
        <v>60000</v>
      </c>
      <c r="L1560" s="31">
        <v>180000</v>
      </c>
      <c r="M1560" s="1" t="s">
        <v>16</v>
      </c>
      <c r="N1560" s="1" t="s">
        <v>17</v>
      </c>
      <c r="O1560" s="1" t="s">
        <v>2057</v>
      </c>
      <c r="P1560" s="1" t="s">
        <v>2056</v>
      </c>
      <c r="Q1560" s="1" t="s">
        <v>636</v>
      </c>
      <c r="R1560" s="1">
        <f t="shared" si="24"/>
        <v>3</v>
      </c>
      <c r="S1560" s="4">
        <f>J1560*K1560*M1560</f>
        <v>14400</v>
      </c>
    </row>
    <row r="1561" spans="1:19" ht="43" customHeight="1">
      <c r="A1561" s="1" t="s">
        <v>2280</v>
      </c>
      <c r="B1561" s="1" t="s">
        <v>1412</v>
      </c>
      <c r="C1561" s="29">
        <v>45898.896986157401</v>
      </c>
      <c r="D1561" s="1" t="s">
        <v>3052</v>
      </c>
      <c r="E1561" s="1" t="s">
        <v>3053</v>
      </c>
      <c r="F1561" s="1">
        <v>49</v>
      </c>
      <c r="H1561" s="1" t="s">
        <v>1658</v>
      </c>
      <c r="I1561" s="1" t="s">
        <v>130</v>
      </c>
      <c r="J1561" s="30">
        <v>1</v>
      </c>
      <c r="K1561" s="30">
        <v>55000</v>
      </c>
      <c r="L1561" s="31">
        <v>55000</v>
      </c>
      <c r="M1561" s="1" t="s">
        <v>16</v>
      </c>
      <c r="N1561" s="1" t="s">
        <v>17</v>
      </c>
      <c r="O1561" s="1" t="s">
        <v>2057</v>
      </c>
      <c r="P1561" s="1" t="s">
        <v>2056</v>
      </c>
      <c r="Q1561" s="1" t="s">
        <v>652</v>
      </c>
      <c r="R1561" s="1">
        <f t="shared" si="24"/>
        <v>3</v>
      </c>
      <c r="S1561" s="4">
        <f>J1561*K1561*M1561</f>
        <v>4400</v>
      </c>
    </row>
    <row r="1562" spans="1:19" ht="43" hidden="1" customHeight="1">
      <c r="A1562" s="1" t="s">
        <v>2280</v>
      </c>
      <c r="B1562" s="1" t="s">
        <v>1462</v>
      </c>
      <c r="C1562" s="29">
        <v>45928.944135983802</v>
      </c>
      <c r="D1562" s="1" t="s">
        <v>3052</v>
      </c>
      <c r="E1562" s="1" t="s">
        <v>3053</v>
      </c>
      <c r="F1562" s="1">
        <v>14</v>
      </c>
      <c r="G1562" s="12" t="s">
        <v>1325</v>
      </c>
      <c r="H1562" s="1" t="s">
        <v>1325</v>
      </c>
      <c r="I1562" s="1" t="s">
        <v>130</v>
      </c>
      <c r="J1562" s="30">
        <v>1</v>
      </c>
      <c r="K1562" s="30">
        <v>50000</v>
      </c>
      <c r="L1562" s="31">
        <v>50000</v>
      </c>
      <c r="M1562" s="1" t="s">
        <v>16</v>
      </c>
      <c r="N1562" s="1" t="s">
        <v>17</v>
      </c>
      <c r="O1562" s="1" t="s">
        <v>2057</v>
      </c>
      <c r="P1562" s="1" t="s">
        <v>2056</v>
      </c>
      <c r="Q1562" s="1" t="s">
        <v>546</v>
      </c>
      <c r="R1562" s="1">
        <f t="shared" si="24"/>
        <v>3</v>
      </c>
      <c r="S1562" s="4">
        <f>J1562*K1562*M1562</f>
        <v>4000</v>
      </c>
    </row>
    <row r="1563" spans="1:19" ht="43" customHeight="1">
      <c r="A1563" s="1" t="s">
        <v>2280</v>
      </c>
      <c r="B1563" s="1" t="s">
        <v>1413</v>
      </c>
      <c r="C1563" s="29">
        <v>45889.506525011602</v>
      </c>
      <c r="D1563" s="1" t="s">
        <v>3054</v>
      </c>
      <c r="E1563" s="1" t="s">
        <v>3055</v>
      </c>
      <c r="F1563" s="1">
        <v>8</v>
      </c>
      <c r="H1563" s="1" t="s">
        <v>1734</v>
      </c>
      <c r="I1563" s="1" t="s">
        <v>62</v>
      </c>
      <c r="J1563" s="30">
        <v>1008</v>
      </c>
      <c r="K1563" s="30">
        <v>19000</v>
      </c>
      <c r="L1563" s="31">
        <v>19152000</v>
      </c>
      <c r="M1563" s="1" t="s">
        <v>30</v>
      </c>
      <c r="N1563" s="1" t="s">
        <v>17</v>
      </c>
      <c r="O1563" s="1" t="s">
        <v>2057</v>
      </c>
      <c r="P1563" s="1" t="s">
        <v>2056</v>
      </c>
      <c r="Q1563" s="1" t="s">
        <v>674</v>
      </c>
      <c r="R1563" s="1">
        <f t="shared" si="24"/>
        <v>3</v>
      </c>
      <c r="S1563" s="4">
        <f>J1563*K1563*M1563</f>
        <v>1915200</v>
      </c>
    </row>
    <row r="1564" spans="1:19" ht="43" customHeight="1">
      <c r="A1564" s="1" t="s">
        <v>2280</v>
      </c>
      <c r="B1564" s="1" t="s">
        <v>1413</v>
      </c>
      <c r="C1564" s="29">
        <v>45889.506525011602</v>
      </c>
      <c r="D1564" s="1" t="s">
        <v>3054</v>
      </c>
      <c r="E1564" s="1" t="s">
        <v>3055</v>
      </c>
      <c r="F1564" s="1">
        <v>14</v>
      </c>
      <c r="H1564" s="1" t="s">
        <v>1738</v>
      </c>
      <c r="I1564" s="1" t="s">
        <v>62</v>
      </c>
      <c r="J1564" s="30">
        <v>374</v>
      </c>
      <c r="K1564" s="30">
        <v>19000</v>
      </c>
      <c r="L1564" s="31">
        <v>7106000</v>
      </c>
      <c r="M1564" s="1" t="s">
        <v>30</v>
      </c>
      <c r="N1564" s="1" t="s">
        <v>17</v>
      </c>
      <c r="O1564" s="1" t="s">
        <v>2057</v>
      </c>
      <c r="P1564" s="1" t="s">
        <v>2056</v>
      </c>
      <c r="Q1564" s="1" t="s">
        <v>674</v>
      </c>
      <c r="R1564" s="1">
        <f t="shared" si="24"/>
        <v>3</v>
      </c>
      <c r="S1564" s="4">
        <f>J1564*K1564*M1564</f>
        <v>710600</v>
      </c>
    </row>
    <row r="1565" spans="1:19" ht="43" customHeight="1">
      <c r="A1565" s="1" t="s">
        <v>2280</v>
      </c>
      <c r="B1565" s="1" t="s">
        <v>1294</v>
      </c>
      <c r="C1565" s="29">
        <v>45808.709792268499</v>
      </c>
      <c r="D1565" s="1" t="s">
        <v>3052</v>
      </c>
      <c r="E1565" s="1" t="s">
        <v>3053</v>
      </c>
      <c r="F1565" s="1">
        <v>2</v>
      </c>
      <c r="H1565" s="1" t="s">
        <v>1868</v>
      </c>
      <c r="I1565" s="1" t="s">
        <v>71</v>
      </c>
      <c r="J1565" s="30">
        <v>231</v>
      </c>
      <c r="K1565" s="30">
        <v>21000</v>
      </c>
      <c r="L1565" s="31">
        <v>4851000</v>
      </c>
      <c r="M1565" s="1" t="s">
        <v>30</v>
      </c>
      <c r="N1565" s="1" t="s">
        <v>17</v>
      </c>
      <c r="O1565" s="1" t="s">
        <v>2057</v>
      </c>
      <c r="P1565" s="1" t="s">
        <v>2056</v>
      </c>
      <c r="Q1565" s="1" t="s">
        <v>36</v>
      </c>
      <c r="R1565" s="1">
        <f t="shared" si="24"/>
        <v>2</v>
      </c>
      <c r="S1565" s="4">
        <f>J1565*K1565*M1565</f>
        <v>485100</v>
      </c>
    </row>
    <row r="1566" spans="1:19" ht="43" hidden="1" customHeight="1">
      <c r="A1566" s="1" t="s">
        <v>2280</v>
      </c>
      <c r="B1566" s="1" t="s">
        <v>1462</v>
      </c>
      <c r="C1566" s="29">
        <v>45928.944135983802</v>
      </c>
      <c r="D1566" s="1" t="s">
        <v>3052</v>
      </c>
      <c r="E1566" s="1" t="s">
        <v>3053</v>
      </c>
      <c r="F1566" s="1">
        <v>50</v>
      </c>
      <c r="G1566" s="12" t="s">
        <v>1612</v>
      </c>
      <c r="H1566" s="1" t="s">
        <v>1612</v>
      </c>
      <c r="I1566" s="1" t="s">
        <v>1259</v>
      </c>
      <c r="J1566" s="30">
        <v>10</v>
      </c>
      <c r="K1566" s="30">
        <v>118000</v>
      </c>
      <c r="L1566" s="31">
        <v>1180000</v>
      </c>
      <c r="M1566" s="1" t="s">
        <v>16</v>
      </c>
      <c r="N1566" s="1" t="s">
        <v>17</v>
      </c>
      <c r="O1566" s="1" t="s">
        <v>2057</v>
      </c>
      <c r="P1566" s="1" t="s">
        <v>2056</v>
      </c>
      <c r="Q1566" s="1" t="s">
        <v>546</v>
      </c>
      <c r="R1566" s="1">
        <f t="shared" si="24"/>
        <v>3</v>
      </c>
      <c r="S1566" s="4">
        <f>J1566*K1566*M1566</f>
        <v>94400</v>
      </c>
    </row>
    <row r="1567" spans="1:19" ht="43" hidden="1" customHeight="1">
      <c r="A1567" s="1" t="s">
        <v>2280</v>
      </c>
      <c r="B1567" s="1" t="s">
        <v>1400</v>
      </c>
      <c r="C1567" s="29">
        <v>45990.721094398097</v>
      </c>
      <c r="D1567" s="1" t="s">
        <v>3052</v>
      </c>
      <c r="E1567" s="1" t="s">
        <v>3053</v>
      </c>
      <c r="F1567" s="1">
        <v>41</v>
      </c>
      <c r="G1567" s="12" t="s">
        <v>566</v>
      </c>
      <c r="H1567" s="1" t="s">
        <v>566</v>
      </c>
      <c r="I1567" s="1" t="s">
        <v>1259</v>
      </c>
      <c r="J1567" s="30">
        <v>5</v>
      </c>
      <c r="K1567" s="30">
        <v>130000</v>
      </c>
      <c r="L1567" s="31">
        <v>650000</v>
      </c>
      <c r="M1567" s="1" t="s">
        <v>16</v>
      </c>
      <c r="N1567" s="1" t="s">
        <v>17</v>
      </c>
      <c r="O1567" s="1" t="s">
        <v>2057</v>
      </c>
      <c r="P1567" s="1" t="s">
        <v>2056</v>
      </c>
      <c r="Q1567" s="1" t="s">
        <v>1531</v>
      </c>
      <c r="R1567" s="1">
        <f t="shared" si="24"/>
        <v>4</v>
      </c>
      <c r="S1567" s="4">
        <f>J1567*K1567*M1567</f>
        <v>52000</v>
      </c>
    </row>
    <row r="1568" spans="1:19" ht="43" hidden="1" customHeight="1">
      <c r="A1568" s="1" t="s">
        <v>2280</v>
      </c>
      <c r="B1568" s="1" t="s">
        <v>326</v>
      </c>
      <c r="C1568" s="29">
        <v>45960.658345080999</v>
      </c>
      <c r="D1568" s="1" t="s">
        <v>3052</v>
      </c>
      <c r="E1568" s="1" t="s">
        <v>3053</v>
      </c>
      <c r="F1568" s="1">
        <v>5</v>
      </c>
      <c r="G1568" s="12" t="s">
        <v>566</v>
      </c>
      <c r="H1568" s="1" t="s">
        <v>566</v>
      </c>
      <c r="I1568" s="1" t="s">
        <v>1259</v>
      </c>
      <c r="J1568" s="30">
        <v>5</v>
      </c>
      <c r="K1568" s="30">
        <v>130000</v>
      </c>
      <c r="L1568" s="31">
        <v>650000</v>
      </c>
      <c r="M1568" s="1" t="s">
        <v>16</v>
      </c>
      <c r="N1568" s="1" t="s">
        <v>17</v>
      </c>
      <c r="O1568" s="1" t="s">
        <v>2057</v>
      </c>
      <c r="P1568" s="1" t="s">
        <v>2056</v>
      </c>
      <c r="Q1568" s="1" t="s">
        <v>533</v>
      </c>
      <c r="R1568" s="1">
        <f t="shared" si="24"/>
        <v>4</v>
      </c>
      <c r="S1568" s="4">
        <f>J1568*K1568*M1568</f>
        <v>52000</v>
      </c>
    </row>
    <row r="1569" spans="1:19" ht="43" hidden="1" customHeight="1">
      <c r="A1569" s="1" t="s">
        <v>2280</v>
      </c>
      <c r="B1569" s="1" t="s">
        <v>1462</v>
      </c>
      <c r="C1569" s="29">
        <v>45928.944135983802</v>
      </c>
      <c r="D1569" s="1" t="s">
        <v>3052</v>
      </c>
      <c r="E1569" s="1" t="s">
        <v>3053</v>
      </c>
      <c r="F1569" s="1">
        <v>49</v>
      </c>
      <c r="G1569" s="12" t="s">
        <v>566</v>
      </c>
      <c r="H1569" s="1" t="s">
        <v>566</v>
      </c>
      <c r="I1569" s="1" t="s">
        <v>1259</v>
      </c>
      <c r="J1569" s="30">
        <v>10</v>
      </c>
      <c r="K1569" s="30">
        <v>130000</v>
      </c>
      <c r="L1569" s="31">
        <v>1300000</v>
      </c>
      <c r="M1569" s="1" t="s">
        <v>16</v>
      </c>
      <c r="N1569" s="1" t="s">
        <v>17</v>
      </c>
      <c r="O1569" s="1" t="s">
        <v>2057</v>
      </c>
      <c r="P1569" s="1" t="s">
        <v>2056</v>
      </c>
      <c r="Q1569" s="1" t="s">
        <v>546</v>
      </c>
      <c r="R1569" s="1">
        <f t="shared" si="24"/>
        <v>3</v>
      </c>
      <c r="S1569" s="4">
        <f>J1569*K1569*M1569</f>
        <v>104000</v>
      </c>
    </row>
    <row r="1570" spans="1:19" ht="43" customHeight="1">
      <c r="A1570" s="1" t="s">
        <v>2280</v>
      </c>
      <c r="B1570" s="1" t="s">
        <v>13</v>
      </c>
      <c r="C1570" s="29">
        <v>45776.499996342602</v>
      </c>
      <c r="D1570" s="1" t="s">
        <v>3052</v>
      </c>
      <c r="E1570" s="1" t="s">
        <v>3053</v>
      </c>
      <c r="F1570" s="1">
        <v>13</v>
      </c>
      <c r="H1570" s="1" t="s">
        <v>1931</v>
      </c>
      <c r="I1570" s="1" t="s">
        <v>15</v>
      </c>
      <c r="J1570" s="30">
        <v>10</v>
      </c>
      <c r="K1570" s="30">
        <v>360000</v>
      </c>
      <c r="L1570" s="31">
        <v>3600000</v>
      </c>
      <c r="M1570" s="1" t="s">
        <v>16</v>
      </c>
      <c r="N1570" s="1" t="s">
        <v>17</v>
      </c>
      <c r="O1570" s="1" t="s">
        <v>2057</v>
      </c>
      <c r="P1570" s="1" t="s">
        <v>2056</v>
      </c>
      <c r="Q1570" s="1" t="s">
        <v>937</v>
      </c>
      <c r="R1570" s="1">
        <f t="shared" si="24"/>
        <v>2</v>
      </c>
      <c r="S1570" s="4">
        <f>J1570*K1570*M1570</f>
        <v>288000</v>
      </c>
    </row>
    <row r="1571" spans="1:19" ht="43" customHeight="1">
      <c r="A1571" s="1" t="s">
        <v>2280</v>
      </c>
      <c r="B1571" s="1" t="s">
        <v>13</v>
      </c>
      <c r="C1571" s="29">
        <v>45776.499996342602</v>
      </c>
      <c r="D1571" s="1" t="s">
        <v>3052</v>
      </c>
      <c r="E1571" s="1" t="s">
        <v>3053</v>
      </c>
      <c r="F1571" s="1">
        <v>29</v>
      </c>
      <c r="H1571" s="1" t="s">
        <v>1931</v>
      </c>
      <c r="I1571" s="1" t="s">
        <v>15</v>
      </c>
      <c r="J1571" s="30">
        <v>3</v>
      </c>
      <c r="K1571" s="30">
        <v>100000</v>
      </c>
      <c r="L1571" s="31">
        <v>300000</v>
      </c>
      <c r="M1571" s="1" t="s">
        <v>16</v>
      </c>
      <c r="N1571" s="1" t="s">
        <v>17</v>
      </c>
      <c r="O1571" s="1" t="s">
        <v>2057</v>
      </c>
      <c r="P1571" s="1" t="s">
        <v>2056</v>
      </c>
      <c r="Q1571" s="1" t="s">
        <v>937</v>
      </c>
      <c r="R1571" s="1">
        <f t="shared" si="24"/>
        <v>2</v>
      </c>
      <c r="S1571" s="4">
        <f>J1571*K1571*M1571</f>
        <v>24000</v>
      </c>
    </row>
    <row r="1572" spans="1:19" ht="43" customHeight="1">
      <c r="A1572" s="1" t="s">
        <v>2280</v>
      </c>
      <c r="B1572" s="1" t="s">
        <v>13</v>
      </c>
      <c r="C1572" s="29">
        <v>45776.499996342602</v>
      </c>
      <c r="D1572" s="1" t="s">
        <v>3052</v>
      </c>
      <c r="E1572" s="1" t="s">
        <v>3053</v>
      </c>
      <c r="F1572" s="1">
        <v>67</v>
      </c>
      <c r="H1572" s="1" t="s">
        <v>1931</v>
      </c>
      <c r="I1572" s="1" t="s">
        <v>130</v>
      </c>
      <c r="J1572" s="30">
        <v>2</v>
      </c>
      <c r="K1572" s="30">
        <v>60000</v>
      </c>
      <c r="L1572" s="31">
        <v>120000</v>
      </c>
      <c r="M1572" s="1" t="s">
        <v>16</v>
      </c>
      <c r="N1572" s="1" t="s">
        <v>17</v>
      </c>
      <c r="O1572" s="1" t="s">
        <v>2057</v>
      </c>
      <c r="P1572" s="1" t="s">
        <v>2056</v>
      </c>
      <c r="Q1572" s="1" t="s">
        <v>937</v>
      </c>
      <c r="R1572" s="1">
        <f t="shared" si="24"/>
        <v>2</v>
      </c>
      <c r="S1572" s="4">
        <f>J1572*K1572*M1572</f>
        <v>9600</v>
      </c>
    </row>
    <row r="1573" spans="1:19" ht="43" hidden="1" customHeight="1">
      <c r="A1573" s="1" t="s">
        <v>2280</v>
      </c>
      <c r="B1573" s="1" t="s">
        <v>13</v>
      </c>
      <c r="C1573" s="29">
        <v>45776.499996342602</v>
      </c>
      <c r="D1573" s="1" t="s">
        <v>3052</v>
      </c>
      <c r="E1573" s="1" t="s">
        <v>3053</v>
      </c>
      <c r="F1573" s="1">
        <v>30</v>
      </c>
      <c r="G1573" s="12" t="s">
        <v>959</v>
      </c>
      <c r="H1573" s="1" t="s">
        <v>1943</v>
      </c>
      <c r="I1573" s="1" t="s">
        <v>15</v>
      </c>
      <c r="J1573" s="30">
        <v>1</v>
      </c>
      <c r="K1573" s="30">
        <v>50000</v>
      </c>
      <c r="L1573" s="31">
        <v>50000</v>
      </c>
      <c r="M1573" s="1" t="s">
        <v>16</v>
      </c>
      <c r="N1573" s="1" t="s">
        <v>17</v>
      </c>
      <c r="O1573" s="1" t="s">
        <v>2057</v>
      </c>
      <c r="P1573" s="1" t="s">
        <v>2056</v>
      </c>
      <c r="Q1573" s="1" t="s">
        <v>937</v>
      </c>
      <c r="R1573" s="1">
        <f t="shared" si="24"/>
        <v>2</v>
      </c>
      <c r="S1573" s="4">
        <f>J1573*K1573*M1573</f>
        <v>4000</v>
      </c>
    </row>
    <row r="1574" spans="1:19" ht="43" hidden="1" customHeight="1">
      <c r="A1574" s="1" t="s">
        <v>2280</v>
      </c>
      <c r="B1574" s="1" t="s">
        <v>1460</v>
      </c>
      <c r="C1574" s="29">
        <v>45933.374550393499</v>
      </c>
      <c r="D1574" s="1" t="s">
        <v>3063</v>
      </c>
      <c r="E1574" s="1" t="s">
        <v>3062</v>
      </c>
      <c r="F1574" s="1">
        <v>1</v>
      </c>
      <c r="G1574" s="12" t="s">
        <v>2160</v>
      </c>
      <c r="H1574" s="1" t="s">
        <v>113</v>
      </c>
      <c r="I1574" s="1" t="s">
        <v>1268</v>
      </c>
      <c r="J1574" s="30">
        <v>300</v>
      </c>
      <c r="K1574" s="30">
        <v>305000</v>
      </c>
      <c r="L1574" s="31">
        <v>91500000</v>
      </c>
      <c r="M1574" s="1" t="s">
        <v>16</v>
      </c>
      <c r="N1574" s="1" t="s">
        <v>17</v>
      </c>
      <c r="O1574" s="1" t="s">
        <v>2057</v>
      </c>
      <c r="P1574" s="1" t="s">
        <v>2056</v>
      </c>
      <c r="Q1574" s="1" t="s">
        <v>1591</v>
      </c>
      <c r="R1574" s="1">
        <f t="shared" si="24"/>
        <v>4</v>
      </c>
      <c r="S1574" s="4">
        <f>J1574*K1574*M1574</f>
        <v>7320000</v>
      </c>
    </row>
    <row r="1575" spans="1:19" ht="43" hidden="1" customHeight="1">
      <c r="A1575" s="1" t="s">
        <v>2280</v>
      </c>
      <c r="B1575" s="1" t="s">
        <v>209</v>
      </c>
      <c r="C1575" s="29">
        <v>45852.4045961343</v>
      </c>
      <c r="D1575" s="1" t="s">
        <v>3063</v>
      </c>
      <c r="E1575" s="1" t="s">
        <v>3062</v>
      </c>
      <c r="F1575" s="1">
        <v>1</v>
      </c>
      <c r="G1575" s="12" t="s">
        <v>2160</v>
      </c>
      <c r="H1575" s="1" t="s">
        <v>113</v>
      </c>
      <c r="I1575" s="1" t="s">
        <v>114</v>
      </c>
      <c r="J1575" s="30">
        <v>300</v>
      </c>
      <c r="K1575" s="30">
        <v>305000</v>
      </c>
      <c r="L1575" s="31">
        <v>91500000</v>
      </c>
      <c r="M1575" s="1" t="s">
        <v>16</v>
      </c>
      <c r="N1575" s="1" t="s">
        <v>17</v>
      </c>
      <c r="O1575" s="1" t="s">
        <v>2057</v>
      </c>
      <c r="P1575" s="1" t="s">
        <v>2056</v>
      </c>
      <c r="Q1575" s="1" t="s">
        <v>1799</v>
      </c>
      <c r="R1575" s="1">
        <f t="shared" si="24"/>
        <v>3</v>
      </c>
      <c r="S1575" s="4">
        <f>J1575*K1575*M1575</f>
        <v>7320000</v>
      </c>
    </row>
    <row r="1576" spans="1:19" ht="43" hidden="1" customHeight="1">
      <c r="A1576" s="1" t="s">
        <v>2280</v>
      </c>
      <c r="B1576" s="1" t="s">
        <v>213</v>
      </c>
      <c r="C1576" s="29">
        <v>45817.356240347202</v>
      </c>
      <c r="D1576" s="1" t="s">
        <v>3058</v>
      </c>
      <c r="E1576" s="1" t="s">
        <v>3059</v>
      </c>
      <c r="F1576" s="1">
        <v>1</v>
      </c>
      <c r="G1576" s="12" t="s">
        <v>2160</v>
      </c>
      <c r="H1576" s="1" t="s">
        <v>113</v>
      </c>
      <c r="I1576" s="1" t="s">
        <v>114</v>
      </c>
      <c r="J1576" s="30">
        <v>360</v>
      </c>
      <c r="K1576" s="30">
        <v>333333.33</v>
      </c>
      <c r="L1576" s="31">
        <v>119999998.8</v>
      </c>
      <c r="M1576" s="1" t="s">
        <v>16</v>
      </c>
      <c r="N1576" s="1" t="s">
        <v>17</v>
      </c>
      <c r="O1576" s="1" t="s">
        <v>2057</v>
      </c>
      <c r="P1576" s="1" t="s">
        <v>2056</v>
      </c>
      <c r="Q1576" s="1" t="s">
        <v>1860</v>
      </c>
      <c r="R1576" s="1">
        <f t="shared" si="24"/>
        <v>2</v>
      </c>
      <c r="S1576" s="4">
        <f>J1576*K1576*M1576</f>
        <v>9599999.904000001</v>
      </c>
    </row>
    <row r="1577" spans="1:19" ht="43" hidden="1" customHeight="1">
      <c r="A1577" s="1" t="s">
        <v>2280</v>
      </c>
      <c r="B1577" s="1" t="s">
        <v>1291</v>
      </c>
      <c r="C1577" s="29">
        <v>45814.364218344897</v>
      </c>
      <c r="D1577" s="1" t="s">
        <v>3063</v>
      </c>
      <c r="E1577" s="1" t="s">
        <v>3062</v>
      </c>
      <c r="F1577" s="1">
        <v>1</v>
      </c>
      <c r="G1577" s="12" t="s">
        <v>2160</v>
      </c>
      <c r="H1577" s="1" t="s">
        <v>113</v>
      </c>
      <c r="I1577" s="1" t="s">
        <v>114</v>
      </c>
      <c r="J1577" s="30">
        <v>200</v>
      </c>
      <c r="K1577" s="30">
        <v>305000</v>
      </c>
      <c r="L1577" s="31">
        <v>61000000</v>
      </c>
      <c r="M1577" s="1" t="s">
        <v>16</v>
      </c>
      <c r="N1577" s="1" t="s">
        <v>17</v>
      </c>
      <c r="O1577" s="1" t="s">
        <v>2057</v>
      </c>
      <c r="P1577" s="1" t="s">
        <v>2056</v>
      </c>
      <c r="Q1577" s="1" t="s">
        <v>32</v>
      </c>
      <c r="R1577" s="1">
        <f t="shared" si="24"/>
        <v>2</v>
      </c>
      <c r="S1577" s="4">
        <f>J1577*K1577*M1577</f>
        <v>4880000</v>
      </c>
    </row>
    <row r="1578" spans="1:19" ht="43" hidden="1" customHeight="1">
      <c r="A1578" s="1" t="s">
        <v>2280</v>
      </c>
      <c r="B1578" s="1" t="s">
        <v>457</v>
      </c>
      <c r="C1578" s="29">
        <v>45789.645248576402</v>
      </c>
      <c r="D1578" s="1" t="s">
        <v>3070</v>
      </c>
      <c r="E1578" s="1" t="s">
        <v>3059</v>
      </c>
      <c r="F1578" s="1">
        <v>1</v>
      </c>
      <c r="G1578" s="12" t="s">
        <v>2160</v>
      </c>
      <c r="H1578" s="1" t="s">
        <v>113</v>
      </c>
      <c r="I1578" s="1" t="s">
        <v>114</v>
      </c>
      <c r="J1578" s="30">
        <v>300</v>
      </c>
      <c r="K1578" s="30">
        <v>330000</v>
      </c>
      <c r="L1578" s="31">
        <v>99000000</v>
      </c>
      <c r="M1578" s="1" t="s">
        <v>16</v>
      </c>
      <c r="N1578" s="1" t="s">
        <v>17</v>
      </c>
      <c r="O1578" s="1" t="s">
        <v>2057</v>
      </c>
      <c r="P1578" s="1" t="s">
        <v>2056</v>
      </c>
      <c r="Q1578" s="1" t="s">
        <v>1895</v>
      </c>
      <c r="R1578" s="1">
        <f t="shared" si="24"/>
        <v>2</v>
      </c>
      <c r="S1578" s="4">
        <f>J1578*K1578*M1578</f>
        <v>7920000</v>
      </c>
    </row>
    <row r="1579" spans="1:19" ht="43" hidden="1" customHeight="1">
      <c r="A1579" s="1" t="s">
        <v>2280</v>
      </c>
      <c r="B1579" s="1" t="s">
        <v>1324</v>
      </c>
      <c r="C1579" s="29">
        <v>45730.722427858796</v>
      </c>
      <c r="D1579" s="1" t="s">
        <v>3098</v>
      </c>
      <c r="E1579" s="1" t="s">
        <v>3099</v>
      </c>
      <c r="F1579" s="1">
        <v>1</v>
      </c>
      <c r="G1579" s="12" t="s">
        <v>2160</v>
      </c>
      <c r="H1579" s="1" t="s">
        <v>113</v>
      </c>
      <c r="I1579" s="1" t="s">
        <v>114</v>
      </c>
      <c r="J1579" s="30">
        <v>30</v>
      </c>
      <c r="K1579" s="30">
        <v>330000</v>
      </c>
      <c r="L1579" s="31">
        <v>9900000</v>
      </c>
      <c r="M1579" s="1" t="s">
        <v>16</v>
      </c>
      <c r="N1579" s="1" t="s">
        <v>17</v>
      </c>
      <c r="O1579" s="1" t="s">
        <v>2057</v>
      </c>
      <c r="P1579" s="1" t="s">
        <v>2056</v>
      </c>
      <c r="Q1579" s="1" t="s">
        <v>40</v>
      </c>
      <c r="R1579" s="1">
        <f t="shared" si="24"/>
        <v>1</v>
      </c>
      <c r="S1579" s="4">
        <f>J1579*K1579*M1579</f>
        <v>792000</v>
      </c>
    </row>
    <row r="1580" spans="1:19" ht="43" hidden="1" customHeight="1">
      <c r="A1580" s="1" t="s">
        <v>2280</v>
      </c>
      <c r="B1580" s="1" t="s">
        <v>1288</v>
      </c>
      <c r="C1580" s="29">
        <v>45817.3639326505</v>
      </c>
      <c r="D1580" s="1" t="s">
        <v>3072</v>
      </c>
      <c r="E1580" s="1" t="s">
        <v>3073</v>
      </c>
      <c r="F1580" s="1">
        <v>1</v>
      </c>
      <c r="G1580" s="12" t="s">
        <v>2160</v>
      </c>
      <c r="H1580" s="1" t="s">
        <v>138</v>
      </c>
      <c r="I1580" s="1" t="s">
        <v>114</v>
      </c>
      <c r="J1580" s="30">
        <v>250</v>
      </c>
      <c r="K1580" s="30">
        <v>400000</v>
      </c>
      <c r="L1580" s="31">
        <v>100000000</v>
      </c>
      <c r="M1580" s="1" t="s">
        <v>16</v>
      </c>
      <c r="N1580" s="1" t="s">
        <v>17</v>
      </c>
      <c r="O1580" s="1" t="s">
        <v>2057</v>
      </c>
      <c r="P1580" s="1" t="s">
        <v>2056</v>
      </c>
      <c r="Q1580" s="1" t="s">
        <v>1860</v>
      </c>
      <c r="R1580" s="1">
        <f t="shared" si="24"/>
        <v>2</v>
      </c>
      <c r="S1580" s="4">
        <f>J1580*K1580*M1580</f>
        <v>8000000</v>
      </c>
    </row>
    <row r="1581" spans="1:19" ht="43" hidden="1" customHeight="1">
      <c r="A1581" s="1" t="s">
        <v>2280</v>
      </c>
      <c r="B1581" s="1" t="s">
        <v>288</v>
      </c>
      <c r="C1581" s="29">
        <v>45672.412478530103</v>
      </c>
      <c r="D1581" s="1" t="s">
        <v>3072</v>
      </c>
      <c r="E1581" s="1" t="s">
        <v>3073</v>
      </c>
      <c r="F1581" s="1">
        <v>1</v>
      </c>
      <c r="G1581" s="12" t="s">
        <v>2160</v>
      </c>
      <c r="H1581" s="1" t="s">
        <v>138</v>
      </c>
      <c r="I1581" s="1" t="s">
        <v>114</v>
      </c>
      <c r="J1581" s="30">
        <v>50</v>
      </c>
      <c r="K1581" s="30">
        <v>400000</v>
      </c>
      <c r="L1581" s="31">
        <v>20000000</v>
      </c>
      <c r="M1581" s="1" t="s">
        <v>16</v>
      </c>
      <c r="N1581" s="1" t="s">
        <v>17</v>
      </c>
      <c r="O1581" s="1" t="s">
        <v>2057</v>
      </c>
      <c r="P1581" s="1" t="s">
        <v>2056</v>
      </c>
      <c r="Q1581" s="1" t="s">
        <v>1227</v>
      </c>
      <c r="R1581" s="1">
        <f t="shared" si="24"/>
        <v>1</v>
      </c>
      <c r="S1581" s="4">
        <f>J1581*K1581*M1581</f>
        <v>1600000</v>
      </c>
    </row>
    <row r="1582" spans="1:19" ht="43" hidden="1" customHeight="1">
      <c r="A1582" s="1" t="s">
        <v>2280</v>
      </c>
      <c r="B1582" s="1" t="s">
        <v>115</v>
      </c>
      <c r="C1582" s="29">
        <v>45917.5250512153</v>
      </c>
      <c r="D1582" s="1" t="s">
        <v>3061</v>
      </c>
      <c r="E1582" s="1" t="s">
        <v>3062</v>
      </c>
      <c r="F1582" s="1">
        <v>1</v>
      </c>
      <c r="G1582" s="12" t="s">
        <v>2160</v>
      </c>
      <c r="H1582" s="1" t="s">
        <v>1650</v>
      </c>
      <c r="I1582" s="1" t="s">
        <v>114</v>
      </c>
      <c r="J1582" s="30">
        <v>200</v>
      </c>
      <c r="K1582" s="30">
        <v>305000</v>
      </c>
      <c r="L1582" s="31">
        <v>61000000</v>
      </c>
      <c r="M1582" s="1" t="s">
        <v>16</v>
      </c>
      <c r="N1582" s="1" t="s">
        <v>17</v>
      </c>
      <c r="O1582" s="1" t="s">
        <v>2057</v>
      </c>
      <c r="P1582" s="1" t="s">
        <v>2056</v>
      </c>
      <c r="Q1582" s="1" t="s">
        <v>598</v>
      </c>
      <c r="R1582" s="1">
        <f t="shared" si="24"/>
        <v>3</v>
      </c>
      <c r="S1582" s="4">
        <f>J1582*K1582*M1582</f>
        <v>4880000</v>
      </c>
    </row>
    <row r="1583" spans="1:19" ht="43" hidden="1" customHeight="1">
      <c r="A1583" s="1" t="s">
        <v>2280</v>
      </c>
      <c r="B1583" s="1" t="s">
        <v>13</v>
      </c>
      <c r="C1583" s="29">
        <v>45776.499996342602</v>
      </c>
      <c r="D1583" s="1" t="s">
        <v>3052</v>
      </c>
      <c r="E1583" s="1" t="s">
        <v>3053</v>
      </c>
      <c r="F1583" s="1">
        <v>66</v>
      </c>
      <c r="G1583" s="12" t="s">
        <v>2160</v>
      </c>
      <c r="H1583" s="1" t="s">
        <v>1650</v>
      </c>
      <c r="I1583" s="1" t="s">
        <v>1268</v>
      </c>
      <c r="J1583" s="30">
        <v>20</v>
      </c>
      <c r="K1583" s="30">
        <v>330000</v>
      </c>
      <c r="L1583" s="31">
        <v>6600000</v>
      </c>
      <c r="M1583" s="1" t="s">
        <v>16</v>
      </c>
      <c r="N1583" s="1" t="s">
        <v>17</v>
      </c>
      <c r="O1583" s="1" t="s">
        <v>2057</v>
      </c>
      <c r="P1583" s="1" t="s">
        <v>2056</v>
      </c>
      <c r="Q1583" s="1" t="s">
        <v>937</v>
      </c>
      <c r="R1583" s="1">
        <f t="shared" si="24"/>
        <v>2</v>
      </c>
      <c r="S1583" s="4">
        <f>J1583*K1583*M1583</f>
        <v>528000</v>
      </c>
    </row>
    <row r="1584" spans="1:19" ht="43" hidden="1" customHeight="1">
      <c r="A1584" s="1" t="s">
        <v>2280</v>
      </c>
      <c r="B1584" s="1" t="s">
        <v>1406</v>
      </c>
      <c r="C1584" s="29">
        <v>45988.732626053199</v>
      </c>
      <c r="D1584" s="1" t="s">
        <v>3056</v>
      </c>
      <c r="E1584" s="1" t="s">
        <v>3057</v>
      </c>
      <c r="F1584" s="1">
        <v>1</v>
      </c>
      <c r="G1584" s="12" t="s">
        <v>2160</v>
      </c>
      <c r="H1584" s="1" t="s">
        <v>1559</v>
      </c>
      <c r="I1584" s="1" t="s">
        <v>114</v>
      </c>
      <c r="J1584" s="30">
        <v>112</v>
      </c>
      <c r="K1584" s="30">
        <v>290000</v>
      </c>
      <c r="L1584" s="31">
        <v>32480000</v>
      </c>
      <c r="M1584" s="1" t="s">
        <v>16</v>
      </c>
      <c r="N1584" s="1" t="s">
        <v>17</v>
      </c>
      <c r="O1584" s="1" t="s">
        <v>2057</v>
      </c>
      <c r="P1584" s="1" t="s">
        <v>2056</v>
      </c>
      <c r="Q1584" s="1" t="s">
        <v>416</v>
      </c>
      <c r="R1584" s="1">
        <f t="shared" si="24"/>
        <v>4</v>
      </c>
      <c r="S1584" s="4">
        <f>J1584*K1584*M1584</f>
        <v>2598400</v>
      </c>
    </row>
    <row r="1585" spans="1:19" ht="43" hidden="1" customHeight="1">
      <c r="A1585" s="1" t="s">
        <v>2280</v>
      </c>
      <c r="B1585" s="1" t="s">
        <v>1400</v>
      </c>
      <c r="C1585" s="29">
        <v>45990.721094398097</v>
      </c>
      <c r="D1585" s="1" t="s">
        <v>3052</v>
      </c>
      <c r="E1585" s="1" t="s">
        <v>3053</v>
      </c>
      <c r="F1585" s="1">
        <v>45</v>
      </c>
      <c r="G1585" s="12" t="s">
        <v>2160</v>
      </c>
      <c r="H1585" s="1" t="s">
        <v>1541</v>
      </c>
      <c r="I1585" s="1" t="s">
        <v>1268</v>
      </c>
      <c r="J1585" s="30">
        <v>647</v>
      </c>
      <c r="K1585" s="30">
        <v>330000</v>
      </c>
      <c r="L1585" s="31">
        <v>213510000</v>
      </c>
      <c r="M1585" s="1" t="s">
        <v>16</v>
      </c>
      <c r="N1585" s="1" t="s">
        <v>17</v>
      </c>
      <c r="O1585" s="1" t="s">
        <v>2057</v>
      </c>
      <c r="P1585" s="1" t="s">
        <v>2056</v>
      </c>
      <c r="Q1585" s="1" t="s">
        <v>1531</v>
      </c>
      <c r="R1585" s="1">
        <f t="shared" si="24"/>
        <v>4</v>
      </c>
      <c r="S1585" s="4">
        <f>J1585*K1585*M1585</f>
        <v>17080800</v>
      </c>
    </row>
    <row r="1586" spans="1:19" ht="43" hidden="1" customHeight="1">
      <c r="A1586" s="1" t="s">
        <v>2280</v>
      </c>
      <c r="B1586" s="1" t="s">
        <v>1383</v>
      </c>
      <c r="C1586" s="29">
        <v>46007.908067083299</v>
      </c>
      <c r="D1586" s="1" t="s">
        <v>3052</v>
      </c>
      <c r="E1586" s="1" t="s">
        <v>3053</v>
      </c>
      <c r="F1586" s="1">
        <v>1</v>
      </c>
      <c r="G1586" s="12" t="s">
        <v>2160</v>
      </c>
      <c r="H1586" s="1" t="s">
        <v>1525</v>
      </c>
      <c r="I1586" s="1" t="s">
        <v>114</v>
      </c>
      <c r="J1586" s="30">
        <v>110</v>
      </c>
      <c r="K1586" s="30">
        <v>400000</v>
      </c>
      <c r="L1586" s="31">
        <v>44000000</v>
      </c>
      <c r="M1586" s="1" t="s">
        <v>16</v>
      </c>
      <c r="N1586" s="1" t="s">
        <v>17</v>
      </c>
      <c r="O1586" s="1" t="s">
        <v>2057</v>
      </c>
      <c r="P1586" s="1" t="s">
        <v>2056</v>
      </c>
      <c r="Q1586" s="1" t="s">
        <v>262</v>
      </c>
      <c r="R1586" s="1">
        <f t="shared" si="24"/>
        <v>4</v>
      </c>
      <c r="S1586" s="4">
        <f>J1586*K1586*M1586</f>
        <v>3520000</v>
      </c>
    </row>
    <row r="1587" spans="1:19" ht="43" hidden="1" customHeight="1">
      <c r="A1587" s="1" t="s">
        <v>2072</v>
      </c>
      <c r="B1587" s="1" t="s">
        <v>146</v>
      </c>
      <c r="C1587" s="29">
        <v>46020.386763703696</v>
      </c>
      <c r="D1587" s="1" t="s">
        <v>3052</v>
      </c>
      <c r="E1587" s="1" t="s">
        <v>3053</v>
      </c>
      <c r="F1587" s="1">
        <v>34</v>
      </c>
      <c r="G1587" s="12" t="s">
        <v>2160</v>
      </c>
      <c r="H1587" s="1" t="s">
        <v>1502</v>
      </c>
      <c r="I1587" s="1" t="s">
        <v>1268</v>
      </c>
      <c r="J1587" s="30">
        <v>15</v>
      </c>
      <c r="K1587" s="30">
        <v>400000</v>
      </c>
      <c r="L1587" s="31">
        <v>6000000</v>
      </c>
      <c r="M1587" s="1" t="s">
        <v>16</v>
      </c>
      <c r="N1587" s="1" t="s">
        <v>17</v>
      </c>
      <c r="O1587" s="1" t="s">
        <v>2057</v>
      </c>
      <c r="P1587" s="1" t="s">
        <v>2056</v>
      </c>
      <c r="Q1587" s="1" t="s">
        <v>275</v>
      </c>
      <c r="R1587" s="1">
        <f t="shared" si="24"/>
        <v>4</v>
      </c>
      <c r="S1587" s="4">
        <f>J1587*K1587*M1587</f>
        <v>480000</v>
      </c>
    </row>
    <row r="1588" spans="1:19" ht="43" hidden="1" customHeight="1">
      <c r="A1588" s="1" t="s">
        <v>2072</v>
      </c>
      <c r="B1588" s="1" t="s">
        <v>1294</v>
      </c>
      <c r="C1588" s="29">
        <v>46021.613942164397</v>
      </c>
      <c r="D1588" s="1" t="s">
        <v>3052</v>
      </c>
      <c r="E1588" s="1" t="s">
        <v>3053</v>
      </c>
      <c r="F1588" s="1">
        <v>14</v>
      </c>
      <c r="G1588" s="12" t="s">
        <v>2160</v>
      </c>
      <c r="H1588" s="1" t="s">
        <v>1480</v>
      </c>
      <c r="I1588" s="1" t="s">
        <v>1268</v>
      </c>
      <c r="J1588" s="30">
        <v>500</v>
      </c>
      <c r="K1588" s="30">
        <v>335000</v>
      </c>
      <c r="L1588" s="31">
        <v>167500000</v>
      </c>
      <c r="M1588" s="1" t="s">
        <v>16</v>
      </c>
      <c r="N1588" s="1" t="s">
        <v>17</v>
      </c>
      <c r="O1588" s="1" t="s">
        <v>2057</v>
      </c>
      <c r="P1588" s="1" t="s">
        <v>2056</v>
      </c>
      <c r="Q1588" s="1" t="s">
        <v>1474</v>
      </c>
      <c r="R1588" s="1">
        <f t="shared" si="24"/>
        <v>4</v>
      </c>
      <c r="S1588" s="4">
        <f>J1588*K1588*M1588</f>
        <v>13400000</v>
      </c>
    </row>
    <row r="1589" spans="1:19" ht="43" hidden="1" customHeight="1">
      <c r="A1589" s="1" t="s">
        <v>2072</v>
      </c>
      <c r="B1589" s="1" t="s">
        <v>146</v>
      </c>
      <c r="C1589" s="29">
        <v>46020.386763703696</v>
      </c>
      <c r="D1589" s="1" t="s">
        <v>3052</v>
      </c>
      <c r="E1589" s="1" t="s">
        <v>3053</v>
      </c>
      <c r="F1589" s="1">
        <v>9</v>
      </c>
      <c r="G1589" s="12" t="s">
        <v>2160</v>
      </c>
      <c r="H1589" s="1" t="s">
        <v>1480</v>
      </c>
      <c r="I1589" s="1" t="s">
        <v>1268</v>
      </c>
      <c r="J1589" s="30">
        <v>20</v>
      </c>
      <c r="K1589" s="30">
        <v>335000</v>
      </c>
      <c r="L1589" s="31">
        <v>6700000</v>
      </c>
      <c r="M1589" s="1" t="s">
        <v>16</v>
      </c>
      <c r="N1589" s="1" t="s">
        <v>17</v>
      </c>
      <c r="O1589" s="1" t="s">
        <v>2057</v>
      </c>
      <c r="P1589" s="1" t="s">
        <v>2056</v>
      </c>
      <c r="Q1589" s="1" t="s">
        <v>275</v>
      </c>
      <c r="R1589" s="1">
        <f t="shared" si="24"/>
        <v>4</v>
      </c>
      <c r="S1589" s="4">
        <f>J1589*K1589*M1589</f>
        <v>536000</v>
      </c>
    </row>
    <row r="1590" spans="1:19" ht="43" hidden="1" customHeight="1">
      <c r="A1590" s="1" t="s">
        <v>2280</v>
      </c>
      <c r="B1590" s="1" t="s">
        <v>1269</v>
      </c>
      <c r="C1590" s="29">
        <v>45836.661507465302</v>
      </c>
      <c r="D1590" s="1" t="s">
        <v>3072</v>
      </c>
      <c r="E1590" s="1" t="s">
        <v>3073</v>
      </c>
      <c r="F1590" s="1">
        <v>2</v>
      </c>
      <c r="G1590" s="12" t="s">
        <v>1443</v>
      </c>
      <c r="H1590" s="1" t="s">
        <v>1443</v>
      </c>
      <c r="I1590" s="1" t="s">
        <v>1268</v>
      </c>
      <c r="J1590" s="30">
        <v>20</v>
      </c>
      <c r="K1590" s="30">
        <v>400000</v>
      </c>
      <c r="L1590" s="31">
        <v>8000000</v>
      </c>
      <c r="M1590" s="1" t="s">
        <v>16</v>
      </c>
      <c r="N1590" s="1" t="s">
        <v>17</v>
      </c>
      <c r="O1590" s="1" t="s">
        <v>2057</v>
      </c>
      <c r="P1590" s="1" t="s">
        <v>2056</v>
      </c>
      <c r="Q1590" s="1" t="s">
        <v>845</v>
      </c>
      <c r="R1590" s="1">
        <f t="shared" si="24"/>
        <v>2</v>
      </c>
      <c r="S1590" s="4">
        <f>J1590*K1590*M1590</f>
        <v>640000</v>
      </c>
    </row>
    <row r="1591" spans="1:19" ht="43" customHeight="1">
      <c r="A1591" s="1" t="s">
        <v>2280</v>
      </c>
      <c r="B1591" s="1" t="s">
        <v>1420</v>
      </c>
      <c r="C1591" s="29">
        <v>45866.7486208681</v>
      </c>
      <c r="D1591" s="1" t="s">
        <v>3052</v>
      </c>
      <c r="E1591" s="1" t="s">
        <v>3053</v>
      </c>
      <c r="F1591" s="1">
        <v>16</v>
      </c>
      <c r="G1591" s="12"/>
      <c r="H1591" s="1" t="s">
        <v>1779</v>
      </c>
      <c r="I1591" s="1" t="s">
        <v>1268</v>
      </c>
      <c r="J1591" s="30">
        <v>115</v>
      </c>
      <c r="K1591" s="30">
        <v>335000</v>
      </c>
      <c r="L1591" s="31">
        <v>38525000</v>
      </c>
      <c r="M1591" s="1" t="s">
        <v>16</v>
      </c>
      <c r="N1591" s="1" t="s">
        <v>17</v>
      </c>
      <c r="O1591" s="1" t="s">
        <v>2057</v>
      </c>
      <c r="P1591" s="1" t="s">
        <v>2056</v>
      </c>
      <c r="Q1591" s="1" t="s">
        <v>1763</v>
      </c>
      <c r="R1591" s="1">
        <f t="shared" si="24"/>
        <v>3</v>
      </c>
      <c r="S1591" s="4">
        <f>J1591*K1591*M1591</f>
        <v>3082000</v>
      </c>
    </row>
    <row r="1592" spans="1:19" ht="43" customHeight="1">
      <c r="A1592" s="1" t="s">
        <v>2280</v>
      </c>
      <c r="B1592" s="1" t="s">
        <v>1422</v>
      </c>
      <c r="C1592" s="29">
        <v>45864.4394789699</v>
      </c>
      <c r="D1592" s="1" t="s">
        <v>3058</v>
      </c>
      <c r="E1592" s="1" t="s">
        <v>3059</v>
      </c>
      <c r="F1592" s="1">
        <v>6</v>
      </c>
      <c r="G1592" s="12"/>
      <c r="H1592" s="1" t="s">
        <v>1779</v>
      </c>
      <c r="I1592" s="1" t="s">
        <v>1268</v>
      </c>
      <c r="J1592" s="30">
        <v>180</v>
      </c>
      <c r="K1592" s="30">
        <v>333333.33</v>
      </c>
      <c r="L1592" s="31">
        <v>60000000</v>
      </c>
      <c r="M1592" s="1" t="s">
        <v>16</v>
      </c>
      <c r="N1592" s="1" t="s">
        <v>17</v>
      </c>
      <c r="O1592" s="1" t="s">
        <v>2057</v>
      </c>
      <c r="P1592" s="1" t="s">
        <v>2056</v>
      </c>
      <c r="Q1592" s="1" t="s">
        <v>1785</v>
      </c>
      <c r="R1592" s="1">
        <f t="shared" si="24"/>
        <v>3</v>
      </c>
      <c r="S1592" s="4">
        <f>J1592*K1592*M1592</f>
        <v>4799999.9520000005</v>
      </c>
    </row>
    <row r="1593" spans="1:19" ht="43" customHeight="1">
      <c r="A1593" s="1" t="s">
        <v>2280</v>
      </c>
      <c r="B1593" s="1" t="s">
        <v>63</v>
      </c>
      <c r="C1593" s="29">
        <v>45846.664998148102</v>
      </c>
      <c r="D1593" s="1" t="s">
        <v>3050</v>
      </c>
      <c r="E1593" s="1" t="s">
        <v>3051</v>
      </c>
      <c r="F1593" s="1">
        <v>1</v>
      </c>
      <c r="H1593" s="1" t="s">
        <v>1779</v>
      </c>
      <c r="I1593" s="1" t="s">
        <v>114</v>
      </c>
      <c r="J1593" s="30">
        <v>20</v>
      </c>
      <c r="K1593" s="30">
        <v>333333.33</v>
      </c>
      <c r="L1593" s="31">
        <v>6666666.5999999996</v>
      </c>
      <c r="M1593" s="1" t="s">
        <v>16</v>
      </c>
      <c r="N1593" s="1" t="s">
        <v>17</v>
      </c>
      <c r="O1593" s="1" t="s">
        <v>2057</v>
      </c>
      <c r="P1593" s="1" t="s">
        <v>2056</v>
      </c>
      <c r="Q1593" s="1" t="s">
        <v>744</v>
      </c>
      <c r="R1593" s="1">
        <f t="shared" si="24"/>
        <v>3</v>
      </c>
      <c r="S1593" s="4">
        <f>J1593*K1593*M1593</f>
        <v>533333.3280000001</v>
      </c>
    </row>
    <row r="1594" spans="1:19" ht="43" customHeight="1">
      <c r="A1594" s="1" t="s">
        <v>2280</v>
      </c>
      <c r="B1594" s="1" t="s">
        <v>33</v>
      </c>
      <c r="C1594" s="29">
        <v>45668.674241805602</v>
      </c>
      <c r="D1594" s="1" t="s">
        <v>3063</v>
      </c>
      <c r="E1594" s="1" t="s">
        <v>3062</v>
      </c>
      <c r="F1594" s="1">
        <v>1</v>
      </c>
      <c r="H1594" s="1" t="s">
        <v>1779</v>
      </c>
      <c r="I1594" s="1" t="s">
        <v>114</v>
      </c>
      <c r="J1594" s="30">
        <v>100</v>
      </c>
      <c r="K1594" s="30">
        <v>325000</v>
      </c>
      <c r="L1594" s="31">
        <v>32500000</v>
      </c>
      <c r="M1594" s="1" t="s">
        <v>16</v>
      </c>
      <c r="N1594" s="1" t="s">
        <v>17</v>
      </c>
      <c r="O1594" s="1" t="s">
        <v>2057</v>
      </c>
      <c r="P1594" s="1" t="s">
        <v>2056</v>
      </c>
      <c r="Q1594" s="1" t="s">
        <v>1222</v>
      </c>
      <c r="R1594" s="1">
        <f t="shared" si="24"/>
        <v>1</v>
      </c>
      <c r="S1594" s="4">
        <f>J1594*K1594*M1594</f>
        <v>2600000</v>
      </c>
    </row>
    <row r="1595" spans="1:19" ht="43" customHeight="1">
      <c r="A1595" s="1" t="s">
        <v>2280</v>
      </c>
      <c r="B1595" s="1" t="s">
        <v>467</v>
      </c>
      <c r="C1595" s="29">
        <v>45786.673403634297</v>
      </c>
      <c r="D1595" s="1" t="s">
        <v>3063</v>
      </c>
      <c r="E1595" s="1" t="s">
        <v>3062</v>
      </c>
      <c r="F1595" s="1">
        <v>1</v>
      </c>
      <c r="H1595" s="1" t="s">
        <v>1896</v>
      </c>
      <c r="I1595" s="1" t="s">
        <v>114</v>
      </c>
      <c r="J1595" s="30">
        <v>200</v>
      </c>
      <c r="K1595" s="30">
        <v>305000</v>
      </c>
      <c r="L1595" s="31">
        <v>61000000</v>
      </c>
      <c r="M1595" s="1" t="s">
        <v>16</v>
      </c>
      <c r="N1595" s="1" t="s">
        <v>17</v>
      </c>
      <c r="O1595" s="1" t="s">
        <v>2057</v>
      </c>
      <c r="P1595" s="1" t="s">
        <v>2056</v>
      </c>
      <c r="Q1595" s="1" t="s">
        <v>933</v>
      </c>
      <c r="R1595" s="1">
        <f t="shared" si="24"/>
        <v>2</v>
      </c>
      <c r="S1595" s="4">
        <f>J1595*K1595*M1595</f>
        <v>4880000</v>
      </c>
    </row>
    <row r="1596" spans="1:19" ht="43" hidden="1" customHeight="1">
      <c r="A1596" s="1" t="s">
        <v>2280</v>
      </c>
      <c r="B1596" s="1" t="s">
        <v>1412</v>
      </c>
      <c r="C1596" s="29">
        <v>45898.896986157401</v>
      </c>
      <c r="D1596" s="1" t="s">
        <v>3052</v>
      </c>
      <c r="E1596" s="1" t="s">
        <v>3053</v>
      </c>
      <c r="F1596" s="1">
        <v>58</v>
      </c>
      <c r="G1596" s="12" t="s">
        <v>2243</v>
      </c>
      <c r="H1596" s="1" t="s">
        <v>1698</v>
      </c>
      <c r="I1596" s="1" t="s">
        <v>1268</v>
      </c>
      <c r="J1596" s="30">
        <v>5</v>
      </c>
      <c r="K1596" s="30">
        <v>265000</v>
      </c>
      <c r="L1596" s="31">
        <v>1325000</v>
      </c>
      <c r="M1596" s="1" t="s">
        <v>16</v>
      </c>
      <c r="N1596" s="1" t="s">
        <v>17</v>
      </c>
      <c r="O1596" s="1" t="s">
        <v>2057</v>
      </c>
      <c r="P1596" s="1" t="s">
        <v>2056</v>
      </c>
      <c r="Q1596" s="1" t="s">
        <v>652</v>
      </c>
      <c r="R1596" s="1">
        <f t="shared" si="24"/>
        <v>3</v>
      </c>
      <c r="S1596" s="4">
        <f>J1596*K1596*M1596</f>
        <v>106000</v>
      </c>
    </row>
    <row r="1597" spans="1:19" ht="43" hidden="1" customHeight="1">
      <c r="A1597" s="1" t="s">
        <v>2280</v>
      </c>
      <c r="B1597" s="1" t="s">
        <v>1420</v>
      </c>
      <c r="C1597" s="29">
        <v>45866.7486208681</v>
      </c>
      <c r="D1597" s="1" t="s">
        <v>3052</v>
      </c>
      <c r="E1597" s="1" t="s">
        <v>3053</v>
      </c>
      <c r="F1597" s="1">
        <v>2</v>
      </c>
      <c r="G1597" s="12" t="s">
        <v>2243</v>
      </c>
      <c r="H1597" s="1" t="s">
        <v>1775</v>
      </c>
      <c r="I1597" s="1" t="s">
        <v>1268</v>
      </c>
      <c r="J1597" s="30">
        <v>12</v>
      </c>
      <c r="K1597" s="30">
        <v>300000</v>
      </c>
      <c r="L1597" s="31">
        <v>3600000</v>
      </c>
      <c r="M1597" s="1" t="s">
        <v>16</v>
      </c>
      <c r="N1597" s="1" t="s">
        <v>17</v>
      </c>
      <c r="O1597" s="1" t="s">
        <v>2057</v>
      </c>
      <c r="P1597" s="1" t="s">
        <v>2056</v>
      </c>
      <c r="Q1597" s="1" t="s">
        <v>1763</v>
      </c>
      <c r="R1597" s="1">
        <f t="shared" si="24"/>
        <v>3</v>
      </c>
      <c r="S1597" s="4">
        <f>J1597*K1597*M1597</f>
        <v>288000</v>
      </c>
    </row>
    <row r="1598" spans="1:19" ht="43" hidden="1" customHeight="1">
      <c r="A1598" s="1" t="s">
        <v>2280</v>
      </c>
      <c r="B1598" s="1" t="s">
        <v>1253</v>
      </c>
      <c r="C1598" s="29">
        <v>45696.7066678009</v>
      </c>
      <c r="D1598" s="1" t="s">
        <v>3061</v>
      </c>
      <c r="E1598" s="1" t="s">
        <v>3062</v>
      </c>
      <c r="F1598" s="1">
        <v>1</v>
      </c>
      <c r="G1598" s="12" t="s">
        <v>2243</v>
      </c>
      <c r="H1598" s="1" t="s">
        <v>1775</v>
      </c>
      <c r="I1598" s="1" t="s">
        <v>114</v>
      </c>
      <c r="J1598" s="30">
        <v>80</v>
      </c>
      <c r="K1598" s="30">
        <v>255000</v>
      </c>
      <c r="L1598" s="31">
        <v>20400000</v>
      </c>
      <c r="M1598" s="1" t="s">
        <v>16</v>
      </c>
      <c r="N1598" s="1" t="s">
        <v>17</v>
      </c>
      <c r="O1598" s="1" t="s">
        <v>2057</v>
      </c>
      <c r="P1598" s="1" t="s">
        <v>2056</v>
      </c>
      <c r="Q1598" s="1" t="s">
        <v>1189</v>
      </c>
      <c r="R1598" s="1">
        <f t="shared" si="24"/>
        <v>1</v>
      </c>
      <c r="S1598" s="4">
        <f>J1598*K1598*M1598</f>
        <v>1632000</v>
      </c>
    </row>
    <row r="1599" spans="1:19" ht="43" hidden="1" customHeight="1">
      <c r="A1599" s="1" t="s">
        <v>2280</v>
      </c>
      <c r="B1599" s="1" t="s">
        <v>83</v>
      </c>
      <c r="C1599" s="29">
        <v>45960.642424537</v>
      </c>
      <c r="D1599" s="1" t="s">
        <v>3056</v>
      </c>
      <c r="E1599" s="1" t="s">
        <v>3057</v>
      </c>
      <c r="F1599" s="1">
        <v>1</v>
      </c>
      <c r="G1599" s="12" t="s">
        <v>2243</v>
      </c>
      <c r="H1599" s="1" t="s">
        <v>1577</v>
      </c>
      <c r="I1599" s="1" t="s">
        <v>1268</v>
      </c>
      <c r="J1599" s="30">
        <v>280</v>
      </c>
      <c r="K1599" s="30">
        <v>290000</v>
      </c>
      <c r="L1599" s="31">
        <v>81200000</v>
      </c>
      <c r="M1599" s="1" t="s">
        <v>16</v>
      </c>
      <c r="N1599" s="1" t="s">
        <v>17</v>
      </c>
      <c r="O1599" s="1" t="s">
        <v>2057</v>
      </c>
      <c r="P1599" s="1" t="s">
        <v>2056</v>
      </c>
      <c r="Q1599" s="1" t="s">
        <v>533</v>
      </c>
      <c r="R1599" s="1">
        <f t="shared" si="24"/>
        <v>4</v>
      </c>
      <c r="S1599" s="4">
        <f>J1599*K1599*M1599</f>
        <v>6496000</v>
      </c>
    </row>
    <row r="1600" spans="1:19" ht="43" hidden="1" customHeight="1">
      <c r="A1600" s="1" t="s">
        <v>2280</v>
      </c>
      <c r="B1600" s="1" t="s">
        <v>1469</v>
      </c>
      <c r="C1600" s="29">
        <v>45926.638648275497</v>
      </c>
      <c r="D1600" s="1" t="s">
        <v>3056</v>
      </c>
      <c r="E1600" s="1" t="s">
        <v>3057</v>
      </c>
      <c r="F1600" s="1">
        <v>3</v>
      </c>
      <c r="G1600" s="12" t="s">
        <v>2160</v>
      </c>
      <c r="H1600" s="1" t="s">
        <v>1648</v>
      </c>
      <c r="I1600" s="1" t="s">
        <v>114</v>
      </c>
      <c r="J1600" s="30">
        <v>100</v>
      </c>
      <c r="K1600" s="30">
        <v>330000</v>
      </c>
      <c r="L1600" s="31">
        <v>33000000</v>
      </c>
      <c r="M1600" s="1" t="s">
        <v>16</v>
      </c>
      <c r="N1600" s="1" t="s">
        <v>17</v>
      </c>
      <c r="O1600" s="1" t="s">
        <v>2057</v>
      </c>
      <c r="P1600" s="1" t="s">
        <v>2056</v>
      </c>
      <c r="Q1600" s="1" t="s">
        <v>558</v>
      </c>
      <c r="R1600" s="1">
        <f t="shared" si="24"/>
        <v>3</v>
      </c>
      <c r="S1600" s="4">
        <f>J1600*K1600*M1600</f>
        <v>2640000</v>
      </c>
    </row>
    <row r="1601" spans="1:19" ht="43" hidden="1" customHeight="1">
      <c r="A1601" s="1" t="s">
        <v>2280</v>
      </c>
      <c r="B1601" s="1" t="s">
        <v>1418</v>
      </c>
      <c r="C1601" s="29">
        <v>45868.571573252302</v>
      </c>
      <c r="D1601" s="1" t="s">
        <v>3056</v>
      </c>
      <c r="E1601" s="1" t="s">
        <v>3057</v>
      </c>
      <c r="F1601" s="1">
        <v>1</v>
      </c>
      <c r="G1601" s="12" t="s">
        <v>2160</v>
      </c>
      <c r="H1601" s="1" t="s">
        <v>1648</v>
      </c>
      <c r="I1601" s="1" t="s">
        <v>1268</v>
      </c>
      <c r="J1601" s="30">
        <v>40</v>
      </c>
      <c r="K1601" s="30">
        <v>335000</v>
      </c>
      <c r="L1601" s="31">
        <v>13400000</v>
      </c>
      <c r="M1601" s="1" t="s">
        <v>16</v>
      </c>
      <c r="N1601" s="1" t="s">
        <v>17</v>
      </c>
      <c r="O1601" s="1" t="s">
        <v>2057</v>
      </c>
      <c r="P1601" s="1" t="s">
        <v>2056</v>
      </c>
      <c r="Q1601" s="1" t="s">
        <v>800</v>
      </c>
      <c r="R1601" s="1">
        <f t="shared" si="24"/>
        <v>3</v>
      </c>
      <c r="S1601" s="4">
        <f>J1601*K1601*M1601</f>
        <v>1072000</v>
      </c>
    </row>
    <row r="1602" spans="1:19" ht="43" customHeight="1">
      <c r="A1602" s="1" t="s">
        <v>2280</v>
      </c>
      <c r="B1602" s="1" t="s">
        <v>1469</v>
      </c>
      <c r="C1602" s="29">
        <v>45926.638648275497</v>
      </c>
      <c r="D1602" s="1" t="s">
        <v>3056</v>
      </c>
      <c r="E1602" s="1" t="s">
        <v>3057</v>
      </c>
      <c r="F1602" s="1">
        <v>2</v>
      </c>
      <c r="G1602" s="12"/>
      <c r="H1602" s="1" t="s">
        <v>1647</v>
      </c>
      <c r="I1602" s="1" t="s">
        <v>114</v>
      </c>
      <c r="J1602" s="30">
        <v>10</v>
      </c>
      <c r="K1602" s="30">
        <v>390000</v>
      </c>
      <c r="L1602" s="31">
        <v>3900000</v>
      </c>
      <c r="M1602" s="1" t="s">
        <v>16</v>
      </c>
      <c r="N1602" s="1" t="s">
        <v>17</v>
      </c>
      <c r="O1602" s="1" t="s">
        <v>2057</v>
      </c>
      <c r="P1602" s="1" t="s">
        <v>2056</v>
      </c>
      <c r="Q1602" s="1" t="s">
        <v>558</v>
      </c>
      <c r="R1602" s="1">
        <f t="shared" si="24"/>
        <v>3</v>
      </c>
      <c r="S1602" s="4">
        <f>J1602*K1602*M1602</f>
        <v>312000</v>
      </c>
    </row>
    <row r="1603" spans="1:19" ht="43" hidden="1" customHeight="1">
      <c r="A1603" s="1" t="s">
        <v>2280</v>
      </c>
      <c r="B1603" s="1" t="s">
        <v>379</v>
      </c>
      <c r="C1603" s="29">
        <v>45959.6544954282</v>
      </c>
      <c r="D1603" s="1" t="s">
        <v>3052</v>
      </c>
      <c r="E1603" s="1" t="s">
        <v>3053</v>
      </c>
      <c r="F1603" s="1">
        <v>10</v>
      </c>
      <c r="G1603" s="12" t="s">
        <v>458</v>
      </c>
      <c r="H1603" s="1" t="s">
        <v>458</v>
      </c>
      <c r="I1603" s="1" t="s">
        <v>130</v>
      </c>
      <c r="J1603" s="30">
        <v>2</v>
      </c>
      <c r="K1603" s="30">
        <v>100000</v>
      </c>
      <c r="L1603" s="31">
        <v>200000</v>
      </c>
      <c r="M1603" s="1" t="s">
        <v>16</v>
      </c>
      <c r="N1603" s="1" t="s">
        <v>17</v>
      </c>
      <c r="O1603" s="1" t="s">
        <v>2057</v>
      </c>
      <c r="P1603" s="1" t="s">
        <v>2056</v>
      </c>
      <c r="Q1603" s="1" t="s">
        <v>1578</v>
      </c>
      <c r="R1603" s="1">
        <f t="shared" ref="R1603:R1628" si="25">ROUNDUP(MONTH(Q1603)/3,0)</f>
        <v>4</v>
      </c>
      <c r="S1603" s="4">
        <f>J1603*K1603*M1603</f>
        <v>16000</v>
      </c>
    </row>
    <row r="1604" spans="1:19" ht="43" customHeight="1">
      <c r="A1604" s="1" t="s">
        <v>2072</v>
      </c>
      <c r="B1604" s="1" t="s">
        <v>194</v>
      </c>
      <c r="C1604" s="29">
        <v>46013.422271064803</v>
      </c>
      <c r="D1604" s="1" t="s">
        <v>3077</v>
      </c>
      <c r="E1604" s="1" t="s">
        <v>3078</v>
      </c>
      <c r="F1604" s="1">
        <v>6</v>
      </c>
      <c r="H1604" s="1" t="s">
        <v>1514</v>
      </c>
      <c r="L1604" s="31">
        <v>12240000</v>
      </c>
      <c r="M1604" s="1" t="s">
        <v>30</v>
      </c>
      <c r="N1604" s="1" t="s">
        <v>17</v>
      </c>
      <c r="O1604" s="1" t="s">
        <v>2057</v>
      </c>
      <c r="P1604" s="1" t="s">
        <v>2056</v>
      </c>
      <c r="Q1604" s="1" t="s">
        <v>1508</v>
      </c>
      <c r="R1604" s="1">
        <f t="shared" si="25"/>
        <v>4</v>
      </c>
      <c r="S1604" s="4">
        <f>J1604*K1604*M1604</f>
        <v>0</v>
      </c>
    </row>
    <row r="1605" spans="1:19" ht="43" customHeight="1">
      <c r="A1605" s="1" t="s">
        <v>2072</v>
      </c>
      <c r="B1605" s="1" t="s">
        <v>1315</v>
      </c>
      <c r="C1605" s="29">
        <v>46013.422500011598</v>
      </c>
      <c r="D1605" s="1" t="s">
        <v>3077</v>
      </c>
      <c r="E1605" s="1" t="s">
        <v>3078</v>
      </c>
      <c r="F1605" s="1">
        <v>3</v>
      </c>
      <c r="H1605" s="1" t="s">
        <v>1518</v>
      </c>
      <c r="I1605" s="1" t="s">
        <v>78</v>
      </c>
      <c r="J1605" s="30">
        <v>70</v>
      </c>
      <c r="K1605" s="30">
        <v>120000</v>
      </c>
      <c r="L1605" s="31">
        <v>8400000</v>
      </c>
      <c r="M1605" s="1" t="s">
        <v>16</v>
      </c>
      <c r="N1605" s="1" t="s">
        <v>17</v>
      </c>
      <c r="O1605" s="1" t="s">
        <v>2057</v>
      </c>
      <c r="P1605" s="1" t="s">
        <v>2056</v>
      </c>
      <c r="Q1605" s="1" t="s">
        <v>1508</v>
      </c>
      <c r="R1605" s="1">
        <f t="shared" si="25"/>
        <v>4</v>
      </c>
      <c r="S1605" s="4">
        <f>J1605*K1605*M1605</f>
        <v>672000</v>
      </c>
    </row>
    <row r="1606" spans="1:19" ht="43" hidden="1" customHeight="1">
      <c r="A1606" s="1" t="s">
        <v>2280</v>
      </c>
      <c r="B1606" s="1" t="s">
        <v>794</v>
      </c>
      <c r="C1606" s="29">
        <v>45959.655037615703</v>
      </c>
      <c r="D1606" s="1" t="s">
        <v>3052</v>
      </c>
      <c r="E1606" s="1" t="s">
        <v>3053</v>
      </c>
      <c r="F1606" s="1">
        <v>12</v>
      </c>
      <c r="G1606" s="12" t="s">
        <v>903</v>
      </c>
      <c r="H1606" s="1" t="s">
        <v>903</v>
      </c>
      <c r="I1606" s="1" t="s">
        <v>173</v>
      </c>
      <c r="J1606" s="30">
        <v>1</v>
      </c>
      <c r="K1606" s="30">
        <v>30000</v>
      </c>
      <c r="L1606" s="31">
        <v>30000</v>
      </c>
      <c r="M1606" s="1" t="s">
        <v>30</v>
      </c>
      <c r="N1606" s="1" t="s">
        <v>17</v>
      </c>
      <c r="O1606" s="1" t="s">
        <v>2057</v>
      </c>
      <c r="P1606" s="1" t="s">
        <v>2056</v>
      </c>
      <c r="Q1606" s="1" t="s">
        <v>1578</v>
      </c>
      <c r="R1606" s="1">
        <f t="shared" si="25"/>
        <v>4</v>
      </c>
      <c r="S1606" s="4">
        <f>J1606*K1606*M1606</f>
        <v>3000</v>
      </c>
    </row>
    <row r="1607" spans="1:19" ht="43" hidden="1" customHeight="1">
      <c r="A1607" s="1" t="s">
        <v>2280</v>
      </c>
      <c r="B1607" s="1" t="s">
        <v>1400</v>
      </c>
      <c r="C1607" s="29">
        <v>45990.721094398097</v>
      </c>
      <c r="D1607" s="1" t="s">
        <v>3052</v>
      </c>
      <c r="E1607" s="1" t="s">
        <v>3053</v>
      </c>
      <c r="F1607" s="1">
        <v>52</v>
      </c>
      <c r="G1607" s="12" t="s">
        <v>1338</v>
      </c>
      <c r="H1607" s="1" t="s">
        <v>1338</v>
      </c>
      <c r="I1607" s="1" t="s">
        <v>130</v>
      </c>
      <c r="J1607" s="30">
        <v>10</v>
      </c>
      <c r="K1607" s="30">
        <v>33000</v>
      </c>
      <c r="L1607" s="31">
        <v>330000</v>
      </c>
      <c r="M1607" s="1" t="s">
        <v>16</v>
      </c>
      <c r="N1607" s="1" t="s">
        <v>17</v>
      </c>
      <c r="O1607" s="1" t="s">
        <v>2057</v>
      </c>
      <c r="P1607" s="1" t="s">
        <v>2056</v>
      </c>
      <c r="Q1607" s="1" t="s">
        <v>1531</v>
      </c>
      <c r="R1607" s="1">
        <f t="shared" si="25"/>
        <v>4</v>
      </c>
      <c r="S1607" s="4">
        <f>J1607*K1607*M1607</f>
        <v>26400</v>
      </c>
    </row>
    <row r="1608" spans="1:19" ht="43" hidden="1" customHeight="1">
      <c r="A1608" s="1" t="s">
        <v>2280</v>
      </c>
      <c r="B1608" s="1" t="s">
        <v>1402</v>
      </c>
      <c r="C1608" s="29">
        <v>45990.382403298601</v>
      </c>
      <c r="D1608" s="1" t="s">
        <v>3052</v>
      </c>
      <c r="E1608" s="1" t="s">
        <v>3053</v>
      </c>
      <c r="F1608" s="1">
        <v>14</v>
      </c>
      <c r="G1608" s="12" t="s">
        <v>1338</v>
      </c>
      <c r="H1608" s="1" t="s">
        <v>1338</v>
      </c>
      <c r="I1608" s="1" t="s">
        <v>130</v>
      </c>
      <c r="J1608" s="30">
        <v>0.6</v>
      </c>
      <c r="K1608" s="30">
        <v>40000</v>
      </c>
      <c r="L1608" s="31">
        <v>24000</v>
      </c>
      <c r="M1608" s="1" t="s">
        <v>16</v>
      </c>
      <c r="N1608" s="1" t="s">
        <v>17</v>
      </c>
      <c r="O1608" s="1" t="s">
        <v>2057</v>
      </c>
      <c r="P1608" s="1" t="s">
        <v>2056</v>
      </c>
      <c r="Q1608" s="1" t="s">
        <v>1531</v>
      </c>
      <c r="R1608" s="1">
        <f t="shared" si="25"/>
        <v>4</v>
      </c>
      <c r="S1608" s="4">
        <f>J1608*K1608*M1608</f>
        <v>1920</v>
      </c>
    </row>
    <row r="1609" spans="1:19" ht="43" hidden="1" customHeight="1">
      <c r="A1609" s="1" t="s">
        <v>2280</v>
      </c>
      <c r="B1609" s="1" t="s">
        <v>125</v>
      </c>
      <c r="C1609" s="29">
        <v>45927.918464398201</v>
      </c>
      <c r="D1609" s="1" t="s">
        <v>3054</v>
      </c>
      <c r="E1609" s="1" t="s">
        <v>3055</v>
      </c>
      <c r="F1609" s="1">
        <v>4</v>
      </c>
      <c r="G1609" s="12" t="s">
        <v>1382</v>
      </c>
      <c r="H1609" s="1" t="s">
        <v>1642</v>
      </c>
      <c r="I1609" s="1" t="s">
        <v>1369</v>
      </c>
      <c r="J1609" s="30">
        <v>6</v>
      </c>
      <c r="K1609" s="30">
        <v>60000</v>
      </c>
      <c r="L1609" s="31">
        <v>360000</v>
      </c>
      <c r="M1609" s="1" t="s">
        <v>30</v>
      </c>
      <c r="N1609" s="1" t="s">
        <v>17</v>
      </c>
      <c r="O1609" s="1" t="s">
        <v>2057</v>
      </c>
      <c r="P1609" s="1" t="s">
        <v>2056</v>
      </c>
      <c r="Q1609" s="1" t="s">
        <v>588</v>
      </c>
      <c r="R1609" s="1">
        <f t="shared" si="25"/>
        <v>3</v>
      </c>
      <c r="S1609" s="4">
        <f>J1609*K1609*M1609</f>
        <v>36000</v>
      </c>
    </row>
    <row r="1610" spans="1:19" ht="43" hidden="1" customHeight="1">
      <c r="A1610" s="1" t="s">
        <v>2280</v>
      </c>
      <c r="B1610" s="1" t="s">
        <v>126</v>
      </c>
      <c r="C1610" s="29">
        <v>45898.896719536999</v>
      </c>
      <c r="D1610" s="1" t="s">
        <v>3052</v>
      </c>
      <c r="E1610" s="1" t="s">
        <v>3053</v>
      </c>
      <c r="F1610" s="1">
        <v>18</v>
      </c>
      <c r="G1610" s="12" t="s">
        <v>1382</v>
      </c>
      <c r="H1610" s="1" t="s">
        <v>1642</v>
      </c>
      <c r="I1610" s="1" t="s">
        <v>1369</v>
      </c>
      <c r="J1610" s="30">
        <v>1</v>
      </c>
      <c r="K1610" s="30">
        <v>40000</v>
      </c>
      <c r="L1610" s="31">
        <v>40000</v>
      </c>
      <c r="M1610" s="1" t="s">
        <v>30</v>
      </c>
      <c r="N1610" s="1" t="s">
        <v>17</v>
      </c>
      <c r="O1610" s="1" t="s">
        <v>2057</v>
      </c>
      <c r="P1610" s="1" t="s">
        <v>2056</v>
      </c>
      <c r="Q1610" s="1" t="s">
        <v>652</v>
      </c>
      <c r="R1610" s="1">
        <f t="shared" si="25"/>
        <v>3</v>
      </c>
      <c r="S1610" s="4">
        <f>J1610*K1610*M1610</f>
        <v>4000</v>
      </c>
    </row>
    <row r="1611" spans="1:19" ht="43" hidden="1" customHeight="1">
      <c r="A1611" s="1" t="s">
        <v>2280</v>
      </c>
      <c r="B1611" s="1" t="s">
        <v>1413</v>
      </c>
      <c r="C1611" s="29">
        <v>45889.506525011602</v>
      </c>
      <c r="D1611" s="1" t="s">
        <v>3054</v>
      </c>
      <c r="E1611" s="1" t="s">
        <v>3055</v>
      </c>
      <c r="F1611" s="1">
        <v>11</v>
      </c>
      <c r="G1611" s="12" t="s">
        <v>1382</v>
      </c>
      <c r="H1611" s="1" t="s">
        <v>1642</v>
      </c>
      <c r="I1611" s="1" t="s">
        <v>1369</v>
      </c>
      <c r="J1611" s="30">
        <v>35</v>
      </c>
      <c r="K1611" s="30">
        <v>65000</v>
      </c>
      <c r="L1611" s="31">
        <v>2275000</v>
      </c>
      <c r="M1611" s="1" t="s">
        <v>30</v>
      </c>
      <c r="N1611" s="1" t="s">
        <v>17</v>
      </c>
      <c r="O1611" s="1" t="s">
        <v>2057</v>
      </c>
      <c r="P1611" s="1" t="s">
        <v>2056</v>
      </c>
      <c r="Q1611" s="1" t="s">
        <v>674</v>
      </c>
      <c r="R1611" s="1">
        <f t="shared" si="25"/>
        <v>3</v>
      </c>
      <c r="S1611" s="4">
        <f>J1611*K1611*M1611</f>
        <v>227500</v>
      </c>
    </row>
    <row r="1612" spans="1:19" ht="43" hidden="1" customHeight="1">
      <c r="A1612" s="1" t="s">
        <v>2280</v>
      </c>
      <c r="B1612" s="1" t="s">
        <v>137</v>
      </c>
      <c r="C1612" s="29">
        <v>45868.572525138901</v>
      </c>
      <c r="D1612" s="1" t="s">
        <v>3056</v>
      </c>
      <c r="E1612" s="1" t="s">
        <v>3057</v>
      </c>
      <c r="F1612" s="1">
        <v>4</v>
      </c>
      <c r="G1612" s="12" t="s">
        <v>1382</v>
      </c>
      <c r="H1612" s="1" t="s">
        <v>1642</v>
      </c>
      <c r="I1612" s="1" t="s">
        <v>130</v>
      </c>
      <c r="J1612" s="30">
        <v>1</v>
      </c>
      <c r="K1612" s="30">
        <v>90000</v>
      </c>
      <c r="L1612" s="31">
        <v>90000</v>
      </c>
      <c r="M1612" s="1" t="s">
        <v>30</v>
      </c>
      <c r="N1612" s="1" t="s">
        <v>17</v>
      </c>
      <c r="O1612" s="1" t="s">
        <v>2057</v>
      </c>
      <c r="P1612" s="1" t="s">
        <v>2056</v>
      </c>
      <c r="Q1612" s="1" t="s">
        <v>800</v>
      </c>
      <c r="R1612" s="1">
        <f t="shared" si="25"/>
        <v>3</v>
      </c>
      <c r="S1612" s="4">
        <f>J1612*K1612*M1612</f>
        <v>9000</v>
      </c>
    </row>
    <row r="1613" spans="1:19" ht="43" hidden="1" customHeight="1">
      <c r="A1613" s="1" t="s">
        <v>2280</v>
      </c>
      <c r="B1613" s="1" t="s">
        <v>1419</v>
      </c>
      <c r="C1613" s="29">
        <v>45866.749486990702</v>
      </c>
      <c r="D1613" s="1" t="s">
        <v>3052</v>
      </c>
      <c r="E1613" s="1" t="s">
        <v>3053</v>
      </c>
      <c r="F1613" s="1">
        <v>27</v>
      </c>
      <c r="G1613" s="12" t="s">
        <v>1382</v>
      </c>
      <c r="H1613" s="1" t="s">
        <v>1642</v>
      </c>
      <c r="I1613" s="1" t="s">
        <v>1369</v>
      </c>
      <c r="J1613" s="30">
        <v>4</v>
      </c>
      <c r="K1613" s="30">
        <v>70000</v>
      </c>
      <c r="L1613" s="31">
        <v>280000</v>
      </c>
      <c r="M1613" s="1" t="s">
        <v>30</v>
      </c>
      <c r="N1613" s="1" t="s">
        <v>17</v>
      </c>
      <c r="O1613" s="1" t="s">
        <v>2057</v>
      </c>
      <c r="P1613" s="1" t="s">
        <v>2056</v>
      </c>
      <c r="Q1613" s="1" t="s">
        <v>1763</v>
      </c>
      <c r="R1613" s="1">
        <f t="shared" si="25"/>
        <v>3</v>
      </c>
      <c r="S1613" s="4">
        <f>J1613*K1613*M1613</f>
        <v>28000</v>
      </c>
    </row>
    <row r="1614" spans="1:19" ht="43" hidden="1" customHeight="1">
      <c r="A1614" s="1" t="s">
        <v>2280</v>
      </c>
      <c r="B1614" s="1" t="s">
        <v>882</v>
      </c>
      <c r="C1614" s="29">
        <v>45989.803104988401</v>
      </c>
      <c r="D1614" s="1" t="s">
        <v>3054</v>
      </c>
      <c r="E1614" s="1" t="s">
        <v>3055</v>
      </c>
      <c r="F1614" s="1">
        <v>7</v>
      </c>
      <c r="G1614" s="12" t="s">
        <v>1382</v>
      </c>
      <c r="H1614" s="1" t="s">
        <v>1382</v>
      </c>
      <c r="I1614" s="1" t="s">
        <v>1369</v>
      </c>
      <c r="J1614" s="30">
        <v>25</v>
      </c>
      <c r="K1614" s="30">
        <v>60000</v>
      </c>
      <c r="L1614" s="31">
        <v>1500000</v>
      </c>
      <c r="M1614" s="1" t="s">
        <v>30</v>
      </c>
      <c r="N1614" s="1" t="s">
        <v>17</v>
      </c>
      <c r="O1614" s="1" t="s">
        <v>2057</v>
      </c>
      <c r="P1614" s="1" t="s">
        <v>2056</v>
      </c>
      <c r="Q1614" s="1" t="s">
        <v>394</v>
      </c>
      <c r="R1614" s="1">
        <f t="shared" si="25"/>
        <v>4</v>
      </c>
      <c r="S1614" s="4">
        <f>J1614*K1614*M1614</f>
        <v>150000</v>
      </c>
    </row>
    <row r="1615" spans="1:19" ht="43" hidden="1" customHeight="1">
      <c r="A1615" s="1" t="s">
        <v>2280</v>
      </c>
      <c r="B1615" s="1" t="s">
        <v>1442</v>
      </c>
      <c r="C1615" s="29">
        <v>45960.6594943866</v>
      </c>
      <c r="D1615" s="1" t="s">
        <v>3052</v>
      </c>
      <c r="E1615" s="1" t="s">
        <v>3053</v>
      </c>
      <c r="F1615" s="1">
        <v>1</v>
      </c>
      <c r="G1615" s="12" t="s">
        <v>1382</v>
      </c>
      <c r="H1615" s="1" t="s">
        <v>1382</v>
      </c>
      <c r="I1615" s="1" t="s">
        <v>62</v>
      </c>
      <c r="J1615" s="30">
        <v>150</v>
      </c>
      <c r="K1615" s="30">
        <v>40000</v>
      </c>
      <c r="L1615" s="31">
        <v>6000000</v>
      </c>
      <c r="M1615" s="1" t="s">
        <v>30</v>
      </c>
      <c r="N1615" s="1" t="s">
        <v>17</v>
      </c>
      <c r="O1615" s="1" t="s">
        <v>2057</v>
      </c>
      <c r="P1615" s="1" t="s">
        <v>2056</v>
      </c>
      <c r="Q1615" s="1" t="s">
        <v>533</v>
      </c>
      <c r="R1615" s="1">
        <f t="shared" si="25"/>
        <v>4</v>
      </c>
      <c r="S1615" s="4">
        <f>J1615*K1615*M1615</f>
        <v>600000</v>
      </c>
    </row>
    <row r="1616" spans="1:19" ht="43" hidden="1" customHeight="1">
      <c r="A1616" s="1" t="s">
        <v>2280</v>
      </c>
      <c r="B1616" s="1" t="s">
        <v>794</v>
      </c>
      <c r="C1616" s="29">
        <v>45959.655037615703</v>
      </c>
      <c r="D1616" s="1" t="s">
        <v>3052</v>
      </c>
      <c r="E1616" s="1" t="s">
        <v>3053</v>
      </c>
      <c r="F1616" s="1">
        <v>14</v>
      </c>
      <c r="G1616" s="12" t="s">
        <v>1382</v>
      </c>
      <c r="H1616" s="1" t="s">
        <v>1382</v>
      </c>
      <c r="I1616" s="1" t="s">
        <v>1580</v>
      </c>
      <c r="J1616" s="30">
        <v>1</v>
      </c>
      <c r="K1616" s="30">
        <v>30000</v>
      </c>
      <c r="L1616" s="31">
        <v>30000</v>
      </c>
      <c r="M1616" s="1" t="s">
        <v>30</v>
      </c>
      <c r="N1616" s="1" t="s">
        <v>17</v>
      </c>
      <c r="O1616" s="1" t="s">
        <v>2057</v>
      </c>
      <c r="P1616" s="1" t="s">
        <v>2056</v>
      </c>
      <c r="Q1616" s="1" t="s">
        <v>1578</v>
      </c>
      <c r="R1616" s="1">
        <f t="shared" si="25"/>
        <v>4</v>
      </c>
      <c r="S1616" s="4">
        <f>J1616*K1616*M1616</f>
        <v>3000</v>
      </c>
    </row>
    <row r="1617" spans="1:19" ht="43" hidden="1" customHeight="1">
      <c r="A1617" s="1" t="s">
        <v>2280</v>
      </c>
      <c r="B1617" s="1" t="s">
        <v>1417</v>
      </c>
      <c r="C1617" s="29">
        <v>45868.607072511601</v>
      </c>
      <c r="D1617" s="1" t="s">
        <v>3052</v>
      </c>
      <c r="E1617" s="1" t="s">
        <v>3053</v>
      </c>
      <c r="F1617" s="1">
        <v>17</v>
      </c>
      <c r="G1617" s="12" t="s">
        <v>1426</v>
      </c>
      <c r="H1617" s="1" t="s">
        <v>1426</v>
      </c>
      <c r="I1617" s="1" t="s">
        <v>130</v>
      </c>
      <c r="J1617" s="30">
        <v>2</v>
      </c>
      <c r="K1617" s="30">
        <v>1200000</v>
      </c>
      <c r="L1617" s="31">
        <v>2400000</v>
      </c>
      <c r="M1617" s="1" t="s">
        <v>30</v>
      </c>
      <c r="N1617" s="1" t="s">
        <v>17</v>
      </c>
      <c r="O1617" s="1" t="s">
        <v>2057</v>
      </c>
      <c r="P1617" s="1" t="s">
        <v>2056</v>
      </c>
      <c r="Q1617" s="1" t="s">
        <v>800</v>
      </c>
      <c r="R1617" s="1">
        <f t="shared" si="25"/>
        <v>3</v>
      </c>
      <c r="S1617" s="4">
        <f>J1617*K1617*M1617</f>
        <v>240000</v>
      </c>
    </row>
    <row r="1618" spans="1:19" ht="43" hidden="1" customHeight="1">
      <c r="A1618" s="1" t="s">
        <v>2280</v>
      </c>
      <c r="B1618" s="1" t="s">
        <v>1422</v>
      </c>
      <c r="C1618" s="29">
        <v>45864.4394789699</v>
      </c>
      <c r="D1618" s="1" t="s">
        <v>3058</v>
      </c>
      <c r="E1618" s="1" t="s">
        <v>3059</v>
      </c>
      <c r="F1618" s="1">
        <v>2</v>
      </c>
      <c r="G1618" s="12" t="s">
        <v>2714</v>
      </c>
      <c r="H1618" s="1" t="s">
        <v>1791</v>
      </c>
      <c r="I1618" s="1" t="s">
        <v>62</v>
      </c>
      <c r="J1618" s="30">
        <v>25</v>
      </c>
      <c r="K1618" s="30">
        <v>36000</v>
      </c>
      <c r="L1618" s="31">
        <v>900000</v>
      </c>
      <c r="M1618" s="1" t="s">
        <v>16</v>
      </c>
      <c r="N1618" s="1" t="s">
        <v>17</v>
      </c>
      <c r="O1618" s="1" t="s">
        <v>2057</v>
      </c>
      <c r="P1618" s="1" t="s">
        <v>2056</v>
      </c>
      <c r="Q1618" s="1" t="s">
        <v>1785</v>
      </c>
      <c r="R1618" s="1">
        <f t="shared" si="25"/>
        <v>3</v>
      </c>
      <c r="S1618" s="4">
        <f>J1618*K1618*M1618</f>
        <v>72000</v>
      </c>
    </row>
    <row r="1619" spans="1:19" ht="43" hidden="1" customHeight="1">
      <c r="A1619" s="1" t="s">
        <v>2072</v>
      </c>
      <c r="B1619" s="1" t="s">
        <v>146</v>
      </c>
      <c r="C1619" s="29">
        <v>46020.386763703696</v>
      </c>
      <c r="D1619" s="1" t="s">
        <v>3052</v>
      </c>
      <c r="E1619" s="1" t="s">
        <v>3053</v>
      </c>
      <c r="F1619" s="1">
        <v>6</v>
      </c>
      <c r="G1619" s="12" t="s">
        <v>1260</v>
      </c>
      <c r="H1619" s="1" t="s">
        <v>1260</v>
      </c>
      <c r="I1619" s="1" t="s">
        <v>62</v>
      </c>
      <c r="J1619" s="30">
        <v>1160</v>
      </c>
      <c r="K1619" s="30">
        <v>10000</v>
      </c>
      <c r="L1619" s="31">
        <v>11600000</v>
      </c>
      <c r="M1619" s="1" t="s">
        <v>16</v>
      </c>
      <c r="N1619" s="1" t="s">
        <v>17</v>
      </c>
      <c r="O1619" s="1" t="s">
        <v>2057</v>
      </c>
      <c r="P1619" s="1" t="s">
        <v>2056</v>
      </c>
      <c r="Q1619" s="1" t="s">
        <v>275</v>
      </c>
      <c r="R1619" s="1">
        <f t="shared" si="25"/>
        <v>4</v>
      </c>
      <c r="S1619" s="4">
        <f>J1619*K1619*M1619</f>
        <v>928000</v>
      </c>
    </row>
    <row r="1620" spans="1:19" ht="43" hidden="1" customHeight="1">
      <c r="A1620" s="1" t="s">
        <v>2280</v>
      </c>
      <c r="B1620" s="1" t="s">
        <v>1400</v>
      </c>
      <c r="C1620" s="29">
        <v>45990.721094398097</v>
      </c>
      <c r="D1620" s="1" t="s">
        <v>3052</v>
      </c>
      <c r="E1620" s="1" t="s">
        <v>3053</v>
      </c>
      <c r="F1620" s="1">
        <v>33</v>
      </c>
      <c r="G1620" s="12" t="s">
        <v>1260</v>
      </c>
      <c r="H1620" s="1" t="s">
        <v>1260</v>
      </c>
      <c r="I1620" s="1" t="s">
        <v>62</v>
      </c>
      <c r="J1620" s="30">
        <v>75</v>
      </c>
      <c r="K1620" s="30">
        <v>12000</v>
      </c>
      <c r="L1620" s="31">
        <v>900000</v>
      </c>
      <c r="M1620" s="1" t="s">
        <v>16</v>
      </c>
      <c r="N1620" s="1" t="s">
        <v>17</v>
      </c>
      <c r="O1620" s="1" t="s">
        <v>2057</v>
      </c>
      <c r="P1620" s="1" t="s">
        <v>2056</v>
      </c>
      <c r="Q1620" s="1" t="s">
        <v>1531</v>
      </c>
      <c r="R1620" s="1">
        <f t="shared" si="25"/>
        <v>4</v>
      </c>
      <c r="S1620" s="4">
        <f>J1620*K1620*M1620</f>
        <v>72000</v>
      </c>
    </row>
    <row r="1621" spans="1:19" ht="43" hidden="1" customHeight="1">
      <c r="A1621" s="1" t="s">
        <v>2280</v>
      </c>
      <c r="B1621" s="1" t="s">
        <v>1018</v>
      </c>
      <c r="C1621" s="29">
        <v>45957.708490682897</v>
      </c>
      <c r="D1621" s="1" t="s">
        <v>3058</v>
      </c>
      <c r="E1621" s="1" t="s">
        <v>3059</v>
      </c>
      <c r="F1621" s="1">
        <v>1</v>
      </c>
      <c r="G1621" s="12" t="s">
        <v>1260</v>
      </c>
      <c r="H1621" s="1" t="s">
        <v>1260</v>
      </c>
      <c r="I1621" s="1" t="s">
        <v>62</v>
      </c>
      <c r="J1621" s="30">
        <v>275</v>
      </c>
      <c r="K1621" s="30">
        <v>12000</v>
      </c>
      <c r="L1621" s="31">
        <v>3300000</v>
      </c>
      <c r="M1621" s="1" t="s">
        <v>16</v>
      </c>
      <c r="N1621" s="1" t="s">
        <v>17</v>
      </c>
      <c r="O1621" s="1" t="s">
        <v>2057</v>
      </c>
      <c r="P1621" s="1" t="s">
        <v>2056</v>
      </c>
      <c r="Q1621" s="1" t="s">
        <v>1583</v>
      </c>
      <c r="R1621" s="1">
        <f t="shared" si="25"/>
        <v>4</v>
      </c>
      <c r="S1621" s="4">
        <f>J1621*K1621*M1621</f>
        <v>264000</v>
      </c>
    </row>
    <row r="1622" spans="1:19" ht="43" hidden="1" customHeight="1">
      <c r="A1622" s="1" t="s">
        <v>2280</v>
      </c>
      <c r="B1622" s="1" t="s">
        <v>1420</v>
      </c>
      <c r="C1622" s="29">
        <v>45866.7486208681</v>
      </c>
      <c r="D1622" s="1" t="s">
        <v>3052</v>
      </c>
      <c r="E1622" s="1" t="s">
        <v>3053</v>
      </c>
      <c r="F1622" s="1">
        <v>3</v>
      </c>
      <c r="G1622" s="12" t="s">
        <v>1260</v>
      </c>
      <c r="H1622" s="1" t="s">
        <v>1260</v>
      </c>
      <c r="I1622" s="1" t="s">
        <v>62</v>
      </c>
      <c r="J1622" s="30">
        <v>100</v>
      </c>
      <c r="K1622" s="30">
        <v>12000</v>
      </c>
      <c r="L1622" s="31">
        <v>1200000</v>
      </c>
      <c r="M1622" s="1" t="s">
        <v>16</v>
      </c>
      <c r="N1622" s="1" t="s">
        <v>17</v>
      </c>
      <c r="O1622" s="1" t="s">
        <v>2057</v>
      </c>
      <c r="P1622" s="1" t="s">
        <v>2056</v>
      </c>
      <c r="Q1622" s="1" t="s">
        <v>1763</v>
      </c>
      <c r="R1622" s="1">
        <f t="shared" si="25"/>
        <v>3</v>
      </c>
      <c r="S1622" s="4">
        <f>J1622*K1622*M1622</f>
        <v>96000</v>
      </c>
    </row>
    <row r="1623" spans="1:19" ht="43" hidden="1" customHeight="1">
      <c r="A1623" s="1" t="s">
        <v>2280</v>
      </c>
      <c r="B1623" s="1" t="s">
        <v>152</v>
      </c>
      <c r="C1623" s="29">
        <v>45836.413450243097</v>
      </c>
      <c r="D1623" s="1" t="s">
        <v>3052</v>
      </c>
      <c r="E1623" s="1" t="s">
        <v>3053</v>
      </c>
      <c r="F1623" s="1">
        <v>7</v>
      </c>
      <c r="G1623" s="12" t="s">
        <v>1260</v>
      </c>
      <c r="H1623" s="1" t="s">
        <v>1260</v>
      </c>
      <c r="I1623" s="1" t="s">
        <v>62</v>
      </c>
      <c r="J1623" s="30">
        <v>350</v>
      </c>
      <c r="K1623" s="30">
        <v>12000</v>
      </c>
      <c r="L1623" s="31">
        <v>4200000</v>
      </c>
      <c r="M1623" s="1" t="s">
        <v>16</v>
      </c>
      <c r="N1623" s="1" t="s">
        <v>17</v>
      </c>
      <c r="O1623" s="1" t="s">
        <v>2057</v>
      </c>
      <c r="P1623" s="1" t="s">
        <v>2056</v>
      </c>
      <c r="Q1623" s="1" t="s">
        <v>845</v>
      </c>
      <c r="R1623" s="1">
        <f t="shared" si="25"/>
        <v>2</v>
      </c>
      <c r="S1623" s="4">
        <f>J1623*K1623*M1623</f>
        <v>336000</v>
      </c>
    </row>
    <row r="1624" spans="1:19" ht="43" hidden="1" customHeight="1">
      <c r="A1624" s="1" t="s">
        <v>2280</v>
      </c>
      <c r="B1624" s="1" t="s">
        <v>717</v>
      </c>
      <c r="C1624" s="29">
        <v>45807.729117129602</v>
      </c>
      <c r="D1624" s="1" t="s">
        <v>3052</v>
      </c>
      <c r="E1624" s="1" t="s">
        <v>3053</v>
      </c>
      <c r="F1624" s="1">
        <v>4</v>
      </c>
      <c r="G1624" s="12" t="s">
        <v>1260</v>
      </c>
      <c r="H1624" s="1" t="s">
        <v>1260</v>
      </c>
      <c r="I1624" s="1" t="s">
        <v>35</v>
      </c>
      <c r="J1624" s="30">
        <v>50</v>
      </c>
      <c r="K1624" s="30">
        <v>12000</v>
      </c>
      <c r="L1624" s="31">
        <v>600000</v>
      </c>
      <c r="M1624" s="1" t="s">
        <v>30</v>
      </c>
      <c r="N1624" s="1" t="s">
        <v>17</v>
      </c>
      <c r="O1624" s="1" t="s">
        <v>2057</v>
      </c>
      <c r="P1624" s="1" t="s">
        <v>2056</v>
      </c>
      <c r="Q1624" s="1" t="s">
        <v>925</v>
      </c>
      <c r="R1624" s="1">
        <f t="shared" si="25"/>
        <v>2</v>
      </c>
      <c r="S1624" s="4">
        <f>J1624*K1624*M1624</f>
        <v>60000</v>
      </c>
    </row>
    <row r="1625" spans="1:19" ht="43" hidden="1" customHeight="1">
      <c r="A1625" s="1" t="s">
        <v>2280</v>
      </c>
      <c r="B1625" s="1" t="s">
        <v>1416</v>
      </c>
      <c r="C1625" s="29">
        <v>45881.441986388898</v>
      </c>
      <c r="D1625" s="1" t="s">
        <v>3052</v>
      </c>
      <c r="E1625" s="1" t="s">
        <v>3053</v>
      </c>
      <c r="F1625" s="1">
        <v>1</v>
      </c>
      <c r="G1625" s="2" t="s">
        <v>2325</v>
      </c>
      <c r="H1625" s="1" t="s">
        <v>1744</v>
      </c>
      <c r="L1625" s="31">
        <v>138888889</v>
      </c>
      <c r="M1625" s="1" t="s">
        <v>16</v>
      </c>
      <c r="N1625" s="1" t="s">
        <v>17</v>
      </c>
      <c r="O1625" s="1" t="s">
        <v>2057</v>
      </c>
      <c r="P1625" s="1" t="s">
        <v>2056</v>
      </c>
      <c r="Q1625" s="1" t="s">
        <v>1743</v>
      </c>
      <c r="R1625" s="1">
        <f t="shared" si="25"/>
        <v>3</v>
      </c>
      <c r="S1625" s="4">
        <f>J1625*K1625*M1625</f>
        <v>0</v>
      </c>
    </row>
    <row r="1626" spans="1:19" ht="43" customHeight="1">
      <c r="A1626" s="1" t="s">
        <v>2072</v>
      </c>
      <c r="B1626" s="1" t="s">
        <v>1315</v>
      </c>
      <c r="C1626" s="29">
        <v>46013.422500011598</v>
      </c>
      <c r="D1626" s="1" t="s">
        <v>3077</v>
      </c>
      <c r="E1626" s="1" t="s">
        <v>3078</v>
      </c>
      <c r="F1626" s="1">
        <v>5</v>
      </c>
      <c r="H1626" s="1" t="s">
        <v>1521</v>
      </c>
      <c r="I1626" s="1" t="s">
        <v>1522</v>
      </c>
      <c r="J1626" s="30">
        <v>6.5</v>
      </c>
      <c r="K1626" s="30">
        <v>1800000</v>
      </c>
      <c r="L1626" s="31">
        <v>11700000</v>
      </c>
      <c r="M1626" s="1" t="s">
        <v>16</v>
      </c>
      <c r="N1626" s="1" t="s">
        <v>17</v>
      </c>
      <c r="O1626" s="1" t="s">
        <v>2057</v>
      </c>
      <c r="P1626" s="1" t="s">
        <v>2056</v>
      </c>
      <c r="Q1626" s="1" t="s">
        <v>1508</v>
      </c>
      <c r="R1626" s="1">
        <f t="shared" si="25"/>
        <v>4</v>
      </c>
      <c r="S1626" s="4">
        <f>J1626*K1626*M1626</f>
        <v>936000</v>
      </c>
    </row>
    <row r="1627" spans="1:19" ht="43" hidden="1" customHeight="1">
      <c r="A1627" s="1" t="s">
        <v>2280</v>
      </c>
      <c r="B1627" s="1" t="s">
        <v>1420</v>
      </c>
      <c r="C1627" s="29">
        <v>45866.7486208681</v>
      </c>
      <c r="D1627" s="1" t="s">
        <v>3052</v>
      </c>
      <c r="E1627" s="1" t="s">
        <v>3053</v>
      </c>
      <c r="F1627" s="1">
        <v>27</v>
      </c>
      <c r="G1627" s="12" t="s">
        <v>1784</v>
      </c>
      <c r="H1627" s="1" t="s">
        <v>1784</v>
      </c>
      <c r="I1627" s="1" t="s">
        <v>130</v>
      </c>
      <c r="J1627" s="30">
        <v>3</v>
      </c>
      <c r="K1627" s="30">
        <v>15000</v>
      </c>
      <c r="L1627" s="31">
        <v>45000</v>
      </c>
      <c r="M1627" s="1" t="s">
        <v>16</v>
      </c>
      <c r="N1627" s="1" t="s">
        <v>17</v>
      </c>
      <c r="O1627" s="1" t="s">
        <v>2057</v>
      </c>
      <c r="P1627" s="1" t="s">
        <v>2056</v>
      </c>
      <c r="Q1627" s="1" t="s">
        <v>1763</v>
      </c>
      <c r="R1627" s="1">
        <f t="shared" si="25"/>
        <v>3</v>
      </c>
      <c r="S1627" s="4">
        <f>J1627*K1627*M1627</f>
        <v>3600</v>
      </c>
    </row>
    <row r="1628" spans="1:19" ht="43" hidden="1" customHeight="1">
      <c r="A1628" s="1" t="s">
        <v>2280</v>
      </c>
      <c r="B1628" s="1" t="s">
        <v>13</v>
      </c>
      <c r="C1628" s="29">
        <v>45776.499996342602</v>
      </c>
      <c r="D1628" s="1" t="s">
        <v>3052</v>
      </c>
      <c r="E1628" s="1" t="s">
        <v>3053</v>
      </c>
      <c r="F1628" s="1">
        <v>39</v>
      </c>
      <c r="G1628" s="12" t="s">
        <v>1784</v>
      </c>
      <c r="H1628" s="1" t="s">
        <v>1784</v>
      </c>
      <c r="I1628" s="1" t="s">
        <v>15</v>
      </c>
      <c r="J1628" s="30">
        <v>2</v>
      </c>
      <c r="K1628" s="30">
        <v>20000</v>
      </c>
      <c r="L1628" s="31">
        <v>40000</v>
      </c>
      <c r="M1628" s="1" t="s">
        <v>16</v>
      </c>
      <c r="N1628" s="1" t="s">
        <v>17</v>
      </c>
      <c r="O1628" s="1" t="s">
        <v>2057</v>
      </c>
      <c r="P1628" s="1" t="s">
        <v>2056</v>
      </c>
      <c r="Q1628" s="1" t="s">
        <v>937</v>
      </c>
      <c r="R1628" s="1">
        <f t="shared" si="25"/>
        <v>2</v>
      </c>
      <c r="S1628" s="4">
        <f>J1628*K1628*M1628</f>
        <v>3200</v>
      </c>
    </row>
  </sheetData>
  <autoFilter ref="A2:S1628" xr:uid="{00000000-0001-0000-0000-000000000000}">
    <filterColumn colId="6">
      <filters blank="1"/>
    </filterColumn>
  </autoFilter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BE70-D4A1-4204-AD5B-60A97FC96ED0}">
  <dimension ref="A1:X1525"/>
  <sheetViews>
    <sheetView tabSelected="1" topLeftCell="B2" workbookViewId="0">
      <selection activeCell="F3" sqref="F3"/>
    </sheetView>
  </sheetViews>
  <sheetFormatPr defaultRowHeight="38" customHeight="1"/>
  <cols>
    <col min="1" max="1" width="0" style="1" hidden="1" customWidth="1"/>
    <col min="2" max="2" width="8.7265625" style="1"/>
    <col min="3" max="3" width="15.6328125" style="1" customWidth="1"/>
    <col min="4" max="4" width="13.26953125" style="1" customWidth="1"/>
    <col min="5" max="6" width="8.7265625" style="1"/>
    <col min="7" max="7" width="11.36328125" style="2" customWidth="1"/>
    <col min="8" max="8" width="23.36328125" style="1" customWidth="1"/>
    <col min="9" max="9" width="11.1796875" style="1" customWidth="1"/>
    <col min="10" max="11" width="8.7265625" style="1"/>
    <col min="12" max="12" width="10.1796875" style="1" customWidth="1"/>
    <col min="13" max="13" width="16.453125" style="3" customWidth="1"/>
    <col min="14" max="16" width="8.7265625" style="1"/>
    <col min="17" max="18" width="0" style="1" hidden="1" customWidth="1"/>
    <col min="19" max="21" width="8.7265625" style="1"/>
    <col min="22" max="22" width="11.54296875" style="1" customWidth="1"/>
    <col min="23" max="23" width="8.7265625" style="1"/>
    <col min="24" max="24" width="15.54296875" style="1" customWidth="1"/>
    <col min="25" max="16384" width="8.7265625" style="1"/>
  </cols>
  <sheetData>
    <row r="1" spans="1:24" ht="38" customHeight="1">
      <c r="K1" s="3">
        <f>SUBTOTAL(9,K2:K1525)</f>
        <v>761323.2627000002</v>
      </c>
      <c r="M1" s="3">
        <f>SUBTOTAL(9,M2:M1525)</f>
        <v>16700792164.690002</v>
      </c>
      <c r="N1" s="4"/>
      <c r="X1" s="3">
        <f>SUBTOTAL(9,X3:X1525)</f>
        <v>1588344403.2037792</v>
      </c>
    </row>
    <row r="2" spans="1:24" s="5" customFormat="1" ht="38" customHeight="1">
      <c r="A2" s="5" t="s">
        <v>2046</v>
      </c>
      <c r="B2" s="5" t="s">
        <v>0</v>
      </c>
      <c r="C2" s="5" t="s">
        <v>1</v>
      </c>
      <c r="D2" s="5" t="s">
        <v>2047</v>
      </c>
      <c r="E2" s="5" t="s">
        <v>2048</v>
      </c>
      <c r="F2" s="5" t="s">
        <v>2</v>
      </c>
      <c r="G2" s="6" t="s">
        <v>2049</v>
      </c>
      <c r="H2" s="5" t="s">
        <v>3</v>
      </c>
      <c r="I2" s="6" t="s">
        <v>2049</v>
      </c>
      <c r="J2" s="5" t="s">
        <v>4</v>
      </c>
      <c r="K2" s="5" t="s">
        <v>5</v>
      </c>
      <c r="L2" s="5" t="s">
        <v>6</v>
      </c>
      <c r="M2" s="7" t="s">
        <v>7</v>
      </c>
      <c r="N2" s="5" t="s">
        <v>8</v>
      </c>
      <c r="O2" s="5" t="s">
        <v>9</v>
      </c>
      <c r="P2" s="5" t="s">
        <v>10</v>
      </c>
      <c r="Q2" s="5" t="s">
        <v>11</v>
      </c>
      <c r="R2" s="5" t="s">
        <v>2050</v>
      </c>
      <c r="S2" s="5" t="s">
        <v>2051</v>
      </c>
      <c r="T2" s="5" t="s">
        <v>2052</v>
      </c>
      <c r="U2" s="5" t="s">
        <v>2053</v>
      </c>
      <c r="V2" s="5" t="s">
        <v>12</v>
      </c>
      <c r="W2" s="5" t="s">
        <v>2054</v>
      </c>
      <c r="X2" s="5" t="s">
        <v>2055</v>
      </c>
    </row>
    <row r="3" spans="1:24" s="8" customFormat="1" ht="41.5" customHeight="1">
      <c r="A3" s="8" t="s">
        <v>2060</v>
      </c>
      <c r="B3" s="8" t="s">
        <v>2061</v>
      </c>
      <c r="C3" s="9">
        <v>46022.409398900498</v>
      </c>
      <c r="D3" s="8" t="s">
        <v>2062</v>
      </c>
      <c r="E3" s="8" t="s">
        <v>2057</v>
      </c>
      <c r="F3" s="8">
        <v>1</v>
      </c>
      <c r="G3" s="2">
        <v>642</v>
      </c>
      <c r="H3" s="8" t="s">
        <v>26</v>
      </c>
      <c r="I3" s="2">
        <f>G3</f>
        <v>642</v>
      </c>
      <c r="J3" s="8" t="s">
        <v>27</v>
      </c>
      <c r="K3" s="10">
        <v>71.066000000000003</v>
      </c>
      <c r="L3" s="10">
        <v>16287.04</v>
      </c>
      <c r="M3" s="11">
        <v>1157455</v>
      </c>
      <c r="N3" s="8" t="s">
        <v>16</v>
      </c>
      <c r="O3" s="8" t="s">
        <v>17</v>
      </c>
      <c r="P3" s="8" t="s">
        <v>18</v>
      </c>
      <c r="Q3" s="8" t="s">
        <v>18</v>
      </c>
      <c r="S3" s="8" t="s">
        <v>2063</v>
      </c>
      <c r="T3" s="8" t="s">
        <v>2064</v>
      </c>
      <c r="U3" s="8" t="s">
        <v>2065</v>
      </c>
      <c r="V3" s="8" t="s">
        <v>28</v>
      </c>
      <c r="W3" s="8">
        <f>ROUNDUP(MONTH(V3)/3,0)</f>
        <v>4</v>
      </c>
      <c r="X3" s="8">
        <f>K3*L3*N3</f>
        <v>92596.38277120002</v>
      </c>
    </row>
    <row r="4" spans="1:24" s="8" customFormat="1" ht="41.5" customHeight="1">
      <c r="A4" s="8" t="s">
        <v>2066</v>
      </c>
      <c r="B4" s="8" t="s">
        <v>2067</v>
      </c>
      <c r="C4" s="9">
        <v>45820.6117983449</v>
      </c>
      <c r="D4" s="8" t="s">
        <v>2056</v>
      </c>
      <c r="E4" s="8" t="s">
        <v>2057</v>
      </c>
      <c r="F4" s="8">
        <v>1</v>
      </c>
      <c r="G4" s="2">
        <v>642</v>
      </c>
      <c r="H4" s="8" t="s">
        <v>29</v>
      </c>
      <c r="I4" s="2">
        <f t="shared" ref="I4:I14" si="0">G4</f>
        <v>642</v>
      </c>
      <c r="J4" s="8" t="s">
        <v>27</v>
      </c>
      <c r="K4" s="10">
        <v>78.119389999999996</v>
      </c>
      <c r="L4" s="10">
        <v>16145.45455</v>
      </c>
      <c r="M4" s="11">
        <v>1261273</v>
      </c>
      <c r="N4" s="8" t="s">
        <v>30</v>
      </c>
      <c r="O4" s="8" t="s">
        <v>17</v>
      </c>
      <c r="P4" s="8" t="s">
        <v>18</v>
      </c>
      <c r="Q4" s="8" t="s">
        <v>18</v>
      </c>
      <c r="S4" s="8" t="s">
        <v>2068</v>
      </c>
      <c r="T4" s="8" t="s">
        <v>2069</v>
      </c>
      <c r="U4" s="8" t="s">
        <v>2070</v>
      </c>
      <c r="V4" s="8" t="s">
        <v>31</v>
      </c>
      <c r="W4" s="8">
        <f>ROUNDUP(MONTH(V4)/3,0)</f>
        <v>2</v>
      </c>
      <c r="X4" s="8">
        <f>K4*L4*N4</f>
        <v>126127.30607187246</v>
      </c>
    </row>
    <row r="5" spans="1:24" s="8" customFormat="1" ht="41.5" customHeight="1">
      <c r="A5" s="8" t="s">
        <v>2066</v>
      </c>
      <c r="B5" s="8" t="s">
        <v>2071</v>
      </c>
      <c r="C5" s="9">
        <v>45814.781073078702</v>
      </c>
      <c r="D5" s="8" t="s">
        <v>2056</v>
      </c>
      <c r="E5" s="8" t="s">
        <v>2057</v>
      </c>
      <c r="F5" s="8">
        <v>1</v>
      </c>
      <c r="G5" s="2">
        <v>642</v>
      </c>
      <c r="H5" s="8" t="s">
        <v>29</v>
      </c>
      <c r="I5" s="2">
        <f t="shared" si="0"/>
        <v>642</v>
      </c>
      <c r="J5" s="8" t="s">
        <v>27</v>
      </c>
      <c r="K5" s="10">
        <v>56.306310000000003</v>
      </c>
      <c r="L5" s="10">
        <v>16145.45455</v>
      </c>
      <c r="M5" s="11">
        <v>909091</v>
      </c>
      <c r="N5" s="8" t="s">
        <v>30</v>
      </c>
      <c r="O5" s="8" t="s">
        <v>17</v>
      </c>
      <c r="P5" s="8" t="s">
        <v>18</v>
      </c>
      <c r="Q5" s="8" t="s">
        <v>18</v>
      </c>
      <c r="S5" s="8" t="s">
        <v>2068</v>
      </c>
      <c r="T5" s="8" t="s">
        <v>2069</v>
      </c>
      <c r="U5" s="8" t="s">
        <v>2070</v>
      </c>
      <c r="V5" s="8" t="s">
        <v>32</v>
      </c>
      <c r="W5" s="8">
        <f>ROUNDUP(MONTH(V5)/3,0)</f>
        <v>2</v>
      </c>
      <c r="X5" s="8">
        <f>K5*L5*N5</f>
        <v>90909.096898321062</v>
      </c>
    </row>
    <row r="6" spans="1:24" s="8" customFormat="1" ht="41.5" customHeight="1">
      <c r="A6" s="8" t="s">
        <v>2072</v>
      </c>
      <c r="B6" s="8" t="s">
        <v>33</v>
      </c>
      <c r="C6" s="9">
        <v>45808.664303830999</v>
      </c>
      <c r="D6" s="8" t="s">
        <v>2056</v>
      </c>
      <c r="E6" s="8" t="s">
        <v>2057</v>
      </c>
      <c r="F6" s="8">
        <v>1</v>
      </c>
      <c r="G6" s="22" t="s">
        <v>34</v>
      </c>
      <c r="H6" s="8" t="s">
        <v>34</v>
      </c>
      <c r="I6" s="2" t="str">
        <f t="shared" si="0"/>
        <v>Bạt PP</v>
      </c>
      <c r="J6" s="8" t="s">
        <v>35</v>
      </c>
      <c r="K6" s="10">
        <v>300</v>
      </c>
      <c r="L6" s="10">
        <v>37700</v>
      </c>
      <c r="M6" s="11">
        <v>11310000</v>
      </c>
      <c r="N6" s="8" t="s">
        <v>16</v>
      </c>
      <c r="O6" s="8" t="s">
        <v>17</v>
      </c>
      <c r="P6" s="8" t="s">
        <v>18</v>
      </c>
      <c r="Q6" s="8" t="s">
        <v>18</v>
      </c>
      <c r="S6" s="8" t="s">
        <v>2073</v>
      </c>
      <c r="T6" s="8" t="s">
        <v>2074</v>
      </c>
      <c r="U6" s="8" t="s">
        <v>2075</v>
      </c>
      <c r="V6" s="8" t="s">
        <v>36</v>
      </c>
      <c r="W6" s="8">
        <f>ROUNDUP(MONTH(V6)/3,0)</f>
        <v>2</v>
      </c>
      <c r="X6" s="8">
        <f>K6*L6*N6</f>
        <v>904800</v>
      </c>
    </row>
    <row r="7" spans="1:24" s="8" customFormat="1" ht="41.5" customHeight="1">
      <c r="A7" s="8" t="s">
        <v>2060</v>
      </c>
      <c r="B7" s="8" t="s">
        <v>2076</v>
      </c>
      <c r="C7" s="9">
        <v>45804.978088854201</v>
      </c>
      <c r="D7" s="8" t="s">
        <v>2062</v>
      </c>
      <c r="E7" s="8" t="s">
        <v>2057</v>
      </c>
      <c r="F7" s="8">
        <v>1</v>
      </c>
      <c r="G7" s="2">
        <v>642</v>
      </c>
      <c r="H7" s="8" t="s">
        <v>29</v>
      </c>
      <c r="I7" s="2">
        <f t="shared" si="0"/>
        <v>642</v>
      </c>
      <c r="J7" s="8" t="s">
        <v>27</v>
      </c>
      <c r="K7" s="10">
        <v>56.386000000000003</v>
      </c>
      <c r="L7" s="10">
        <v>16127.27</v>
      </c>
      <c r="M7" s="11">
        <v>909353</v>
      </c>
      <c r="N7" s="8" t="s">
        <v>30</v>
      </c>
      <c r="O7" s="8" t="s">
        <v>17</v>
      </c>
      <c r="P7" s="8" t="s">
        <v>18</v>
      </c>
      <c r="Q7" s="8" t="s">
        <v>18</v>
      </c>
      <c r="S7" s="8" t="s">
        <v>2063</v>
      </c>
      <c r="T7" s="8" t="s">
        <v>2064</v>
      </c>
      <c r="U7" s="8" t="s">
        <v>2077</v>
      </c>
      <c r="V7" s="8" t="s">
        <v>37</v>
      </c>
      <c r="W7" s="8">
        <f>ROUNDUP(MONTH(V7)/3,0)</f>
        <v>2</v>
      </c>
      <c r="X7" s="8">
        <f>K7*L7*N7</f>
        <v>90935.224622000009</v>
      </c>
    </row>
    <row r="8" spans="1:24" s="8" customFormat="1" ht="41.5" customHeight="1">
      <c r="A8" s="8" t="s">
        <v>2060</v>
      </c>
      <c r="B8" s="8" t="s">
        <v>2078</v>
      </c>
      <c r="C8" s="9">
        <v>45783.694743715299</v>
      </c>
      <c r="D8" s="8" t="s">
        <v>2062</v>
      </c>
      <c r="E8" s="8" t="s">
        <v>2057</v>
      </c>
      <c r="F8" s="8">
        <v>1</v>
      </c>
      <c r="G8" s="2">
        <v>642</v>
      </c>
      <c r="H8" s="8" t="s">
        <v>29</v>
      </c>
      <c r="I8" s="2">
        <f t="shared" si="0"/>
        <v>642</v>
      </c>
      <c r="J8" s="8" t="s">
        <v>27</v>
      </c>
      <c r="K8" s="10">
        <v>56.533999999999999</v>
      </c>
      <c r="L8" s="10">
        <v>16081.82</v>
      </c>
      <c r="M8" s="11">
        <v>909170</v>
      </c>
      <c r="N8" s="8" t="s">
        <v>30</v>
      </c>
      <c r="O8" s="8" t="s">
        <v>17</v>
      </c>
      <c r="P8" s="8" t="s">
        <v>18</v>
      </c>
      <c r="Q8" s="8" t="s">
        <v>18</v>
      </c>
      <c r="S8" s="8" t="s">
        <v>2063</v>
      </c>
      <c r="T8" s="8" t="s">
        <v>2064</v>
      </c>
      <c r="U8" s="8" t="s">
        <v>2077</v>
      </c>
      <c r="V8" s="8" t="s">
        <v>38</v>
      </c>
      <c r="W8" s="8">
        <f>ROUNDUP(MONTH(V8)/3,0)</f>
        <v>2</v>
      </c>
      <c r="X8" s="8">
        <f>K8*L8*N8</f>
        <v>90916.961188000001</v>
      </c>
    </row>
    <row r="9" spans="1:24" s="8" customFormat="1" ht="41.5" customHeight="1">
      <c r="A9" s="8" t="s">
        <v>2060</v>
      </c>
      <c r="B9" s="8" t="s">
        <v>2079</v>
      </c>
      <c r="C9" s="9">
        <v>45768.976787141197</v>
      </c>
      <c r="D9" s="8" t="s">
        <v>2062</v>
      </c>
      <c r="E9" s="8" t="s">
        <v>2057</v>
      </c>
      <c r="F9" s="8">
        <v>1</v>
      </c>
      <c r="G9" s="2">
        <v>642</v>
      </c>
      <c r="H9" s="8" t="s">
        <v>29</v>
      </c>
      <c r="I9" s="2">
        <f t="shared" si="0"/>
        <v>642</v>
      </c>
      <c r="J9" s="8" t="s">
        <v>27</v>
      </c>
      <c r="K9" s="10">
        <v>74.841999999999999</v>
      </c>
      <c r="L9" s="10">
        <v>15790.91</v>
      </c>
      <c r="M9" s="11">
        <v>1181824</v>
      </c>
      <c r="N9" s="8" t="s">
        <v>30</v>
      </c>
      <c r="O9" s="8" t="s">
        <v>17</v>
      </c>
      <c r="P9" s="8" t="s">
        <v>18</v>
      </c>
      <c r="Q9" s="8" t="s">
        <v>18</v>
      </c>
      <c r="S9" s="8" t="s">
        <v>2063</v>
      </c>
      <c r="T9" s="8" t="s">
        <v>2064</v>
      </c>
      <c r="U9" s="8" t="s">
        <v>2077</v>
      </c>
      <c r="V9" s="8" t="s">
        <v>39</v>
      </c>
      <c r="W9" s="8">
        <f>ROUNDUP(MONTH(V9)/3,0)</f>
        <v>2</v>
      </c>
      <c r="X9" s="8">
        <f>K9*L9*N9</f>
        <v>118182.328622</v>
      </c>
    </row>
    <row r="10" spans="1:24" s="8" customFormat="1" ht="41.5" customHeight="1">
      <c r="A10" s="8" t="s">
        <v>2060</v>
      </c>
      <c r="B10" s="8" t="s">
        <v>2080</v>
      </c>
      <c r="C10" s="9">
        <v>45730.978684791698</v>
      </c>
      <c r="D10" s="8" t="s">
        <v>2062</v>
      </c>
      <c r="E10" s="8" t="s">
        <v>2057</v>
      </c>
      <c r="F10" s="8">
        <v>1</v>
      </c>
      <c r="G10" s="2">
        <v>642</v>
      </c>
      <c r="H10" s="8" t="s">
        <v>29</v>
      </c>
      <c r="I10" s="2">
        <f t="shared" si="0"/>
        <v>642</v>
      </c>
      <c r="J10" s="8" t="s">
        <v>27</v>
      </c>
      <c r="K10" s="10">
        <v>27.416</v>
      </c>
      <c r="L10" s="10">
        <v>16581.82</v>
      </c>
      <c r="M10" s="11">
        <v>454607</v>
      </c>
      <c r="N10" s="8" t="s">
        <v>30</v>
      </c>
      <c r="O10" s="8" t="s">
        <v>17</v>
      </c>
      <c r="P10" s="8" t="s">
        <v>18</v>
      </c>
      <c r="Q10" s="8" t="s">
        <v>18</v>
      </c>
      <c r="S10" s="8" t="s">
        <v>2063</v>
      </c>
      <c r="T10" s="8" t="s">
        <v>2064</v>
      </c>
      <c r="U10" s="8" t="s">
        <v>2077</v>
      </c>
      <c r="V10" s="8" t="s">
        <v>40</v>
      </c>
      <c r="W10" s="8">
        <f>ROUNDUP(MONTH(V10)/3,0)</f>
        <v>1</v>
      </c>
      <c r="X10" s="8">
        <f>K10*L10*N10</f>
        <v>45460.717712000005</v>
      </c>
    </row>
    <row r="11" spans="1:24" s="8" customFormat="1" ht="41.5" customHeight="1">
      <c r="A11" s="8" t="s">
        <v>2060</v>
      </c>
      <c r="B11" s="8" t="s">
        <v>2081</v>
      </c>
      <c r="C11" s="9">
        <v>45726.979487303201</v>
      </c>
      <c r="D11" s="8" t="s">
        <v>2062</v>
      </c>
      <c r="E11" s="8" t="s">
        <v>2057</v>
      </c>
      <c r="F11" s="8">
        <v>1</v>
      </c>
      <c r="G11" s="2">
        <v>642</v>
      </c>
      <c r="H11" s="8" t="s">
        <v>29</v>
      </c>
      <c r="I11" s="2">
        <f t="shared" si="0"/>
        <v>642</v>
      </c>
      <c r="J11" s="8" t="s">
        <v>27</v>
      </c>
      <c r="K11" s="10">
        <v>53.51</v>
      </c>
      <c r="L11" s="10">
        <v>16990.91</v>
      </c>
      <c r="M11" s="11">
        <v>909184</v>
      </c>
      <c r="N11" s="8" t="s">
        <v>30</v>
      </c>
      <c r="O11" s="8" t="s">
        <v>17</v>
      </c>
      <c r="P11" s="8" t="s">
        <v>18</v>
      </c>
      <c r="Q11" s="8" t="s">
        <v>18</v>
      </c>
      <c r="S11" s="8" t="s">
        <v>2063</v>
      </c>
      <c r="T11" s="8" t="s">
        <v>2064</v>
      </c>
      <c r="U11" s="8" t="s">
        <v>2077</v>
      </c>
      <c r="V11" s="8" t="s">
        <v>41</v>
      </c>
      <c r="W11" s="8">
        <f>ROUNDUP(MONTH(V11)/3,0)</f>
        <v>1</v>
      </c>
      <c r="X11" s="8">
        <f>K11*L11*N11</f>
        <v>90918.359410000005</v>
      </c>
    </row>
    <row r="12" spans="1:24" s="8" customFormat="1" ht="41.5" customHeight="1">
      <c r="A12" s="8" t="s">
        <v>2060</v>
      </c>
      <c r="B12" s="8" t="s">
        <v>2082</v>
      </c>
      <c r="C12" s="9">
        <v>45747.978040277798</v>
      </c>
      <c r="D12" s="8" t="s">
        <v>2062</v>
      </c>
      <c r="E12" s="8" t="s">
        <v>2057</v>
      </c>
      <c r="F12" s="8">
        <v>1</v>
      </c>
      <c r="G12" s="2">
        <v>642</v>
      </c>
      <c r="H12" s="8" t="s">
        <v>29</v>
      </c>
      <c r="I12" s="2">
        <f t="shared" si="0"/>
        <v>642</v>
      </c>
      <c r="J12" s="8" t="s">
        <v>27</v>
      </c>
      <c r="K12" s="10">
        <v>53.86</v>
      </c>
      <c r="L12" s="10">
        <v>16881.82</v>
      </c>
      <c r="M12" s="11">
        <v>909255</v>
      </c>
      <c r="N12" s="8" t="s">
        <v>30</v>
      </c>
      <c r="O12" s="8" t="s">
        <v>17</v>
      </c>
      <c r="P12" s="8" t="s">
        <v>18</v>
      </c>
      <c r="Q12" s="8" t="s">
        <v>18</v>
      </c>
      <c r="S12" s="8" t="s">
        <v>2063</v>
      </c>
      <c r="T12" s="8" t="s">
        <v>2064</v>
      </c>
      <c r="U12" s="8" t="s">
        <v>2077</v>
      </c>
      <c r="V12" s="8" t="s">
        <v>42</v>
      </c>
      <c r="W12" s="8">
        <f>ROUNDUP(MONTH(V12)/3,0)</f>
        <v>1</v>
      </c>
      <c r="X12" s="8">
        <f>K12*L12*N12</f>
        <v>90925.482520000005</v>
      </c>
    </row>
    <row r="13" spans="1:24" s="23" customFormat="1" ht="41.5" customHeight="1">
      <c r="A13" s="23" t="s">
        <v>2060</v>
      </c>
      <c r="B13" s="23" t="s">
        <v>2083</v>
      </c>
      <c r="C13" s="24">
        <v>45747.561164409701</v>
      </c>
      <c r="D13" s="23" t="s">
        <v>2056</v>
      </c>
      <c r="E13" s="23" t="s">
        <v>2057</v>
      </c>
      <c r="F13" s="23">
        <v>1</v>
      </c>
      <c r="G13" s="23">
        <v>642</v>
      </c>
      <c r="H13" s="23" t="s">
        <v>43</v>
      </c>
      <c r="I13" s="2">
        <f t="shared" si="0"/>
        <v>642</v>
      </c>
      <c r="J13" s="23" t="s">
        <v>19</v>
      </c>
      <c r="K13" s="25">
        <v>1</v>
      </c>
      <c r="L13" s="25">
        <v>2172727</v>
      </c>
      <c r="M13" s="26">
        <v>2172727</v>
      </c>
      <c r="N13" s="23" t="s">
        <v>30</v>
      </c>
      <c r="O13" s="23" t="s">
        <v>17</v>
      </c>
      <c r="P13" s="23" t="s">
        <v>18</v>
      </c>
      <c r="Q13" s="23" t="s">
        <v>18</v>
      </c>
      <c r="S13" s="23" t="s">
        <v>2084</v>
      </c>
      <c r="T13" s="23" t="s">
        <v>2085</v>
      </c>
      <c r="U13" s="23" t="s">
        <v>2086</v>
      </c>
      <c r="V13" s="23" t="s">
        <v>42</v>
      </c>
      <c r="W13" s="23">
        <f>ROUNDUP(MONTH(V13)/3,0)</f>
        <v>1</v>
      </c>
      <c r="X13" s="8">
        <f>K13*L13*N13</f>
        <v>217272.7</v>
      </c>
    </row>
    <row r="14" spans="1:24" s="8" customFormat="1" ht="41.5" customHeight="1">
      <c r="A14" s="8" t="s">
        <v>2060</v>
      </c>
      <c r="B14" s="8" t="s">
        <v>2087</v>
      </c>
      <c r="C14" s="9">
        <v>45680.976510659697</v>
      </c>
      <c r="D14" s="8" t="s">
        <v>2062</v>
      </c>
      <c r="E14" s="8" t="s">
        <v>2057</v>
      </c>
      <c r="F14" s="8">
        <v>1</v>
      </c>
      <c r="G14" s="2">
        <v>642</v>
      </c>
      <c r="H14" s="8" t="s">
        <v>29</v>
      </c>
      <c r="I14" s="2">
        <f t="shared" si="0"/>
        <v>642</v>
      </c>
      <c r="J14" s="8" t="s">
        <v>27</v>
      </c>
      <c r="K14" s="10">
        <v>72.86</v>
      </c>
      <c r="L14" s="10">
        <v>18718.18</v>
      </c>
      <c r="M14" s="11">
        <v>1363807</v>
      </c>
      <c r="N14" s="8" t="s">
        <v>30</v>
      </c>
      <c r="O14" s="8" t="s">
        <v>17</v>
      </c>
      <c r="P14" s="8" t="s">
        <v>18</v>
      </c>
      <c r="Q14" s="8" t="s">
        <v>18</v>
      </c>
      <c r="S14" s="8" t="s">
        <v>2063</v>
      </c>
      <c r="T14" s="8" t="s">
        <v>2064</v>
      </c>
      <c r="U14" s="8" t="s">
        <v>2077</v>
      </c>
      <c r="V14" s="8" t="s">
        <v>44</v>
      </c>
      <c r="W14" s="8">
        <f>ROUNDUP(MONTH(V14)/3,0)</f>
        <v>1</v>
      </c>
      <c r="X14" s="8">
        <f>K14*L14*N14</f>
        <v>136380.65948</v>
      </c>
    </row>
    <row r="15" spans="1:24" s="8" customFormat="1" ht="41.5" customHeight="1">
      <c r="A15" s="8" t="s">
        <v>2279</v>
      </c>
      <c r="B15" s="8" t="s">
        <v>206</v>
      </c>
      <c r="C15" s="9">
        <v>46009.7047485648</v>
      </c>
      <c r="D15" s="8" t="s">
        <v>2056</v>
      </c>
      <c r="E15" s="8" t="s">
        <v>2057</v>
      </c>
      <c r="F15" s="8">
        <v>1</v>
      </c>
      <c r="G15" s="22" t="s">
        <v>1061</v>
      </c>
      <c r="H15" s="8" t="s">
        <v>207</v>
      </c>
      <c r="I15" s="2" t="str">
        <f t="shared" ref="I15:I78" si="1">G15</f>
        <v>Ống uPVC đk 21 NTC</v>
      </c>
      <c r="J15" s="8" t="s">
        <v>47</v>
      </c>
      <c r="K15" s="10">
        <v>1600</v>
      </c>
      <c r="L15" s="10">
        <v>5125.74</v>
      </c>
      <c r="M15" s="11">
        <v>8201185</v>
      </c>
      <c r="N15" s="8" t="s">
        <v>16</v>
      </c>
      <c r="O15" s="8" t="s">
        <v>17</v>
      </c>
      <c r="P15" s="8" t="s">
        <v>18</v>
      </c>
      <c r="Q15" s="8" t="s">
        <v>18</v>
      </c>
      <c r="R15" s="8" t="s">
        <v>2095</v>
      </c>
      <c r="S15" s="8" t="s">
        <v>2096</v>
      </c>
      <c r="T15" s="8" t="s">
        <v>2097</v>
      </c>
      <c r="U15" s="8" t="s">
        <v>2098</v>
      </c>
      <c r="V15" s="8" t="s">
        <v>208</v>
      </c>
      <c r="W15" s="8">
        <f>ROUNDUP(MONTH(V15)/3,0)</f>
        <v>4</v>
      </c>
      <c r="X15" s="8">
        <f>K15*L15*N15</f>
        <v>656094.71999999997</v>
      </c>
    </row>
    <row r="16" spans="1:24" s="8" customFormat="1" ht="41.5" customHeight="1">
      <c r="A16" s="8" t="s">
        <v>2279</v>
      </c>
      <c r="B16" s="8" t="s">
        <v>206</v>
      </c>
      <c r="C16" s="9">
        <v>46009.7047485648</v>
      </c>
      <c r="D16" s="8" t="s">
        <v>2056</v>
      </c>
      <c r="E16" s="8" t="s">
        <v>2057</v>
      </c>
      <c r="F16" s="8">
        <v>2</v>
      </c>
      <c r="G16" s="22" t="s">
        <v>1487</v>
      </c>
      <c r="H16" s="8" t="s">
        <v>86</v>
      </c>
      <c r="I16" s="2" t="str">
        <f t="shared" si="1"/>
        <v>DDASS nắp bít ĐK 21</v>
      </c>
      <c r="J16" s="8" t="s">
        <v>15</v>
      </c>
      <c r="K16" s="10">
        <v>2200</v>
      </c>
      <c r="L16" s="10">
        <v>470</v>
      </c>
      <c r="M16" s="11">
        <v>1034000</v>
      </c>
      <c r="N16" s="8" t="s">
        <v>16</v>
      </c>
      <c r="O16" s="8" t="s">
        <v>17</v>
      </c>
      <c r="P16" s="8" t="s">
        <v>18</v>
      </c>
      <c r="Q16" s="8" t="s">
        <v>18</v>
      </c>
      <c r="R16" s="8" t="s">
        <v>2095</v>
      </c>
      <c r="S16" s="8" t="s">
        <v>2096</v>
      </c>
      <c r="T16" s="8" t="s">
        <v>2097</v>
      </c>
      <c r="U16" s="8" t="s">
        <v>2098</v>
      </c>
      <c r="V16" s="8" t="s">
        <v>208</v>
      </c>
      <c r="W16" s="8">
        <f>ROUNDUP(MONTH(V16)/3,0)</f>
        <v>4</v>
      </c>
      <c r="X16" s="8">
        <f>K16*L16*N16</f>
        <v>82720</v>
      </c>
    </row>
    <row r="17" spans="1:24" s="8" customFormat="1" ht="41.5" customHeight="1">
      <c r="A17" s="8" t="s">
        <v>2279</v>
      </c>
      <c r="B17" s="8" t="s">
        <v>209</v>
      </c>
      <c r="C17" s="9">
        <v>46000.722155694399</v>
      </c>
      <c r="D17" s="8" t="s">
        <v>2056</v>
      </c>
      <c r="E17" s="8" t="s">
        <v>2057</v>
      </c>
      <c r="F17" s="8">
        <v>1</v>
      </c>
      <c r="G17" s="27" t="s">
        <v>2088</v>
      </c>
      <c r="H17" s="8" t="s">
        <v>87</v>
      </c>
      <c r="I17" s="2" t="str">
        <f t="shared" si="1"/>
        <v>ống uPVC DN110 PN6 C2</v>
      </c>
      <c r="J17" s="8" t="s">
        <v>47</v>
      </c>
      <c r="K17" s="10">
        <v>800</v>
      </c>
      <c r="L17" s="10">
        <v>87272</v>
      </c>
      <c r="M17" s="11">
        <v>69817600</v>
      </c>
      <c r="N17" s="8" t="s">
        <v>16</v>
      </c>
      <c r="O17" s="8" t="s">
        <v>17</v>
      </c>
      <c r="P17" s="8" t="s">
        <v>18</v>
      </c>
      <c r="Q17" s="8" t="s">
        <v>18</v>
      </c>
      <c r="R17" s="8" t="s">
        <v>2095</v>
      </c>
      <c r="S17" s="8" t="s">
        <v>2096</v>
      </c>
      <c r="T17" s="8" t="s">
        <v>2097</v>
      </c>
      <c r="U17" s="8" t="s">
        <v>2098</v>
      </c>
      <c r="V17" s="8" t="s">
        <v>210</v>
      </c>
      <c r="W17" s="8">
        <f t="shared" ref="W17:W80" si="2">ROUNDUP(MONTH(V17)/3,0)</f>
        <v>4</v>
      </c>
      <c r="X17" s="8">
        <f>K17*L17*N17</f>
        <v>5585408</v>
      </c>
    </row>
    <row r="18" spans="1:24" s="8" customFormat="1" ht="41.5" customHeight="1">
      <c r="A18" s="8" t="s">
        <v>2279</v>
      </c>
      <c r="B18" s="8" t="s">
        <v>209</v>
      </c>
      <c r="C18" s="9">
        <v>46000.722155694399</v>
      </c>
      <c r="D18" s="8" t="s">
        <v>2056</v>
      </c>
      <c r="E18" s="8" t="s">
        <v>2057</v>
      </c>
      <c r="F18" s="8">
        <v>2</v>
      </c>
      <c r="G18" s="27" t="s">
        <v>1270</v>
      </c>
      <c r="H18" s="8" t="s">
        <v>48</v>
      </c>
      <c r="I18" s="2" t="str">
        <f t="shared" si="1"/>
        <v>Ống uPVC DN90 PN6 C2</v>
      </c>
      <c r="J18" s="8" t="s">
        <v>47</v>
      </c>
      <c r="K18" s="10">
        <v>400</v>
      </c>
      <c r="L18" s="10">
        <v>49420</v>
      </c>
      <c r="M18" s="11">
        <v>19768000</v>
      </c>
      <c r="N18" s="8" t="s">
        <v>16</v>
      </c>
      <c r="O18" s="8" t="s">
        <v>17</v>
      </c>
      <c r="P18" s="8" t="s">
        <v>18</v>
      </c>
      <c r="Q18" s="8" t="s">
        <v>18</v>
      </c>
      <c r="R18" s="8" t="s">
        <v>2095</v>
      </c>
      <c r="S18" s="8" t="s">
        <v>2096</v>
      </c>
      <c r="T18" s="8" t="s">
        <v>2097</v>
      </c>
      <c r="U18" s="8" t="s">
        <v>2098</v>
      </c>
      <c r="V18" s="8" t="s">
        <v>210</v>
      </c>
      <c r="W18" s="8">
        <f t="shared" si="2"/>
        <v>4</v>
      </c>
      <c r="X18" s="8">
        <f>K18*L18*N18</f>
        <v>1581440</v>
      </c>
    </row>
    <row r="19" spans="1:24" s="8" customFormat="1" ht="41.5" customHeight="1">
      <c r="A19" s="8" t="s">
        <v>2279</v>
      </c>
      <c r="B19" s="8" t="s">
        <v>209</v>
      </c>
      <c r="C19" s="9">
        <v>46000.722155694399</v>
      </c>
      <c r="D19" s="8" t="s">
        <v>2056</v>
      </c>
      <c r="E19" s="8" t="s">
        <v>2057</v>
      </c>
      <c r="F19" s="8">
        <v>3</v>
      </c>
      <c r="G19" s="22" t="s">
        <v>1061</v>
      </c>
      <c r="H19" s="8" t="s">
        <v>211</v>
      </c>
      <c r="I19" s="2" t="str">
        <f t="shared" si="1"/>
        <v>Ống uPVC đk 21 NTC</v>
      </c>
      <c r="J19" s="8" t="s">
        <v>47</v>
      </c>
      <c r="K19" s="10">
        <v>400</v>
      </c>
      <c r="L19" s="10">
        <v>5129</v>
      </c>
      <c r="M19" s="11">
        <v>2051600</v>
      </c>
      <c r="N19" s="8" t="s">
        <v>16</v>
      </c>
      <c r="O19" s="8" t="s">
        <v>17</v>
      </c>
      <c r="P19" s="8" t="s">
        <v>18</v>
      </c>
      <c r="Q19" s="8" t="s">
        <v>18</v>
      </c>
      <c r="R19" s="8" t="s">
        <v>2095</v>
      </c>
      <c r="S19" s="8" t="s">
        <v>2096</v>
      </c>
      <c r="T19" s="8" t="s">
        <v>2097</v>
      </c>
      <c r="U19" s="8" t="s">
        <v>2098</v>
      </c>
      <c r="V19" s="8" t="s">
        <v>210</v>
      </c>
      <c r="W19" s="8">
        <f t="shared" si="2"/>
        <v>4</v>
      </c>
      <c r="X19" s="8">
        <f>K19*L19*N19</f>
        <v>164128</v>
      </c>
    </row>
    <row r="20" spans="1:24" s="8" customFormat="1" ht="41.5" customHeight="1">
      <c r="A20" s="8" t="s">
        <v>2280</v>
      </c>
      <c r="B20" s="8" t="s">
        <v>212</v>
      </c>
      <c r="C20" s="9">
        <v>46022.901983472198</v>
      </c>
      <c r="D20" s="8" t="s">
        <v>2056</v>
      </c>
      <c r="E20" s="8" t="s">
        <v>2057</v>
      </c>
      <c r="F20" s="8">
        <v>1</v>
      </c>
      <c r="G20" s="22" t="s">
        <v>1375</v>
      </c>
      <c r="H20" s="8" t="s">
        <v>171</v>
      </c>
      <c r="I20" s="2" t="str">
        <f t="shared" si="1"/>
        <v>Sơn công nghiệp đa năng - SK 1kg</v>
      </c>
      <c r="J20" s="8" t="s">
        <v>53</v>
      </c>
      <c r="K20" s="10">
        <v>23</v>
      </c>
      <c r="L20" s="10">
        <v>169083</v>
      </c>
      <c r="M20" s="11">
        <v>3888909</v>
      </c>
      <c r="N20" s="8" t="s">
        <v>16</v>
      </c>
      <c r="O20" s="8" t="s">
        <v>17</v>
      </c>
      <c r="P20" s="8" t="s">
        <v>18</v>
      </c>
      <c r="Q20" s="8" t="s">
        <v>18</v>
      </c>
      <c r="R20" s="8" t="s">
        <v>2110</v>
      </c>
      <c r="S20" s="8" t="s">
        <v>2111</v>
      </c>
      <c r="T20" s="8" t="s">
        <v>2112</v>
      </c>
      <c r="U20" s="8" t="s">
        <v>2113</v>
      </c>
      <c r="V20" s="8" t="s">
        <v>28</v>
      </c>
      <c r="W20" s="8">
        <f t="shared" si="2"/>
        <v>4</v>
      </c>
      <c r="X20" s="8">
        <f>K20*L20*N20</f>
        <v>311112.72000000003</v>
      </c>
    </row>
    <row r="21" spans="1:24" s="8" customFormat="1" ht="41.5" customHeight="1">
      <c r="A21" s="8" t="s">
        <v>2281</v>
      </c>
      <c r="B21" s="8" t="s">
        <v>213</v>
      </c>
      <c r="C21" s="9">
        <v>46022.8076620949</v>
      </c>
      <c r="D21" s="8" t="s">
        <v>2056</v>
      </c>
      <c r="E21" s="8" t="s">
        <v>2057</v>
      </c>
      <c r="F21" s="8">
        <v>1</v>
      </c>
      <c r="G21" s="22" t="s">
        <v>2089</v>
      </c>
      <c r="H21" s="8" t="s">
        <v>214</v>
      </c>
      <c r="I21" s="2" t="str">
        <f t="shared" si="1"/>
        <v>EDL0035 dao rọc giấy 25mm</v>
      </c>
      <c r="J21" s="8" t="s">
        <v>19</v>
      </c>
      <c r="K21" s="10">
        <v>24</v>
      </c>
      <c r="L21" s="10">
        <v>36456</v>
      </c>
      <c r="M21" s="11">
        <v>874944</v>
      </c>
      <c r="N21" s="8" t="s">
        <v>16</v>
      </c>
      <c r="O21" s="8" t="s">
        <v>17</v>
      </c>
      <c r="P21" s="8" t="s">
        <v>18</v>
      </c>
      <c r="Q21" s="8" t="s">
        <v>18</v>
      </c>
      <c r="R21" s="8" t="s">
        <v>2115</v>
      </c>
      <c r="S21" s="8" t="s">
        <v>2171</v>
      </c>
      <c r="T21" s="8" t="s">
        <v>2172</v>
      </c>
      <c r="U21" s="8" t="s">
        <v>2173</v>
      </c>
      <c r="V21" s="8" t="s">
        <v>28</v>
      </c>
      <c r="W21" s="8">
        <f t="shared" si="2"/>
        <v>4</v>
      </c>
      <c r="X21" s="8">
        <f>K21*L21*N21</f>
        <v>69995.520000000004</v>
      </c>
    </row>
    <row r="22" spans="1:24" s="8" customFormat="1" ht="41.5" customHeight="1">
      <c r="A22" s="8" t="s">
        <v>2281</v>
      </c>
      <c r="B22" s="8" t="s">
        <v>213</v>
      </c>
      <c r="C22" s="9">
        <v>46022.8076620949</v>
      </c>
      <c r="D22" s="8" t="s">
        <v>2056</v>
      </c>
      <c r="E22" s="8" t="s">
        <v>2057</v>
      </c>
      <c r="F22" s="8">
        <v>2</v>
      </c>
      <c r="G22" s="22" t="s">
        <v>1351</v>
      </c>
      <c r="H22" s="8" t="s">
        <v>123</v>
      </c>
      <c r="I22" s="2" t="str">
        <f t="shared" si="1"/>
        <v>DH-HJZ017-E1 Mũi đục nhọn chuôi lục giác</v>
      </c>
      <c r="J22" s="8" t="s">
        <v>19</v>
      </c>
      <c r="K22" s="10">
        <v>20</v>
      </c>
      <c r="L22" s="10">
        <v>46965</v>
      </c>
      <c r="M22" s="11">
        <v>939300</v>
      </c>
      <c r="N22" s="8" t="s">
        <v>16</v>
      </c>
      <c r="O22" s="8" t="s">
        <v>17</v>
      </c>
      <c r="P22" s="8" t="s">
        <v>18</v>
      </c>
      <c r="Q22" s="8" t="s">
        <v>18</v>
      </c>
      <c r="R22" s="8" t="s">
        <v>2115</v>
      </c>
      <c r="S22" s="8" t="s">
        <v>2171</v>
      </c>
      <c r="T22" s="8" t="s">
        <v>2172</v>
      </c>
      <c r="U22" s="8" t="s">
        <v>2173</v>
      </c>
      <c r="V22" s="8" t="s">
        <v>28</v>
      </c>
      <c r="W22" s="8">
        <f t="shared" si="2"/>
        <v>4</v>
      </c>
      <c r="X22" s="8">
        <f>K22*L22*N22</f>
        <v>75144</v>
      </c>
    </row>
    <row r="23" spans="1:24" s="8" customFormat="1" ht="41.5" customHeight="1">
      <c r="A23" s="8" t="s">
        <v>2281</v>
      </c>
      <c r="B23" s="8" t="s">
        <v>213</v>
      </c>
      <c r="C23" s="9">
        <v>46022.8076620949</v>
      </c>
      <c r="D23" s="8" t="s">
        <v>2056</v>
      </c>
      <c r="E23" s="8" t="s">
        <v>2057</v>
      </c>
      <c r="F23" s="8">
        <v>3</v>
      </c>
      <c r="G23" s="22" t="s">
        <v>94</v>
      </c>
      <c r="H23" s="8" t="s">
        <v>94</v>
      </c>
      <c r="I23" s="2" t="str">
        <f t="shared" si="1"/>
        <v>DL-SK02-E1 Bút dạ ngòi dài màu xanh E</v>
      </c>
      <c r="J23" s="8" t="s">
        <v>55</v>
      </c>
      <c r="K23" s="10">
        <v>24</v>
      </c>
      <c r="L23" s="10">
        <v>6800</v>
      </c>
      <c r="M23" s="11">
        <v>163200</v>
      </c>
      <c r="N23" s="8" t="s">
        <v>16</v>
      </c>
      <c r="O23" s="8" t="s">
        <v>17</v>
      </c>
      <c r="P23" s="8" t="s">
        <v>18</v>
      </c>
      <c r="Q23" s="8" t="s">
        <v>18</v>
      </c>
      <c r="R23" s="8" t="s">
        <v>2115</v>
      </c>
      <c r="S23" s="8" t="s">
        <v>2171</v>
      </c>
      <c r="T23" s="8" t="s">
        <v>2172</v>
      </c>
      <c r="U23" s="8" t="s">
        <v>2173</v>
      </c>
      <c r="V23" s="8" t="s">
        <v>28</v>
      </c>
      <c r="W23" s="8">
        <f t="shared" si="2"/>
        <v>4</v>
      </c>
      <c r="X23" s="8">
        <f>K23*L23*N23</f>
        <v>13056</v>
      </c>
    </row>
    <row r="24" spans="1:24" s="8" customFormat="1" ht="41.5" customHeight="1">
      <c r="A24" s="8" t="s">
        <v>2281</v>
      </c>
      <c r="B24" s="8" t="s">
        <v>213</v>
      </c>
      <c r="C24" s="9">
        <v>46022.8076620949</v>
      </c>
      <c r="D24" s="8" t="s">
        <v>2056</v>
      </c>
      <c r="E24" s="8" t="s">
        <v>2057</v>
      </c>
      <c r="F24" s="8">
        <v>4</v>
      </c>
      <c r="G24" s="22" t="s">
        <v>2090</v>
      </c>
      <c r="H24" s="8" t="s">
        <v>215</v>
      </c>
      <c r="I24" s="2" t="str">
        <f t="shared" si="1"/>
        <v>EDH-CQP110-E2 Lưỡi cắt đa năng 110mm đuôi cá</v>
      </c>
      <c r="J24" s="8" t="s">
        <v>19</v>
      </c>
      <c r="K24" s="10">
        <v>5</v>
      </c>
      <c r="L24" s="10">
        <v>83700</v>
      </c>
      <c r="M24" s="11">
        <v>418500</v>
      </c>
      <c r="N24" s="8" t="s">
        <v>16</v>
      </c>
      <c r="O24" s="8" t="s">
        <v>17</v>
      </c>
      <c r="P24" s="8" t="s">
        <v>18</v>
      </c>
      <c r="Q24" s="8" t="s">
        <v>18</v>
      </c>
      <c r="R24" s="8" t="s">
        <v>2115</v>
      </c>
      <c r="S24" s="8" t="s">
        <v>2171</v>
      </c>
      <c r="T24" s="8" t="s">
        <v>2172</v>
      </c>
      <c r="U24" s="8" t="s">
        <v>2173</v>
      </c>
      <c r="V24" s="8" t="s">
        <v>28</v>
      </c>
      <c r="W24" s="8">
        <f t="shared" si="2"/>
        <v>4</v>
      </c>
      <c r="X24" s="8">
        <f>K24*L24*N24</f>
        <v>33480</v>
      </c>
    </row>
    <row r="25" spans="1:24" s="8" customFormat="1" ht="41.5" customHeight="1">
      <c r="A25" s="8" t="s">
        <v>2281</v>
      </c>
      <c r="B25" s="8" t="s">
        <v>213</v>
      </c>
      <c r="C25" s="9">
        <v>46022.8076620949</v>
      </c>
      <c r="D25" s="8" t="s">
        <v>2056</v>
      </c>
      <c r="E25" s="8" t="s">
        <v>2057</v>
      </c>
      <c r="F25" s="8">
        <v>5</v>
      </c>
      <c r="G25" s="22" t="s">
        <v>2091</v>
      </c>
      <c r="H25" s="8" t="s">
        <v>96</v>
      </c>
      <c r="I25" s="2" t="str">
        <f t="shared" si="1"/>
        <v>JDDC4K06-Đĩa cắt siêu mỏng</v>
      </c>
      <c r="J25" s="8" t="s">
        <v>15</v>
      </c>
      <c r="K25" s="10">
        <v>5</v>
      </c>
      <c r="L25" s="10">
        <v>69750</v>
      </c>
      <c r="M25" s="11">
        <v>348750</v>
      </c>
      <c r="N25" s="8" t="s">
        <v>16</v>
      </c>
      <c r="O25" s="8" t="s">
        <v>17</v>
      </c>
      <c r="P25" s="8" t="s">
        <v>18</v>
      </c>
      <c r="Q25" s="8" t="s">
        <v>18</v>
      </c>
      <c r="R25" s="8" t="s">
        <v>2115</v>
      </c>
      <c r="S25" s="8" t="s">
        <v>2171</v>
      </c>
      <c r="T25" s="8" t="s">
        <v>2172</v>
      </c>
      <c r="U25" s="8" t="s">
        <v>2173</v>
      </c>
      <c r="V25" s="8" t="s">
        <v>28</v>
      </c>
      <c r="W25" s="8">
        <f t="shared" si="2"/>
        <v>4</v>
      </c>
      <c r="X25" s="8">
        <f>K25*L25*N25</f>
        <v>27900</v>
      </c>
    </row>
    <row r="26" spans="1:24" s="8" customFormat="1" ht="41.5" customHeight="1">
      <c r="A26" s="8" t="s">
        <v>2281</v>
      </c>
      <c r="B26" s="8" t="s">
        <v>213</v>
      </c>
      <c r="C26" s="9">
        <v>46022.8076620949</v>
      </c>
      <c r="D26" s="8" t="s">
        <v>2056</v>
      </c>
      <c r="E26" s="8" t="s">
        <v>2057</v>
      </c>
      <c r="F26" s="8">
        <v>6</v>
      </c>
      <c r="G26" s="22" t="s">
        <v>216</v>
      </c>
      <c r="H26" s="8" t="s">
        <v>216</v>
      </c>
      <c r="I26" s="2" t="str">
        <f t="shared" si="1"/>
        <v>Sơn xịt màu nhũ đồng AE400 400ml</v>
      </c>
      <c r="J26" s="8" t="s">
        <v>56</v>
      </c>
      <c r="K26" s="10">
        <v>3</v>
      </c>
      <c r="L26" s="10">
        <v>290000</v>
      </c>
      <c r="M26" s="11">
        <v>870000</v>
      </c>
      <c r="N26" s="8" t="s">
        <v>16</v>
      </c>
      <c r="O26" s="8" t="s">
        <v>17</v>
      </c>
      <c r="P26" s="8" t="s">
        <v>18</v>
      </c>
      <c r="Q26" s="8" t="s">
        <v>18</v>
      </c>
      <c r="R26" s="8" t="s">
        <v>2115</v>
      </c>
      <c r="S26" s="8" t="s">
        <v>2171</v>
      </c>
      <c r="T26" s="8" t="s">
        <v>2172</v>
      </c>
      <c r="U26" s="8" t="s">
        <v>2173</v>
      </c>
      <c r="V26" s="8" t="s">
        <v>28</v>
      </c>
      <c r="W26" s="8">
        <f t="shared" si="2"/>
        <v>4</v>
      </c>
      <c r="X26" s="8">
        <f>K26*L26*N26</f>
        <v>69600</v>
      </c>
    </row>
    <row r="27" spans="1:24" s="8" customFormat="1" ht="41.5" customHeight="1">
      <c r="A27" s="8" t="s">
        <v>2281</v>
      </c>
      <c r="B27" s="8" t="s">
        <v>213</v>
      </c>
      <c r="C27" s="9">
        <v>46022.8076620949</v>
      </c>
      <c r="D27" s="8" t="s">
        <v>2056</v>
      </c>
      <c r="E27" s="8" t="s">
        <v>2057</v>
      </c>
      <c r="F27" s="8">
        <v>7</v>
      </c>
      <c r="G27" s="22" t="s">
        <v>2092</v>
      </c>
      <c r="H27" s="8" t="s">
        <v>217</v>
      </c>
      <c r="I27" s="2" t="str">
        <f t="shared" si="1"/>
        <v>39292_Bút xóa nước_10ml_màu lẫn</v>
      </c>
      <c r="J27" s="8" t="s">
        <v>19</v>
      </c>
      <c r="K27" s="10">
        <v>72</v>
      </c>
      <c r="L27" s="10">
        <v>11900</v>
      </c>
      <c r="M27" s="11">
        <v>856800</v>
      </c>
      <c r="N27" s="8" t="s">
        <v>16</v>
      </c>
      <c r="O27" s="8" t="s">
        <v>17</v>
      </c>
      <c r="P27" s="8" t="s">
        <v>18</v>
      </c>
      <c r="Q27" s="8" t="s">
        <v>18</v>
      </c>
      <c r="R27" s="8" t="s">
        <v>2115</v>
      </c>
      <c r="S27" s="8" t="s">
        <v>2171</v>
      </c>
      <c r="T27" s="8" t="s">
        <v>2172</v>
      </c>
      <c r="U27" s="8" t="s">
        <v>2173</v>
      </c>
      <c r="V27" s="8" t="s">
        <v>28</v>
      </c>
      <c r="W27" s="8">
        <f t="shared" si="2"/>
        <v>4</v>
      </c>
      <c r="X27" s="8">
        <f>K27*L27*N27</f>
        <v>68544</v>
      </c>
    </row>
    <row r="28" spans="1:24" s="8" customFormat="1" ht="41.5" customHeight="1">
      <c r="A28" s="8" t="s">
        <v>2281</v>
      </c>
      <c r="B28" s="8" t="s">
        <v>213</v>
      </c>
      <c r="C28" s="9">
        <v>46022.8076620949</v>
      </c>
      <c r="D28" s="8" t="s">
        <v>2056</v>
      </c>
      <c r="E28" s="8" t="s">
        <v>2057</v>
      </c>
      <c r="F28" s="8">
        <v>8</v>
      </c>
      <c r="G28" s="22" t="s">
        <v>218</v>
      </c>
      <c r="H28" s="8" t="s">
        <v>218</v>
      </c>
      <c r="I28" s="2" t="str">
        <f t="shared" si="1"/>
        <v>DL271025L Thước lỗ ban 2 mặt 10m*25mm E</v>
      </c>
      <c r="J28" s="8" t="s">
        <v>19</v>
      </c>
      <c r="K28" s="10">
        <v>12</v>
      </c>
      <c r="L28" s="10">
        <v>63240</v>
      </c>
      <c r="M28" s="11">
        <v>758880</v>
      </c>
      <c r="N28" s="8" t="s">
        <v>16</v>
      </c>
      <c r="O28" s="8" t="s">
        <v>17</v>
      </c>
      <c r="P28" s="8" t="s">
        <v>18</v>
      </c>
      <c r="Q28" s="8" t="s">
        <v>18</v>
      </c>
      <c r="R28" s="8" t="s">
        <v>2115</v>
      </c>
      <c r="S28" s="8" t="s">
        <v>2171</v>
      </c>
      <c r="T28" s="8" t="s">
        <v>2172</v>
      </c>
      <c r="U28" s="8" t="s">
        <v>2173</v>
      </c>
      <c r="V28" s="8" t="s">
        <v>28</v>
      </c>
      <c r="W28" s="8">
        <f t="shared" si="2"/>
        <v>4</v>
      </c>
      <c r="X28" s="8">
        <f>K28*L28*N28</f>
        <v>60710.400000000001</v>
      </c>
    </row>
    <row r="29" spans="1:24" s="8" customFormat="1" ht="41.5" customHeight="1">
      <c r="A29" s="8" t="s">
        <v>2281</v>
      </c>
      <c r="B29" s="8" t="s">
        <v>213</v>
      </c>
      <c r="C29" s="9">
        <v>46022.8076620949</v>
      </c>
      <c r="D29" s="8" t="s">
        <v>2056</v>
      </c>
      <c r="E29" s="8" t="s">
        <v>2057</v>
      </c>
      <c r="F29" s="8">
        <v>9</v>
      </c>
      <c r="G29" s="22" t="s">
        <v>219</v>
      </c>
      <c r="H29" s="8" t="s">
        <v>219</v>
      </c>
      <c r="I29" s="2" t="str">
        <f t="shared" si="1"/>
        <v>JDMS2D02 - Bộ 10 đầu tuýp 1/2"</v>
      </c>
      <c r="J29" s="8" t="s">
        <v>53</v>
      </c>
      <c r="K29" s="10">
        <v>1</v>
      </c>
      <c r="L29" s="10">
        <v>350000</v>
      </c>
      <c r="M29" s="11">
        <v>350000</v>
      </c>
      <c r="N29" s="8" t="s">
        <v>16</v>
      </c>
      <c r="O29" s="8" t="s">
        <v>17</v>
      </c>
      <c r="P29" s="8" t="s">
        <v>18</v>
      </c>
      <c r="Q29" s="8" t="s">
        <v>18</v>
      </c>
      <c r="R29" s="8" t="s">
        <v>2115</v>
      </c>
      <c r="S29" s="8" t="s">
        <v>2171</v>
      </c>
      <c r="T29" s="8" t="s">
        <v>2172</v>
      </c>
      <c r="U29" s="8" t="s">
        <v>2173</v>
      </c>
      <c r="V29" s="8" t="s">
        <v>28</v>
      </c>
      <c r="W29" s="8">
        <f t="shared" si="2"/>
        <v>4</v>
      </c>
      <c r="X29" s="8">
        <f>K29*L29*N29</f>
        <v>28000</v>
      </c>
    </row>
    <row r="30" spans="1:24" s="8" customFormat="1" ht="41.5" customHeight="1">
      <c r="A30" s="8" t="s">
        <v>2281</v>
      </c>
      <c r="B30" s="8" t="s">
        <v>213</v>
      </c>
      <c r="C30" s="9">
        <v>46022.8076620949</v>
      </c>
      <c r="D30" s="8" t="s">
        <v>2056</v>
      </c>
      <c r="E30" s="8" t="s">
        <v>2057</v>
      </c>
      <c r="F30" s="8">
        <v>10</v>
      </c>
      <c r="G30" s="22" t="s">
        <v>2093</v>
      </c>
      <c r="H30" s="8" t="s">
        <v>220</v>
      </c>
      <c r="I30" s="2" t="str">
        <f t="shared" si="1"/>
        <v>DH-YCZ11006-E1 Mũi khoan bê tông 4 cạnh 6*110</v>
      </c>
      <c r="J30" s="8" t="s">
        <v>19</v>
      </c>
      <c r="K30" s="10">
        <v>31</v>
      </c>
      <c r="L30" s="10">
        <v>13816.32</v>
      </c>
      <c r="M30" s="11">
        <v>428306</v>
      </c>
      <c r="N30" s="8" t="s">
        <v>16</v>
      </c>
      <c r="O30" s="8" t="s">
        <v>17</v>
      </c>
      <c r="P30" s="8" t="s">
        <v>18</v>
      </c>
      <c r="Q30" s="8" t="s">
        <v>18</v>
      </c>
      <c r="R30" s="8" t="s">
        <v>2115</v>
      </c>
      <c r="S30" s="8" t="s">
        <v>2171</v>
      </c>
      <c r="T30" s="8" t="s">
        <v>2172</v>
      </c>
      <c r="U30" s="8" t="s">
        <v>2173</v>
      </c>
      <c r="V30" s="8" t="s">
        <v>28</v>
      </c>
      <c r="W30" s="8">
        <f t="shared" si="2"/>
        <v>4</v>
      </c>
      <c r="X30" s="8">
        <f>K30*L30*N30</f>
        <v>34264.473599999998</v>
      </c>
    </row>
    <row r="31" spans="1:24" s="8" customFormat="1" ht="41.5" customHeight="1">
      <c r="A31" s="8" t="s">
        <v>2281</v>
      </c>
      <c r="B31" s="8" t="s">
        <v>221</v>
      </c>
      <c r="C31" s="9">
        <v>46010.456585150503</v>
      </c>
      <c r="D31" s="8" t="s">
        <v>2056</v>
      </c>
      <c r="E31" s="8" t="s">
        <v>2057</v>
      </c>
      <c r="F31" s="8">
        <v>1</v>
      </c>
      <c r="G31" s="22" t="s">
        <v>222</v>
      </c>
      <c r="H31" s="8" t="s">
        <v>222</v>
      </c>
      <c r="I31" s="2" t="str">
        <f t="shared" si="1"/>
        <v>JDSG3811 - Kính bảo hộ DIN11</v>
      </c>
      <c r="J31" s="8" t="s">
        <v>15</v>
      </c>
      <c r="K31" s="10">
        <v>1</v>
      </c>
      <c r="L31" s="10">
        <v>21528</v>
      </c>
      <c r="M31" s="11">
        <v>21528</v>
      </c>
      <c r="N31" s="8" t="s">
        <v>16</v>
      </c>
      <c r="O31" s="8" t="s">
        <v>17</v>
      </c>
      <c r="P31" s="8" t="s">
        <v>18</v>
      </c>
      <c r="Q31" s="8" t="s">
        <v>18</v>
      </c>
      <c r="R31" s="8" t="s">
        <v>2115</v>
      </c>
      <c r="S31" s="8" t="s">
        <v>2171</v>
      </c>
      <c r="T31" s="8" t="s">
        <v>2172</v>
      </c>
      <c r="U31" s="8" t="s">
        <v>2173</v>
      </c>
      <c r="V31" s="8" t="s">
        <v>223</v>
      </c>
      <c r="W31" s="8">
        <f t="shared" si="2"/>
        <v>4</v>
      </c>
      <c r="X31" s="8">
        <f>K31*L31*N31</f>
        <v>1722.24</v>
      </c>
    </row>
    <row r="32" spans="1:24" s="8" customFormat="1" ht="41.5" customHeight="1">
      <c r="A32" s="8" t="s">
        <v>2281</v>
      </c>
      <c r="B32" s="8" t="s">
        <v>221</v>
      </c>
      <c r="C32" s="9">
        <v>46010.456585150503</v>
      </c>
      <c r="D32" s="8" t="s">
        <v>2056</v>
      </c>
      <c r="E32" s="8" t="s">
        <v>2057</v>
      </c>
      <c r="F32" s="8">
        <v>2</v>
      </c>
      <c r="G32" s="22" t="s">
        <v>224</v>
      </c>
      <c r="H32" s="8" t="s">
        <v>224</v>
      </c>
      <c r="I32" s="2" t="str">
        <f t="shared" si="1"/>
        <v>JDSG2801 - Kính bảo hộ</v>
      </c>
      <c r="J32" s="8" t="s">
        <v>15</v>
      </c>
      <c r="K32" s="10">
        <v>10</v>
      </c>
      <c r="L32" s="10">
        <v>22827.3</v>
      </c>
      <c r="M32" s="11">
        <v>228273</v>
      </c>
      <c r="N32" s="8" t="s">
        <v>30</v>
      </c>
      <c r="O32" s="8" t="s">
        <v>17</v>
      </c>
      <c r="P32" s="8" t="s">
        <v>18</v>
      </c>
      <c r="Q32" s="8" t="s">
        <v>18</v>
      </c>
      <c r="R32" s="8" t="s">
        <v>2115</v>
      </c>
      <c r="S32" s="8" t="s">
        <v>2171</v>
      </c>
      <c r="T32" s="8" t="s">
        <v>2172</v>
      </c>
      <c r="U32" s="8" t="s">
        <v>2173</v>
      </c>
      <c r="V32" s="8" t="s">
        <v>223</v>
      </c>
      <c r="W32" s="8">
        <f t="shared" si="2"/>
        <v>4</v>
      </c>
      <c r="X32" s="8">
        <f>K32*L32*N32</f>
        <v>22827.300000000003</v>
      </c>
    </row>
    <row r="33" spans="1:24" s="8" customFormat="1" ht="41.5" customHeight="1">
      <c r="A33" s="8" t="s">
        <v>2281</v>
      </c>
      <c r="B33" s="8" t="s">
        <v>221</v>
      </c>
      <c r="C33" s="9">
        <v>46010.456585150503</v>
      </c>
      <c r="D33" s="8" t="s">
        <v>2056</v>
      </c>
      <c r="E33" s="8" t="s">
        <v>2057</v>
      </c>
      <c r="F33" s="8">
        <v>3</v>
      </c>
      <c r="G33" s="22" t="s">
        <v>1484</v>
      </c>
      <c r="H33" s="8" t="s">
        <v>225</v>
      </c>
      <c r="I33" s="2" t="str">
        <f t="shared" si="1"/>
        <v>EDH-Y22310 Mũi khoan bê tông xuyên tường</v>
      </c>
      <c r="J33" s="8" t="s">
        <v>19</v>
      </c>
      <c r="K33" s="10">
        <v>10</v>
      </c>
      <c r="L33" s="10">
        <v>83527.8</v>
      </c>
      <c r="M33" s="11">
        <v>835278</v>
      </c>
      <c r="N33" s="8" t="s">
        <v>16</v>
      </c>
      <c r="O33" s="8" t="s">
        <v>17</v>
      </c>
      <c r="P33" s="8" t="s">
        <v>18</v>
      </c>
      <c r="Q33" s="8" t="s">
        <v>18</v>
      </c>
      <c r="R33" s="8" t="s">
        <v>2115</v>
      </c>
      <c r="S33" s="8" t="s">
        <v>2171</v>
      </c>
      <c r="T33" s="8" t="s">
        <v>2172</v>
      </c>
      <c r="U33" s="8" t="s">
        <v>2173</v>
      </c>
      <c r="V33" s="8" t="s">
        <v>223</v>
      </c>
      <c r="W33" s="8">
        <f t="shared" si="2"/>
        <v>4</v>
      </c>
      <c r="X33" s="8">
        <f>K33*L33*N33</f>
        <v>66822.240000000005</v>
      </c>
    </row>
    <row r="34" spans="1:24" s="8" customFormat="1" ht="41.5" customHeight="1">
      <c r="A34" s="8" t="s">
        <v>2281</v>
      </c>
      <c r="B34" s="8" t="s">
        <v>221</v>
      </c>
      <c r="C34" s="9">
        <v>46010.456585150503</v>
      </c>
      <c r="D34" s="8" t="s">
        <v>2056</v>
      </c>
      <c r="E34" s="8" t="s">
        <v>2057</v>
      </c>
      <c r="F34" s="8">
        <v>4</v>
      </c>
      <c r="G34" s="22" t="s">
        <v>1370</v>
      </c>
      <c r="H34" s="8" t="s">
        <v>226</v>
      </c>
      <c r="I34" s="2" t="str">
        <f t="shared" si="1"/>
        <v>EDH-Y14310 mũi khoan bê tông xuyên tường</v>
      </c>
      <c r="J34" s="8" t="s">
        <v>19</v>
      </c>
      <c r="K34" s="10">
        <v>11</v>
      </c>
      <c r="L34" s="10">
        <v>37888.9</v>
      </c>
      <c r="M34" s="11">
        <v>416778</v>
      </c>
      <c r="N34" s="8" t="s">
        <v>16</v>
      </c>
      <c r="O34" s="8" t="s">
        <v>17</v>
      </c>
      <c r="P34" s="8" t="s">
        <v>18</v>
      </c>
      <c r="Q34" s="8" t="s">
        <v>18</v>
      </c>
      <c r="R34" s="8" t="s">
        <v>2115</v>
      </c>
      <c r="S34" s="8" t="s">
        <v>2171</v>
      </c>
      <c r="T34" s="8" t="s">
        <v>2172</v>
      </c>
      <c r="U34" s="8" t="s">
        <v>2173</v>
      </c>
      <c r="V34" s="8" t="s">
        <v>223</v>
      </c>
      <c r="W34" s="8">
        <f t="shared" si="2"/>
        <v>4</v>
      </c>
      <c r="X34" s="8">
        <f>K34*L34*N34</f>
        <v>33342.232000000004</v>
      </c>
    </row>
    <row r="35" spans="1:24" s="8" customFormat="1" ht="41.5" customHeight="1">
      <c r="A35" s="8" t="s">
        <v>2281</v>
      </c>
      <c r="B35" s="8" t="s">
        <v>221</v>
      </c>
      <c r="C35" s="9">
        <v>46010.456585150503</v>
      </c>
      <c r="D35" s="8" t="s">
        <v>2056</v>
      </c>
      <c r="E35" s="8" t="s">
        <v>2057</v>
      </c>
      <c r="F35" s="8">
        <v>5</v>
      </c>
      <c r="G35" s="22" t="s">
        <v>2099</v>
      </c>
      <c r="H35" s="8" t="s">
        <v>227</v>
      </c>
      <c r="I35" s="2" t="str">
        <f t="shared" si="1"/>
        <v>DH-YCZ35018-E1 Mũi khoan xuyên tường 4 cạnh</v>
      </c>
      <c r="J35" s="8" t="s">
        <v>19</v>
      </c>
      <c r="K35" s="10">
        <v>10</v>
      </c>
      <c r="L35" s="10">
        <v>74916.7</v>
      </c>
      <c r="M35" s="11">
        <v>749167</v>
      </c>
      <c r="N35" s="8" t="s">
        <v>16</v>
      </c>
      <c r="O35" s="8" t="s">
        <v>17</v>
      </c>
      <c r="P35" s="8" t="s">
        <v>18</v>
      </c>
      <c r="Q35" s="8" t="s">
        <v>18</v>
      </c>
      <c r="R35" s="8" t="s">
        <v>2115</v>
      </c>
      <c r="S35" s="8" t="s">
        <v>2171</v>
      </c>
      <c r="T35" s="8" t="s">
        <v>2172</v>
      </c>
      <c r="U35" s="8" t="s">
        <v>2173</v>
      </c>
      <c r="V35" s="8" t="s">
        <v>223</v>
      </c>
      <c r="W35" s="8">
        <f t="shared" si="2"/>
        <v>4</v>
      </c>
      <c r="X35" s="8">
        <f>K35*L35*N35</f>
        <v>59933.36</v>
      </c>
    </row>
    <row r="36" spans="1:24" s="8" customFormat="1" ht="41.5" customHeight="1">
      <c r="A36" s="8" t="s">
        <v>2281</v>
      </c>
      <c r="B36" s="8" t="s">
        <v>221</v>
      </c>
      <c r="C36" s="9">
        <v>46010.456585150503</v>
      </c>
      <c r="D36" s="8" t="s">
        <v>2056</v>
      </c>
      <c r="E36" s="8" t="s">
        <v>2057</v>
      </c>
      <c r="F36" s="8">
        <v>6</v>
      </c>
      <c r="G36" s="22" t="s">
        <v>2100</v>
      </c>
      <c r="H36" s="8" t="s">
        <v>174</v>
      </c>
      <c r="I36" s="2" t="str">
        <f t="shared" si="1"/>
        <v>DH-Y20310 mũi khoan bê tông xuyên tường</v>
      </c>
      <c r="J36" s="8" t="s">
        <v>19</v>
      </c>
      <c r="K36" s="10">
        <v>2</v>
      </c>
      <c r="L36" s="10">
        <v>70611</v>
      </c>
      <c r="M36" s="11">
        <v>141222</v>
      </c>
      <c r="N36" s="8" t="s">
        <v>16</v>
      </c>
      <c r="O36" s="8" t="s">
        <v>17</v>
      </c>
      <c r="P36" s="8" t="s">
        <v>18</v>
      </c>
      <c r="Q36" s="8" t="s">
        <v>18</v>
      </c>
      <c r="R36" s="8" t="s">
        <v>2115</v>
      </c>
      <c r="S36" s="8" t="s">
        <v>2171</v>
      </c>
      <c r="T36" s="8" t="s">
        <v>2172</v>
      </c>
      <c r="U36" s="8" t="s">
        <v>2173</v>
      </c>
      <c r="V36" s="8" t="s">
        <v>223</v>
      </c>
      <c r="W36" s="8">
        <f t="shared" si="2"/>
        <v>4</v>
      </c>
      <c r="X36" s="8">
        <f>K36*L36*N36</f>
        <v>11297.76</v>
      </c>
    </row>
    <row r="37" spans="1:24" s="8" customFormat="1" ht="41.5" customHeight="1">
      <c r="A37" s="8" t="s">
        <v>2281</v>
      </c>
      <c r="B37" s="8" t="s">
        <v>221</v>
      </c>
      <c r="C37" s="9">
        <v>46010.456585150503</v>
      </c>
      <c r="D37" s="8" t="s">
        <v>2056</v>
      </c>
      <c r="E37" s="8" t="s">
        <v>2057</v>
      </c>
      <c r="F37" s="8">
        <v>7</v>
      </c>
      <c r="G37" s="22" t="s">
        <v>1326</v>
      </c>
      <c r="H37" s="8" t="s">
        <v>228</v>
      </c>
      <c r="I37" s="2" t="str">
        <f t="shared" si="1"/>
        <v>EDH-Y25310 Mũi khoan bê tông xuyên tường</v>
      </c>
      <c r="J37" s="8" t="s">
        <v>19</v>
      </c>
      <c r="K37" s="10">
        <v>7</v>
      </c>
      <c r="L37" s="10">
        <v>93000</v>
      </c>
      <c r="M37" s="11">
        <v>651000</v>
      </c>
      <c r="N37" s="8" t="s">
        <v>16</v>
      </c>
      <c r="O37" s="8" t="s">
        <v>17</v>
      </c>
      <c r="P37" s="8" t="s">
        <v>18</v>
      </c>
      <c r="Q37" s="8" t="s">
        <v>18</v>
      </c>
      <c r="R37" s="8" t="s">
        <v>2115</v>
      </c>
      <c r="S37" s="8" t="s">
        <v>2171</v>
      </c>
      <c r="T37" s="8" t="s">
        <v>2172</v>
      </c>
      <c r="U37" s="8" t="s">
        <v>2173</v>
      </c>
      <c r="V37" s="8" t="s">
        <v>223</v>
      </c>
      <c r="W37" s="8">
        <f t="shared" si="2"/>
        <v>4</v>
      </c>
      <c r="X37" s="8">
        <f>K37*L37*N37</f>
        <v>52080</v>
      </c>
    </row>
    <row r="38" spans="1:24" s="8" customFormat="1" ht="41.5" customHeight="1">
      <c r="A38" s="8" t="s">
        <v>2281</v>
      </c>
      <c r="B38" s="8" t="s">
        <v>221</v>
      </c>
      <c r="C38" s="9">
        <v>46010.456585150503</v>
      </c>
      <c r="D38" s="8" t="s">
        <v>2056</v>
      </c>
      <c r="E38" s="8" t="s">
        <v>2057</v>
      </c>
      <c r="F38" s="8">
        <v>8</v>
      </c>
      <c r="G38" s="22" t="s">
        <v>2101</v>
      </c>
      <c r="H38" s="8" t="s">
        <v>229</v>
      </c>
      <c r="I38" s="2" t="str">
        <f t="shared" si="1"/>
        <v>DH-Y22310 Mũi khoan bê tông xuyên tường E</v>
      </c>
      <c r="J38" s="8" t="s">
        <v>19</v>
      </c>
      <c r="K38" s="10">
        <v>8</v>
      </c>
      <c r="L38" s="10">
        <v>83527.75</v>
      </c>
      <c r="M38" s="11">
        <v>668222</v>
      </c>
      <c r="N38" s="8" t="s">
        <v>16</v>
      </c>
      <c r="O38" s="8" t="s">
        <v>17</v>
      </c>
      <c r="P38" s="8" t="s">
        <v>18</v>
      </c>
      <c r="Q38" s="8" t="s">
        <v>18</v>
      </c>
      <c r="R38" s="8" t="s">
        <v>2115</v>
      </c>
      <c r="S38" s="8" t="s">
        <v>2171</v>
      </c>
      <c r="T38" s="8" t="s">
        <v>2172</v>
      </c>
      <c r="U38" s="8" t="s">
        <v>2173</v>
      </c>
      <c r="V38" s="8" t="s">
        <v>223</v>
      </c>
      <c r="W38" s="8">
        <f t="shared" si="2"/>
        <v>4</v>
      </c>
      <c r="X38" s="8">
        <f>K38*L38*N38</f>
        <v>53457.760000000002</v>
      </c>
    </row>
    <row r="39" spans="1:24" s="8" customFormat="1" ht="41.5" customHeight="1">
      <c r="A39" s="8" t="s">
        <v>2281</v>
      </c>
      <c r="B39" s="8" t="s">
        <v>221</v>
      </c>
      <c r="C39" s="9">
        <v>46010.456585150503</v>
      </c>
      <c r="D39" s="8" t="s">
        <v>2056</v>
      </c>
      <c r="E39" s="8" t="s">
        <v>2057</v>
      </c>
      <c r="F39" s="8">
        <v>9</v>
      </c>
      <c r="G39" s="22" t="s">
        <v>2102</v>
      </c>
      <c r="H39" s="8" t="s">
        <v>230</v>
      </c>
      <c r="I39" s="2" t="str">
        <f t="shared" si="1"/>
        <v>DL-Y12210 Mũi khoan bê tông 2 cạnh 12x200mm</v>
      </c>
      <c r="J39" s="8" t="s">
        <v>19</v>
      </c>
      <c r="K39" s="10">
        <v>20</v>
      </c>
      <c r="L39" s="10">
        <v>26263.9</v>
      </c>
      <c r="M39" s="11">
        <v>525278</v>
      </c>
      <c r="N39" s="8" t="s">
        <v>16</v>
      </c>
      <c r="O39" s="8" t="s">
        <v>17</v>
      </c>
      <c r="P39" s="8" t="s">
        <v>18</v>
      </c>
      <c r="Q39" s="8" t="s">
        <v>18</v>
      </c>
      <c r="R39" s="8" t="s">
        <v>2115</v>
      </c>
      <c r="S39" s="8" t="s">
        <v>2171</v>
      </c>
      <c r="T39" s="8" t="s">
        <v>2172</v>
      </c>
      <c r="U39" s="8" t="s">
        <v>2173</v>
      </c>
      <c r="V39" s="8" t="s">
        <v>223</v>
      </c>
      <c r="W39" s="8">
        <f t="shared" si="2"/>
        <v>4</v>
      </c>
      <c r="X39" s="8">
        <f>K39*L39*N39</f>
        <v>42022.239999999998</v>
      </c>
    </row>
    <row r="40" spans="1:24" s="8" customFormat="1" ht="41.5" customHeight="1">
      <c r="A40" s="8" t="s">
        <v>2281</v>
      </c>
      <c r="B40" s="8" t="s">
        <v>221</v>
      </c>
      <c r="C40" s="9">
        <v>46010.456585150503</v>
      </c>
      <c r="D40" s="8" t="s">
        <v>2056</v>
      </c>
      <c r="E40" s="8" t="s">
        <v>2057</v>
      </c>
      <c r="F40" s="8">
        <v>10</v>
      </c>
      <c r="G40" s="22" t="s">
        <v>231</v>
      </c>
      <c r="H40" s="8" t="s">
        <v>231</v>
      </c>
      <c r="I40" s="2" t="str">
        <f t="shared" si="1"/>
        <v>DL-DC26-E1 Máy khoan búa 800W</v>
      </c>
      <c r="J40" s="8" t="s">
        <v>19</v>
      </c>
      <c r="K40" s="10">
        <v>2</v>
      </c>
      <c r="L40" s="10">
        <v>1171111</v>
      </c>
      <c r="M40" s="11">
        <v>2342222</v>
      </c>
      <c r="N40" s="8" t="s">
        <v>16</v>
      </c>
      <c r="O40" s="8" t="s">
        <v>17</v>
      </c>
      <c r="P40" s="8" t="s">
        <v>18</v>
      </c>
      <c r="Q40" s="8" t="s">
        <v>18</v>
      </c>
      <c r="R40" s="8" t="s">
        <v>2115</v>
      </c>
      <c r="S40" s="8" t="s">
        <v>2171</v>
      </c>
      <c r="T40" s="8" t="s">
        <v>2172</v>
      </c>
      <c r="U40" s="8" t="s">
        <v>2173</v>
      </c>
      <c r="V40" s="8" t="s">
        <v>223</v>
      </c>
      <c r="W40" s="8">
        <f t="shared" si="2"/>
        <v>4</v>
      </c>
      <c r="X40" s="8">
        <f>K40*L40*N40</f>
        <v>187377.76</v>
      </c>
    </row>
    <row r="41" spans="1:24" s="8" customFormat="1" ht="41.5" customHeight="1">
      <c r="A41" s="8" t="s">
        <v>2281</v>
      </c>
      <c r="B41" s="8" t="s">
        <v>221</v>
      </c>
      <c r="C41" s="9">
        <v>46010.456585150503</v>
      </c>
      <c r="D41" s="8" t="s">
        <v>2056</v>
      </c>
      <c r="E41" s="8" t="s">
        <v>2057</v>
      </c>
      <c r="F41" s="8">
        <v>11</v>
      </c>
      <c r="G41" s="22" t="s">
        <v>2103</v>
      </c>
      <c r="H41" s="8" t="s">
        <v>232</v>
      </c>
      <c r="I41" s="2" t="str">
        <f t="shared" si="1"/>
        <v>EDL0341 Kìm phe thẳng vô 7</v>
      </c>
      <c r="J41" s="8" t="s">
        <v>19</v>
      </c>
      <c r="K41" s="10">
        <v>6</v>
      </c>
      <c r="L41" s="10">
        <v>49944.5</v>
      </c>
      <c r="M41" s="11">
        <v>299667</v>
      </c>
      <c r="N41" s="8" t="s">
        <v>16</v>
      </c>
      <c r="O41" s="8" t="s">
        <v>17</v>
      </c>
      <c r="P41" s="8" t="s">
        <v>18</v>
      </c>
      <c r="Q41" s="8" t="s">
        <v>18</v>
      </c>
      <c r="R41" s="8" t="s">
        <v>2115</v>
      </c>
      <c r="S41" s="8" t="s">
        <v>2171</v>
      </c>
      <c r="T41" s="8" t="s">
        <v>2172</v>
      </c>
      <c r="U41" s="8" t="s">
        <v>2173</v>
      </c>
      <c r="V41" s="8" t="s">
        <v>223</v>
      </c>
      <c r="W41" s="8">
        <f t="shared" si="2"/>
        <v>4</v>
      </c>
      <c r="X41" s="8">
        <f>K41*L41*N41</f>
        <v>23973.360000000001</v>
      </c>
    </row>
    <row r="42" spans="1:24" s="8" customFormat="1" ht="41.5" customHeight="1">
      <c r="A42" s="8" t="s">
        <v>2281</v>
      </c>
      <c r="B42" s="8" t="s">
        <v>221</v>
      </c>
      <c r="C42" s="9">
        <v>46010.456585150503</v>
      </c>
      <c r="D42" s="8" t="s">
        <v>2056</v>
      </c>
      <c r="E42" s="8" t="s">
        <v>2057</v>
      </c>
      <c r="F42" s="8">
        <v>12</v>
      </c>
      <c r="G42" s="22" t="s">
        <v>2104</v>
      </c>
      <c r="H42" s="8" t="s">
        <v>233</v>
      </c>
      <c r="I42" s="2" t="str">
        <f t="shared" si="1"/>
        <v>DL0342 Kìm phe thẳng ra 7" E</v>
      </c>
      <c r="J42" s="8" t="s">
        <v>19</v>
      </c>
      <c r="K42" s="10">
        <v>2</v>
      </c>
      <c r="L42" s="10">
        <v>49944.5</v>
      </c>
      <c r="M42" s="11">
        <v>99889</v>
      </c>
      <c r="N42" s="8" t="s">
        <v>16</v>
      </c>
      <c r="O42" s="8" t="s">
        <v>17</v>
      </c>
      <c r="P42" s="8" t="s">
        <v>18</v>
      </c>
      <c r="Q42" s="8" t="s">
        <v>18</v>
      </c>
      <c r="R42" s="8" t="s">
        <v>2115</v>
      </c>
      <c r="S42" s="8" t="s">
        <v>2171</v>
      </c>
      <c r="T42" s="8" t="s">
        <v>2172</v>
      </c>
      <c r="U42" s="8" t="s">
        <v>2173</v>
      </c>
      <c r="V42" s="8" t="s">
        <v>223</v>
      </c>
      <c r="W42" s="8">
        <f t="shared" si="2"/>
        <v>4</v>
      </c>
      <c r="X42" s="8">
        <f>K42*L42*N42</f>
        <v>7991.12</v>
      </c>
    </row>
    <row r="43" spans="1:24" s="8" customFormat="1" ht="41.5" customHeight="1">
      <c r="A43" s="8" t="s">
        <v>2281</v>
      </c>
      <c r="B43" s="8" t="s">
        <v>221</v>
      </c>
      <c r="C43" s="9">
        <v>46010.456585150503</v>
      </c>
      <c r="D43" s="8" t="s">
        <v>2056</v>
      </c>
      <c r="E43" s="8" t="s">
        <v>2057</v>
      </c>
      <c r="F43" s="8">
        <v>13</v>
      </c>
      <c r="G43" s="22" t="s">
        <v>2105</v>
      </c>
      <c r="H43" s="8" t="s">
        <v>234</v>
      </c>
      <c r="I43" s="2" t="str">
        <f t="shared" si="1"/>
        <v>EDL0343 kìm phe cong vô 7</v>
      </c>
      <c r="J43" s="8" t="s">
        <v>19</v>
      </c>
      <c r="K43" s="10">
        <v>6</v>
      </c>
      <c r="L43" s="10">
        <v>49944.5</v>
      </c>
      <c r="M43" s="11">
        <v>299667</v>
      </c>
      <c r="N43" s="8" t="s">
        <v>16</v>
      </c>
      <c r="O43" s="8" t="s">
        <v>17</v>
      </c>
      <c r="P43" s="8" t="s">
        <v>18</v>
      </c>
      <c r="Q43" s="8" t="s">
        <v>18</v>
      </c>
      <c r="R43" s="8" t="s">
        <v>2115</v>
      </c>
      <c r="S43" s="8" t="s">
        <v>2171</v>
      </c>
      <c r="T43" s="8" t="s">
        <v>2172</v>
      </c>
      <c r="U43" s="8" t="s">
        <v>2173</v>
      </c>
      <c r="V43" s="8" t="s">
        <v>223</v>
      </c>
      <c r="W43" s="8">
        <f t="shared" si="2"/>
        <v>4</v>
      </c>
      <c r="X43" s="8">
        <f>K43*L43*N43</f>
        <v>23973.360000000001</v>
      </c>
    </row>
    <row r="44" spans="1:24" s="8" customFormat="1" ht="41.5" customHeight="1">
      <c r="A44" s="8" t="s">
        <v>2281</v>
      </c>
      <c r="B44" s="8" t="s">
        <v>221</v>
      </c>
      <c r="C44" s="9">
        <v>46010.456585150503</v>
      </c>
      <c r="D44" s="8" t="s">
        <v>2056</v>
      </c>
      <c r="E44" s="8" t="s">
        <v>2057</v>
      </c>
      <c r="F44" s="8">
        <v>14</v>
      </c>
      <c r="G44" s="22" t="s">
        <v>2106</v>
      </c>
      <c r="H44" s="8" t="s">
        <v>235</v>
      </c>
      <c r="I44" s="2" t="str">
        <f t="shared" si="1"/>
        <v>DL0344 Kìm phe cong ra 7" E</v>
      </c>
      <c r="J44" s="8" t="s">
        <v>19</v>
      </c>
      <c r="K44" s="10">
        <v>6</v>
      </c>
      <c r="L44" s="10">
        <v>49944.5</v>
      </c>
      <c r="M44" s="11">
        <v>299667</v>
      </c>
      <c r="N44" s="8" t="s">
        <v>16</v>
      </c>
      <c r="O44" s="8" t="s">
        <v>17</v>
      </c>
      <c r="P44" s="8" t="s">
        <v>18</v>
      </c>
      <c r="Q44" s="8" t="s">
        <v>18</v>
      </c>
      <c r="R44" s="8" t="s">
        <v>2115</v>
      </c>
      <c r="S44" s="8" t="s">
        <v>2171</v>
      </c>
      <c r="T44" s="8" t="s">
        <v>2172</v>
      </c>
      <c r="U44" s="8" t="s">
        <v>2173</v>
      </c>
      <c r="V44" s="8" t="s">
        <v>223</v>
      </c>
      <c r="W44" s="8">
        <f t="shared" si="2"/>
        <v>4</v>
      </c>
      <c r="X44" s="8">
        <f>K44*L44*N44</f>
        <v>23973.360000000001</v>
      </c>
    </row>
    <row r="45" spans="1:24" s="8" customFormat="1" ht="41.5" customHeight="1">
      <c r="A45" s="8" t="s">
        <v>2281</v>
      </c>
      <c r="B45" s="8" t="s">
        <v>221</v>
      </c>
      <c r="C45" s="9">
        <v>46010.456585150503</v>
      </c>
      <c r="D45" s="8" t="s">
        <v>2056</v>
      </c>
      <c r="E45" s="8" t="s">
        <v>2057</v>
      </c>
      <c r="F45" s="8">
        <v>15</v>
      </c>
      <c r="G45" s="22" t="s">
        <v>2107</v>
      </c>
      <c r="H45" s="8" t="s">
        <v>236</v>
      </c>
      <c r="I45" s="2" t="str">
        <f t="shared" si="1"/>
        <v>DL2108 Kìm mũi nhọn 8" E</v>
      </c>
      <c r="J45" s="8" t="s">
        <v>19</v>
      </c>
      <c r="K45" s="10">
        <v>6</v>
      </c>
      <c r="L45" s="10">
        <v>52527.83</v>
      </c>
      <c r="M45" s="11">
        <v>315167</v>
      </c>
      <c r="N45" s="8" t="s">
        <v>16</v>
      </c>
      <c r="O45" s="8" t="s">
        <v>17</v>
      </c>
      <c r="P45" s="8" t="s">
        <v>18</v>
      </c>
      <c r="Q45" s="8" t="s">
        <v>18</v>
      </c>
      <c r="R45" s="8" t="s">
        <v>2115</v>
      </c>
      <c r="S45" s="8" t="s">
        <v>2171</v>
      </c>
      <c r="T45" s="8" t="s">
        <v>2172</v>
      </c>
      <c r="U45" s="8" t="s">
        <v>2173</v>
      </c>
      <c r="V45" s="8" t="s">
        <v>223</v>
      </c>
      <c r="W45" s="8">
        <f t="shared" si="2"/>
        <v>4</v>
      </c>
      <c r="X45" s="8">
        <f>K45*L45*N45</f>
        <v>25213.358399999997</v>
      </c>
    </row>
    <row r="46" spans="1:24" s="8" customFormat="1" ht="41.5" customHeight="1">
      <c r="A46" s="8" t="s">
        <v>2281</v>
      </c>
      <c r="B46" s="8" t="s">
        <v>221</v>
      </c>
      <c r="C46" s="9">
        <v>46010.456585150503</v>
      </c>
      <c r="D46" s="8" t="s">
        <v>2056</v>
      </c>
      <c r="E46" s="8" t="s">
        <v>2057</v>
      </c>
      <c r="F46" s="8">
        <v>16</v>
      </c>
      <c r="G46" s="22" t="s">
        <v>2108</v>
      </c>
      <c r="H46" s="8" t="s">
        <v>176</v>
      </c>
      <c r="I46" s="2" t="str">
        <f t="shared" si="1"/>
        <v>DH-Y18310 mũi khoan bê tông xuyên tường E</v>
      </c>
      <c r="J46" s="8" t="s">
        <v>19</v>
      </c>
      <c r="K46" s="10">
        <v>5</v>
      </c>
      <c r="L46" s="10">
        <v>55111.199999999997</v>
      </c>
      <c r="M46" s="11">
        <v>275556</v>
      </c>
      <c r="N46" s="8" t="s">
        <v>16</v>
      </c>
      <c r="O46" s="8" t="s">
        <v>17</v>
      </c>
      <c r="P46" s="8" t="s">
        <v>18</v>
      </c>
      <c r="Q46" s="8" t="s">
        <v>18</v>
      </c>
      <c r="R46" s="8" t="s">
        <v>2115</v>
      </c>
      <c r="S46" s="8" t="s">
        <v>2171</v>
      </c>
      <c r="T46" s="8" t="s">
        <v>2172</v>
      </c>
      <c r="U46" s="8" t="s">
        <v>2173</v>
      </c>
      <c r="V46" s="8" t="s">
        <v>223</v>
      </c>
      <c r="W46" s="8">
        <f t="shared" si="2"/>
        <v>4</v>
      </c>
      <c r="X46" s="8">
        <f>K46*L46*N46</f>
        <v>22044.48</v>
      </c>
    </row>
    <row r="47" spans="1:24" s="8" customFormat="1" ht="41.5" customHeight="1">
      <c r="A47" s="8" t="s">
        <v>2281</v>
      </c>
      <c r="B47" s="8" t="s">
        <v>221</v>
      </c>
      <c r="C47" s="9">
        <v>46010.456585150503</v>
      </c>
      <c r="D47" s="8" t="s">
        <v>2056</v>
      </c>
      <c r="E47" s="8" t="s">
        <v>2057</v>
      </c>
      <c r="F47" s="8">
        <v>17</v>
      </c>
      <c r="G47" s="22" t="s">
        <v>2109</v>
      </c>
      <c r="H47" s="8" t="s">
        <v>237</v>
      </c>
      <c r="I47" s="2" t="str">
        <f t="shared" si="1"/>
        <v>EDH-Y12310 Mũi khoan bê tông xuyên tường</v>
      </c>
      <c r="J47" s="8" t="s">
        <v>19</v>
      </c>
      <c r="K47" s="10">
        <v>6</v>
      </c>
      <c r="L47" s="10">
        <v>32722.17</v>
      </c>
      <c r="M47" s="11">
        <v>196333</v>
      </c>
      <c r="N47" s="8" t="s">
        <v>16</v>
      </c>
      <c r="O47" s="8" t="s">
        <v>17</v>
      </c>
      <c r="P47" s="8" t="s">
        <v>18</v>
      </c>
      <c r="Q47" s="8" t="s">
        <v>18</v>
      </c>
      <c r="R47" s="8" t="s">
        <v>2115</v>
      </c>
      <c r="S47" s="8" t="s">
        <v>2171</v>
      </c>
      <c r="T47" s="8" t="s">
        <v>2172</v>
      </c>
      <c r="U47" s="8" t="s">
        <v>2173</v>
      </c>
      <c r="V47" s="8" t="s">
        <v>223</v>
      </c>
      <c r="W47" s="8">
        <f t="shared" si="2"/>
        <v>4</v>
      </c>
      <c r="X47" s="8">
        <f>K47*L47*N47</f>
        <v>15706.641599999999</v>
      </c>
    </row>
    <row r="48" spans="1:24" s="8" customFormat="1" ht="41.5" customHeight="1">
      <c r="A48" s="8" t="s">
        <v>2281</v>
      </c>
      <c r="B48" s="8" t="s">
        <v>221</v>
      </c>
      <c r="C48" s="9">
        <v>46010.456585150503</v>
      </c>
      <c r="D48" s="8" t="s">
        <v>2056</v>
      </c>
      <c r="E48" s="8" t="s">
        <v>2057</v>
      </c>
      <c r="F48" s="8">
        <v>18</v>
      </c>
      <c r="G48" s="22" t="s">
        <v>238</v>
      </c>
      <c r="H48" s="8" t="s">
        <v>238</v>
      </c>
      <c r="I48" s="2" t="str">
        <f t="shared" si="1"/>
        <v>DL270725L Thước lỗ ban 2 mặt 7.5m*25mm E</v>
      </c>
      <c r="J48" s="8" t="s">
        <v>19</v>
      </c>
      <c r="K48" s="10">
        <v>24</v>
      </c>
      <c r="L48" s="10">
        <v>41333.33</v>
      </c>
      <c r="M48" s="11">
        <v>992000</v>
      </c>
      <c r="N48" s="8" t="s">
        <v>16</v>
      </c>
      <c r="O48" s="8" t="s">
        <v>17</v>
      </c>
      <c r="P48" s="8" t="s">
        <v>18</v>
      </c>
      <c r="Q48" s="8" t="s">
        <v>18</v>
      </c>
      <c r="R48" s="8" t="s">
        <v>2115</v>
      </c>
      <c r="S48" s="8" t="s">
        <v>2171</v>
      </c>
      <c r="T48" s="8" t="s">
        <v>2172</v>
      </c>
      <c r="U48" s="8" t="s">
        <v>2173</v>
      </c>
      <c r="V48" s="8" t="s">
        <v>223</v>
      </c>
      <c r="W48" s="8">
        <f t="shared" si="2"/>
        <v>4</v>
      </c>
      <c r="X48" s="8">
        <f>K48*L48*N48</f>
        <v>79359.993600000002</v>
      </c>
    </row>
    <row r="49" spans="1:24" s="8" customFormat="1" ht="41.5" customHeight="1">
      <c r="A49" s="8" t="s">
        <v>2281</v>
      </c>
      <c r="B49" s="8" t="s">
        <v>221</v>
      </c>
      <c r="C49" s="9">
        <v>46010.456585150503</v>
      </c>
      <c r="D49" s="8" t="s">
        <v>2056</v>
      </c>
      <c r="E49" s="8" t="s">
        <v>2057</v>
      </c>
      <c r="F49" s="8">
        <v>19</v>
      </c>
      <c r="G49" s="22" t="s">
        <v>317</v>
      </c>
      <c r="H49" s="8" t="s">
        <v>239</v>
      </c>
      <c r="I49" s="2" t="str">
        <f t="shared" si="1"/>
        <v>EDL270525L Thước lỗ ban 2 mặt 5m*25mm</v>
      </c>
      <c r="J49" s="8" t="s">
        <v>19</v>
      </c>
      <c r="K49" s="10">
        <v>48</v>
      </c>
      <c r="L49" s="10">
        <v>29708.33</v>
      </c>
      <c r="M49" s="11">
        <v>1426000</v>
      </c>
      <c r="N49" s="8" t="s">
        <v>16</v>
      </c>
      <c r="O49" s="8" t="s">
        <v>17</v>
      </c>
      <c r="P49" s="8" t="s">
        <v>18</v>
      </c>
      <c r="Q49" s="8" t="s">
        <v>18</v>
      </c>
      <c r="R49" s="8" t="s">
        <v>2115</v>
      </c>
      <c r="S49" s="8" t="s">
        <v>2171</v>
      </c>
      <c r="T49" s="8" t="s">
        <v>2172</v>
      </c>
      <c r="U49" s="8" t="s">
        <v>2173</v>
      </c>
      <c r="V49" s="8" t="s">
        <v>223</v>
      </c>
      <c r="W49" s="8">
        <f t="shared" si="2"/>
        <v>4</v>
      </c>
      <c r="X49" s="8">
        <f>K49*L49*N49</f>
        <v>114079.9872</v>
      </c>
    </row>
    <row r="50" spans="1:24" s="8" customFormat="1" ht="41.5" customHeight="1">
      <c r="A50" s="8" t="s">
        <v>2281</v>
      </c>
      <c r="B50" s="8" t="s">
        <v>221</v>
      </c>
      <c r="C50" s="9">
        <v>46010.456585150503</v>
      </c>
      <c r="D50" s="8" t="s">
        <v>2056</v>
      </c>
      <c r="E50" s="8" t="s">
        <v>2057</v>
      </c>
      <c r="F50" s="8">
        <v>20</v>
      </c>
      <c r="G50" s="22" t="s">
        <v>2114</v>
      </c>
      <c r="H50" s="8" t="s">
        <v>175</v>
      </c>
      <c r="I50" s="2" t="str">
        <f t="shared" si="1"/>
        <v>EDH-Y16310 Mũi khoan bê tông xuyên tường</v>
      </c>
      <c r="J50" s="8" t="s">
        <v>19</v>
      </c>
      <c r="K50" s="10">
        <v>1</v>
      </c>
      <c r="L50" s="10">
        <v>47361</v>
      </c>
      <c r="M50" s="11">
        <v>47361</v>
      </c>
      <c r="N50" s="8" t="s">
        <v>16</v>
      </c>
      <c r="O50" s="8" t="s">
        <v>17</v>
      </c>
      <c r="P50" s="8" t="s">
        <v>18</v>
      </c>
      <c r="Q50" s="8" t="s">
        <v>18</v>
      </c>
      <c r="R50" s="8" t="s">
        <v>2115</v>
      </c>
      <c r="S50" s="8" t="s">
        <v>2171</v>
      </c>
      <c r="T50" s="8" t="s">
        <v>2172</v>
      </c>
      <c r="U50" s="8" t="s">
        <v>2173</v>
      </c>
      <c r="V50" s="8" t="s">
        <v>223</v>
      </c>
      <c r="W50" s="8">
        <f t="shared" si="2"/>
        <v>4</v>
      </c>
      <c r="X50" s="8">
        <f>K50*L50*N50</f>
        <v>3788.88</v>
      </c>
    </row>
    <row r="51" spans="1:24" s="8" customFormat="1" ht="41.5" customHeight="1">
      <c r="A51" s="8" t="s">
        <v>2281</v>
      </c>
      <c r="B51" s="8" t="s">
        <v>221</v>
      </c>
      <c r="C51" s="9">
        <v>46010.456585150503</v>
      </c>
      <c r="D51" s="8" t="s">
        <v>2056</v>
      </c>
      <c r="E51" s="8" t="s">
        <v>2057</v>
      </c>
      <c r="F51" s="8">
        <v>21</v>
      </c>
      <c r="G51" s="22" t="s">
        <v>1370</v>
      </c>
      <c r="H51" s="8" t="s">
        <v>226</v>
      </c>
      <c r="I51" s="2" t="str">
        <f t="shared" si="1"/>
        <v>EDH-Y14310 mũi khoan bê tông xuyên tường</v>
      </c>
      <c r="J51" s="8" t="s">
        <v>19</v>
      </c>
      <c r="K51" s="10">
        <v>7</v>
      </c>
      <c r="L51" s="10">
        <v>37888.86</v>
      </c>
      <c r="M51" s="11">
        <v>265222</v>
      </c>
      <c r="N51" s="8" t="s">
        <v>16</v>
      </c>
      <c r="O51" s="8" t="s">
        <v>17</v>
      </c>
      <c r="P51" s="8" t="s">
        <v>18</v>
      </c>
      <c r="Q51" s="8" t="s">
        <v>18</v>
      </c>
      <c r="R51" s="8" t="s">
        <v>2115</v>
      </c>
      <c r="S51" s="8" t="s">
        <v>2171</v>
      </c>
      <c r="T51" s="8" t="s">
        <v>2172</v>
      </c>
      <c r="U51" s="8" t="s">
        <v>2173</v>
      </c>
      <c r="V51" s="8" t="s">
        <v>223</v>
      </c>
      <c r="W51" s="8">
        <f t="shared" si="2"/>
        <v>4</v>
      </c>
      <c r="X51" s="8">
        <f>K51*L51*N51</f>
        <v>21217.761600000002</v>
      </c>
    </row>
    <row r="52" spans="1:24" s="8" customFormat="1" ht="41.5" customHeight="1">
      <c r="A52" s="8" t="s">
        <v>2281</v>
      </c>
      <c r="B52" s="8" t="s">
        <v>2282</v>
      </c>
      <c r="C52" s="9">
        <v>46001.478014317101</v>
      </c>
      <c r="D52" s="8" t="s">
        <v>2056</v>
      </c>
      <c r="E52" s="8" t="s">
        <v>2057</v>
      </c>
      <c r="F52" s="8">
        <v>1</v>
      </c>
      <c r="G52" s="22" t="s">
        <v>24</v>
      </c>
      <c r="H52" s="8" t="s">
        <v>240</v>
      </c>
      <c r="I52" s="2" t="str">
        <f t="shared" si="1"/>
        <v>Găng tay sợi phủ lòng cao su</v>
      </c>
      <c r="J52" s="8" t="s">
        <v>22</v>
      </c>
      <c r="K52" s="10">
        <v>3000</v>
      </c>
      <c r="L52" s="10">
        <v>2400</v>
      </c>
      <c r="M52" s="11">
        <v>7200000</v>
      </c>
      <c r="N52" s="8" t="s">
        <v>16</v>
      </c>
      <c r="O52" s="8" t="s">
        <v>17</v>
      </c>
      <c r="P52" s="8" t="s">
        <v>18</v>
      </c>
      <c r="Q52" s="8" t="s">
        <v>18</v>
      </c>
      <c r="R52" s="8" t="s">
        <v>2283</v>
      </c>
      <c r="S52" s="8" t="s">
        <v>2058</v>
      </c>
      <c r="T52" s="8" t="s">
        <v>2059</v>
      </c>
      <c r="U52" s="8" t="s">
        <v>2284</v>
      </c>
      <c r="V52" s="8" t="s">
        <v>241</v>
      </c>
      <c r="W52" s="8">
        <f t="shared" si="2"/>
        <v>4</v>
      </c>
      <c r="X52" s="8">
        <f>K52*L52*N52</f>
        <v>576000</v>
      </c>
    </row>
    <row r="53" spans="1:24" s="8" customFormat="1" ht="41.5" customHeight="1">
      <c r="A53" s="8" t="s">
        <v>2281</v>
      </c>
      <c r="B53" s="8" t="s">
        <v>2282</v>
      </c>
      <c r="C53" s="9">
        <v>46001.478014317101</v>
      </c>
      <c r="D53" s="8" t="s">
        <v>2056</v>
      </c>
      <c r="E53" s="8" t="s">
        <v>2057</v>
      </c>
      <c r="F53" s="8">
        <v>2</v>
      </c>
      <c r="G53" s="22" t="s">
        <v>21</v>
      </c>
      <c r="H53" s="8" t="s">
        <v>21</v>
      </c>
      <c r="I53" s="2" t="str">
        <f t="shared" si="1"/>
        <v>Găng tay cao su s8</v>
      </c>
      <c r="J53" s="8" t="s">
        <v>22</v>
      </c>
      <c r="K53" s="10">
        <v>100</v>
      </c>
      <c r="L53" s="10">
        <v>15300</v>
      </c>
      <c r="M53" s="11">
        <v>1530000</v>
      </c>
      <c r="N53" s="8" t="s">
        <v>16</v>
      </c>
      <c r="O53" s="8" t="s">
        <v>17</v>
      </c>
      <c r="P53" s="8" t="s">
        <v>18</v>
      </c>
      <c r="Q53" s="8" t="s">
        <v>18</v>
      </c>
      <c r="R53" s="8" t="s">
        <v>2283</v>
      </c>
      <c r="S53" s="8" t="s">
        <v>2058</v>
      </c>
      <c r="T53" s="8" t="s">
        <v>2059</v>
      </c>
      <c r="U53" s="8" t="s">
        <v>2284</v>
      </c>
      <c r="V53" s="8" t="s">
        <v>241</v>
      </c>
      <c r="W53" s="8">
        <f t="shared" si="2"/>
        <v>4</v>
      </c>
      <c r="X53" s="8">
        <f>K53*L53*N53</f>
        <v>122400</v>
      </c>
    </row>
    <row r="54" spans="1:24" s="8" customFormat="1" ht="41.5" customHeight="1">
      <c r="A54" s="8" t="s">
        <v>2281</v>
      </c>
      <c r="B54" s="8" t="s">
        <v>2282</v>
      </c>
      <c r="C54" s="9">
        <v>46001.478014317101</v>
      </c>
      <c r="D54" s="8" t="s">
        <v>2056</v>
      </c>
      <c r="E54" s="8" t="s">
        <v>2057</v>
      </c>
      <c r="F54" s="8">
        <v>3</v>
      </c>
      <c r="G54" s="22" t="s">
        <v>1612</v>
      </c>
      <c r="H54" s="8" t="s">
        <v>242</v>
      </c>
      <c r="I54" s="2" t="str">
        <f t="shared" si="1"/>
        <v>Ủng BHLD 819</v>
      </c>
      <c r="J54" s="8" t="s">
        <v>22</v>
      </c>
      <c r="K54" s="10">
        <v>20</v>
      </c>
      <c r="L54" s="10">
        <v>80000</v>
      </c>
      <c r="M54" s="11">
        <v>1600000</v>
      </c>
      <c r="N54" s="8" t="s">
        <v>16</v>
      </c>
      <c r="O54" s="8" t="s">
        <v>17</v>
      </c>
      <c r="P54" s="8" t="s">
        <v>18</v>
      </c>
      <c r="Q54" s="8" t="s">
        <v>18</v>
      </c>
      <c r="R54" s="8" t="s">
        <v>2283</v>
      </c>
      <c r="S54" s="8" t="s">
        <v>2058</v>
      </c>
      <c r="T54" s="8" t="s">
        <v>2059</v>
      </c>
      <c r="U54" s="8" t="s">
        <v>2284</v>
      </c>
      <c r="V54" s="8" t="s">
        <v>241</v>
      </c>
      <c r="W54" s="8">
        <f t="shared" si="2"/>
        <v>4</v>
      </c>
      <c r="X54" s="8">
        <f>K54*L54*N54</f>
        <v>128000</v>
      </c>
    </row>
    <row r="55" spans="1:24" s="8" customFormat="1" ht="41.5" customHeight="1">
      <c r="A55" s="8" t="s">
        <v>2281</v>
      </c>
      <c r="B55" s="8" t="s">
        <v>2282</v>
      </c>
      <c r="C55" s="9">
        <v>46001.478014317101</v>
      </c>
      <c r="D55" s="8" t="s">
        <v>2056</v>
      </c>
      <c r="E55" s="8" t="s">
        <v>2057</v>
      </c>
      <c r="F55" s="8">
        <v>4</v>
      </c>
      <c r="G55" s="22" t="s">
        <v>566</v>
      </c>
      <c r="H55" s="8" t="s">
        <v>243</v>
      </c>
      <c r="I55" s="2" t="str">
        <f t="shared" si="1"/>
        <v>Ủng BHLĐ 287</v>
      </c>
      <c r="J55" s="8" t="s">
        <v>22</v>
      </c>
      <c r="K55" s="10">
        <v>20</v>
      </c>
      <c r="L55" s="10">
        <v>111000</v>
      </c>
      <c r="M55" s="11">
        <v>2220000</v>
      </c>
      <c r="N55" s="8" t="s">
        <v>16</v>
      </c>
      <c r="O55" s="8" t="s">
        <v>17</v>
      </c>
      <c r="P55" s="8" t="s">
        <v>18</v>
      </c>
      <c r="Q55" s="8" t="s">
        <v>18</v>
      </c>
      <c r="R55" s="8" t="s">
        <v>2283</v>
      </c>
      <c r="S55" s="8" t="s">
        <v>2058</v>
      </c>
      <c r="T55" s="8" t="s">
        <v>2059</v>
      </c>
      <c r="U55" s="8" t="s">
        <v>2284</v>
      </c>
      <c r="V55" s="8" t="s">
        <v>241</v>
      </c>
      <c r="W55" s="8">
        <f t="shared" si="2"/>
        <v>4</v>
      </c>
      <c r="X55" s="8">
        <f>K55*L55*N55</f>
        <v>177600</v>
      </c>
    </row>
    <row r="56" spans="1:24" s="8" customFormat="1" ht="41.5" customHeight="1">
      <c r="A56" s="8" t="s">
        <v>2281</v>
      </c>
      <c r="B56" s="8" t="s">
        <v>2282</v>
      </c>
      <c r="C56" s="9">
        <v>46001.478014317101</v>
      </c>
      <c r="D56" s="8" t="s">
        <v>2056</v>
      </c>
      <c r="E56" s="8" t="s">
        <v>2057</v>
      </c>
      <c r="F56" s="8">
        <v>5</v>
      </c>
      <c r="G56" s="22" t="s">
        <v>244</v>
      </c>
      <c r="H56" s="8" t="s">
        <v>244</v>
      </c>
      <c r="I56" s="2" t="str">
        <f t="shared" si="1"/>
        <v>Nón BHLĐ N40</v>
      </c>
      <c r="J56" s="8" t="s">
        <v>15</v>
      </c>
      <c r="K56" s="10">
        <v>40</v>
      </c>
      <c r="L56" s="10">
        <v>65000</v>
      </c>
      <c r="M56" s="11">
        <v>2600000</v>
      </c>
      <c r="N56" s="8" t="s">
        <v>16</v>
      </c>
      <c r="O56" s="8" t="s">
        <v>17</v>
      </c>
      <c r="P56" s="8" t="s">
        <v>18</v>
      </c>
      <c r="Q56" s="8" t="s">
        <v>18</v>
      </c>
      <c r="R56" s="8" t="s">
        <v>2283</v>
      </c>
      <c r="S56" s="8" t="s">
        <v>2058</v>
      </c>
      <c r="T56" s="8" t="s">
        <v>2059</v>
      </c>
      <c r="U56" s="8" t="s">
        <v>2284</v>
      </c>
      <c r="V56" s="8" t="s">
        <v>241</v>
      </c>
      <c r="W56" s="8">
        <f t="shared" si="2"/>
        <v>4</v>
      </c>
      <c r="X56" s="8">
        <f>K56*L56*N56</f>
        <v>208000</v>
      </c>
    </row>
    <row r="57" spans="1:24" s="8" customFormat="1" ht="41.5" customHeight="1">
      <c r="A57" s="8" t="s">
        <v>2281</v>
      </c>
      <c r="B57" s="8" t="s">
        <v>2282</v>
      </c>
      <c r="C57" s="9">
        <v>46001.478014317101</v>
      </c>
      <c r="D57" s="8" t="s">
        <v>2056</v>
      </c>
      <c r="E57" s="8" t="s">
        <v>2057</v>
      </c>
      <c r="F57" s="8">
        <v>6</v>
      </c>
      <c r="G57" s="22" t="s">
        <v>562</v>
      </c>
      <c r="H57" s="8" t="s">
        <v>245</v>
      </c>
      <c r="I57" s="2" t="str">
        <f t="shared" si="1"/>
        <v>Áo mưa phương tiện</v>
      </c>
      <c r="J57" s="8" t="s">
        <v>15</v>
      </c>
      <c r="K57" s="10">
        <v>120</v>
      </c>
      <c r="L57" s="10">
        <v>7000</v>
      </c>
      <c r="M57" s="11">
        <v>840000</v>
      </c>
      <c r="N57" s="8" t="s">
        <v>16</v>
      </c>
      <c r="O57" s="8" t="s">
        <v>17</v>
      </c>
      <c r="P57" s="8" t="s">
        <v>18</v>
      </c>
      <c r="Q57" s="8" t="s">
        <v>18</v>
      </c>
      <c r="R57" s="8" t="s">
        <v>2283</v>
      </c>
      <c r="S57" s="8" t="s">
        <v>2058</v>
      </c>
      <c r="T57" s="8" t="s">
        <v>2059</v>
      </c>
      <c r="U57" s="8" t="s">
        <v>2284</v>
      </c>
      <c r="V57" s="8" t="s">
        <v>241</v>
      </c>
      <c r="W57" s="8">
        <f t="shared" si="2"/>
        <v>4</v>
      </c>
      <c r="X57" s="8">
        <f>K57*L57*N57</f>
        <v>67200</v>
      </c>
    </row>
    <row r="58" spans="1:24" s="8" customFormat="1" ht="41.5" customHeight="1">
      <c r="A58" s="8" t="s">
        <v>2281</v>
      </c>
      <c r="B58" s="8" t="s">
        <v>2282</v>
      </c>
      <c r="C58" s="9">
        <v>46001.478014317101</v>
      </c>
      <c r="D58" s="8" t="s">
        <v>2056</v>
      </c>
      <c r="E58" s="8" t="s">
        <v>2057</v>
      </c>
      <c r="F58" s="8">
        <v>7</v>
      </c>
      <c r="G58" s="22" t="s">
        <v>246</v>
      </c>
      <c r="H58" s="8" t="s">
        <v>246</v>
      </c>
      <c r="I58" s="2" t="str">
        <f t="shared" si="1"/>
        <v>Băng keo dính 3kg</v>
      </c>
      <c r="J58" s="8" t="s">
        <v>247</v>
      </c>
      <c r="K58" s="10">
        <v>11</v>
      </c>
      <c r="L58" s="10">
        <v>95909.09</v>
      </c>
      <c r="M58" s="11">
        <v>1055000</v>
      </c>
      <c r="N58" s="8" t="s">
        <v>16</v>
      </c>
      <c r="O58" s="8" t="s">
        <v>17</v>
      </c>
      <c r="P58" s="8" t="s">
        <v>18</v>
      </c>
      <c r="Q58" s="8" t="s">
        <v>18</v>
      </c>
      <c r="R58" s="8" t="s">
        <v>2283</v>
      </c>
      <c r="S58" s="8" t="s">
        <v>2058</v>
      </c>
      <c r="T58" s="8" t="s">
        <v>2059</v>
      </c>
      <c r="U58" s="8" t="s">
        <v>2284</v>
      </c>
      <c r="V58" s="8" t="s">
        <v>241</v>
      </c>
      <c r="W58" s="8">
        <f t="shared" si="2"/>
        <v>4</v>
      </c>
      <c r="X58" s="8">
        <f>K58*L58*N58</f>
        <v>84399.999200000006</v>
      </c>
    </row>
    <row r="59" spans="1:24" s="8" customFormat="1" ht="41.5" customHeight="1">
      <c r="A59" s="8" t="s">
        <v>2281</v>
      </c>
      <c r="B59" s="8" t="s">
        <v>2285</v>
      </c>
      <c r="C59" s="9">
        <v>46001.477959398202</v>
      </c>
      <c r="D59" s="8" t="s">
        <v>2056</v>
      </c>
      <c r="E59" s="8" t="s">
        <v>2057</v>
      </c>
      <c r="F59" s="8">
        <v>1</v>
      </c>
      <c r="G59" s="22" t="s">
        <v>248</v>
      </c>
      <c r="H59" s="8" t="s">
        <v>248</v>
      </c>
      <c r="I59" s="2" t="str">
        <f t="shared" si="1"/>
        <v>Bạt TP50</v>
      </c>
      <c r="J59" s="8" t="s">
        <v>35</v>
      </c>
      <c r="K59" s="10">
        <v>25</v>
      </c>
      <c r="L59" s="10">
        <v>36000</v>
      </c>
      <c r="M59" s="11">
        <v>900000</v>
      </c>
      <c r="N59" s="8" t="s">
        <v>16</v>
      </c>
      <c r="O59" s="8" t="s">
        <v>17</v>
      </c>
      <c r="P59" s="8" t="s">
        <v>18</v>
      </c>
      <c r="Q59" s="8" t="s">
        <v>18</v>
      </c>
      <c r="R59" s="8" t="s">
        <v>2283</v>
      </c>
      <c r="S59" s="8" t="s">
        <v>2058</v>
      </c>
      <c r="T59" s="8" t="s">
        <v>2059</v>
      </c>
      <c r="U59" s="8" t="s">
        <v>2284</v>
      </c>
      <c r="V59" s="8" t="s">
        <v>241</v>
      </c>
      <c r="W59" s="8">
        <f t="shared" si="2"/>
        <v>4</v>
      </c>
      <c r="X59" s="8">
        <f>K59*L59*N59</f>
        <v>72000</v>
      </c>
    </row>
    <row r="60" spans="1:24" s="8" customFormat="1" ht="41.5" customHeight="1">
      <c r="A60" s="8" t="s">
        <v>2281</v>
      </c>
      <c r="B60" s="8" t="s">
        <v>2285</v>
      </c>
      <c r="C60" s="9">
        <v>46001.477959398202</v>
      </c>
      <c r="D60" s="8" t="s">
        <v>2056</v>
      </c>
      <c r="E60" s="8" t="s">
        <v>2057</v>
      </c>
      <c r="F60" s="8">
        <v>2</v>
      </c>
      <c r="G60" s="22" t="s">
        <v>1266</v>
      </c>
      <c r="H60" s="8" t="s">
        <v>249</v>
      </c>
      <c r="I60" s="2" t="str">
        <f t="shared" si="1"/>
        <v>Mũ BHLĐ C10</v>
      </c>
      <c r="J60" s="8" t="s">
        <v>15</v>
      </c>
      <c r="K60" s="10">
        <v>10</v>
      </c>
      <c r="L60" s="10">
        <v>110000</v>
      </c>
      <c r="M60" s="11">
        <v>1100000</v>
      </c>
      <c r="N60" s="8" t="s">
        <v>16</v>
      </c>
      <c r="O60" s="8" t="s">
        <v>17</v>
      </c>
      <c r="P60" s="8" t="s">
        <v>18</v>
      </c>
      <c r="Q60" s="8" t="s">
        <v>18</v>
      </c>
      <c r="R60" s="8" t="s">
        <v>2283</v>
      </c>
      <c r="S60" s="8" t="s">
        <v>2058</v>
      </c>
      <c r="T60" s="8" t="s">
        <v>2059</v>
      </c>
      <c r="U60" s="8" t="s">
        <v>2284</v>
      </c>
      <c r="V60" s="8" t="s">
        <v>241</v>
      </c>
      <c r="W60" s="8">
        <f t="shared" si="2"/>
        <v>4</v>
      </c>
      <c r="X60" s="8">
        <f>K60*L60*N60</f>
        <v>88000</v>
      </c>
    </row>
    <row r="61" spans="1:24" s="8" customFormat="1" ht="41.5" customHeight="1">
      <c r="A61" s="8" t="s">
        <v>2281</v>
      </c>
      <c r="B61" s="8" t="s">
        <v>2285</v>
      </c>
      <c r="C61" s="9">
        <v>46001.477959398202</v>
      </c>
      <c r="D61" s="8" t="s">
        <v>2056</v>
      </c>
      <c r="E61" s="8" t="s">
        <v>2057</v>
      </c>
      <c r="F61" s="8">
        <v>3</v>
      </c>
      <c r="G61" s="22" t="s">
        <v>250</v>
      </c>
      <c r="H61" s="8" t="s">
        <v>250</v>
      </c>
      <c r="I61" s="2" t="str">
        <f t="shared" si="1"/>
        <v>Mặt nạ hàn đội đầu 633P</v>
      </c>
      <c r="J61" s="8" t="s">
        <v>15</v>
      </c>
      <c r="K61" s="10">
        <v>10</v>
      </c>
      <c r="L61" s="10">
        <v>100000</v>
      </c>
      <c r="M61" s="11">
        <v>1000000</v>
      </c>
      <c r="N61" s="8" t="s">
        <v>16</v>
      </c>
      <c r="O61" s="8" t="s">
        <v>17</v>
      </c>
      <c r="P61" s="8" t="s">
        <v>18</v>
      </c>
      <c r="Q61" s="8" t="s">
        <v>18</v>
      </c>
      <c r="R61" s="8" t="s">
        <v>2283</v>
      </c>
      <c r="S61" s="8" t="s">
        <v>2058</v>
      </c>
      <c r="T61" s="8" t="s">
        <v>2059</v>
      </c>
      <c r="U61" s="8" t="s">
        <v>2284</v>
      </c>
      <c r="V61" s="8" t="s">
        <v>241</v>
      </c>
      <c r="W61" s="8">
        <f t="shared" si="2"/>
        <v>4</v>
      </c>
      <c r="X61" s="8">
        <f>K61*L61*N61</f>
        <v>80000</v>
      </c>
    </row>
    <row r="62" spans="1:24" s="8" customFormat="1" ht="41.5" customHeight="1">
      <c r="A62" s="8" t="s">
        <v>2281</v>
      </c>
      <c r="B62" s="8" t="s">
        <v>2285</v>
      </c>
      <c r="C62" s="9">
        <v>46001.477959398202</v>
      </c>
      <c r="D62" s="8" t="s">
        <v>2056</v>
      </c>
      <c r="E62" s="8" t="s">
        <v>2057</v>
      </c>
      <c r="F62" s="8">
        <v>4</v>
      </c>
      <c r="G62" s="22" t="s">
        <v>24</v>
      </c>
      <c r="H62" s="8" t="s">
        <v>240</v>
      </c>
      <c r="I62" s="2" t="str">
        <f t="shared" si="1"/>
        <v>Găng tay sợi phủ lòng cao su</v>
      </c>
      <c r="J62" s="8" t="s">
        <v>22</v>
      </c>
      <c r="K62" s="10">
        <v>1500</v>
      </c>
      <c r="L62" s="10">
        <v>2400</v>
      </c>
      <c r="M62" s="11">
        <v>3600000</v>
      </c>
      <c r="N62" s="8" t="s">
        <v>16</v>
      </c>
      <c r="O62" s="8" t="s">
        <v>17</v>
      </c>
      <c r="P62" s="8" t="s">
        <v>18</v>
      </c>
      <c r="Q62" s="8" t="s">
        <v>18</v>
      </c>
      <c r="R62" s="8" t="s">
        <v>2283</v>
      </c>
      <c r="S62" s="8" t="s">
        <v>2058</v>
      </c>
      <c r="T62" s="8" t="s">
        <v>2059</v>
      </c>
      <c r="U62" s="8" t="s">
        <v>2284</v>
      </c>
      <c r="V62" s="8" t="s">
        <v>241</v>
      </c>
      <c r="W62" s="8">
        <f t="shared" si="2"/>
        <v>4</v>
      </c>
      <c r="X62" s="8">
        <f>K62*L62*N62</f>
        <v>288000</v>
      </c>
    </row>
    <row r="63" spans="1:24" s="8" customFormat="1" ht="41.5" customHeight="1">
      <c r="A63" s="8" t="s">
        <v>2281</v>
      </c>
      <c r="B63" s="8" t="s">
        <v>2285</v>
      </c>
      <c r="C63" s="9">
        <v>46001.477959398202</v>
      </c>
      <c r="D63" s="8" t="s">
        <v>2056</v>
      </c>
      <c r="E63" s="8" t="s">
        <v>2057</v>
      </c>
      <c r="F63" s="8">
        <v>5</v>
      </c>
      <c r="G63" s="22" t="s">
        <v>251</v>
      </c>
      <c r="H63" s="8" t="s">
        <v>251</v>
      </c>
      <c r="I63" s="2" t="str">
        <f t="shared" si="1"/>
        <v>Găng tay sợi 40g</v>
      </c>
      <c r="J63" s="8" t="s">
        <v>22</v>
      </c>
      <c r="K63" s="10">
        <v>120</v>
      </c>
      <c r="L63" s="10">
        <v>3416.6669999999999</v>
      </c>
      <c r="M63" s="11">
        <v>410000</v>
      </c>
      <c r="N63" s="8" t="s">
        <v>16</v>
      </c>
      <c r="O63" s="8" t="s">
        <v>17</v>
      </c>
      <c r="P63" s="8" t="s">
        <v>18</v>
      </c>
      <c r="Q63" s="8" t="s">
        <v>18</v>
      </c>
      <c r="R63" s="8" t="s">
        <v>2283</v>
      </c>
      <c r="S63" s="8" t="s">
        <v>2058</v>
      </c>
      <c r="T63" s="8" t="s">
        <v>2059</v>
      </c>
      <c r="U63" s="8" t="s">
        <v>2284</v>
      </c>
      <c r="V63" s="8" t="s">
        <v>241</v>
      </c>
      <c r="W63" s="8">
        <f t="shared" si="2"/>
        <v>4</v>
      </c>
      <c r="X63" s="8">
        <f>K63*L63*N63</f>
        <v>32800.003199999999</v>
      </c>
    </row>
    <row r="64" spans="1:24" s="8" customFormat="1" ht="41.5" customHeight="1">
      <c r="A64" s="8" t="s">
        <v>2286</v>
      </c>
      <c r="B64" s="8" t="s">
        <v>2287</v>
      </c>
      <c r="C64" s="9">
        <v>46022.728464027801</v>
      </c>
      <c r="D64" s="8" t="s">
        <v>2056</v>
      </c>
      <c r="E64" s="8" t="s">
        <v>2057</v>
      </c>
      <c r="F64" s="8">
        <v>1</v>
      </c>
      <c r="G64" s="22" t="s">
        <v>101</v>
      </c>
      <c r="H64" s="8" t="s">
        <v>101</v>
      </c>
      <c r="I64" s="2" t="str">
        <f t="shared" si="1"/>
        <v>Majestic đẹp hoàn hảo bóng base A 13.5L</v>
      </c>
      <c r="J64" s="8" t="s">
        <v>54</v>
      </c>
      <c r="K64" s="10">
        <v>1</v>
      </c>
      <c r="L64" s="10">
        <v>1829629.63</v>
      </c>
      <c r="M64" s="11">
        <v>1829629.63</v>
      </c>
      <c r="N64" s="8" t="s">
        <v>16</v>
      </c>
      <c r="O64" s="8" t="s">
        <v>17</v>
      </c>
      <c r="P64" s="8" t="s">
        <v>18</v>
      </c>
      <c r="Q64" s="8" t="s">
        <v>18</v>
      </c>
      <c r="R64" s="8" t="s">
        <v>2110</v>
      </c>
      <c r="S64" s="8" t="s">
        <v>2120</v>
      </c>
      <c r="T64" s="8" t="s">
        <v>2121</v>
      </c>
      <c r="U64" s="8" t="s">
        <v>2122</v>
      </c>
      <c r="V64" s="8" t="s">
        <v>28</v>
      </c>
      <c r="W64" s="8">
        <f t="shared" si="2"/>
        <v>4</v>
      </c>
      <c r="X64" s="8">
        <f>K64*L64*N64</f>
        <v>146370.37039999999</v>
      </c>
    </row>
    <row r="65" spans="1:24" s="8" customFormat="1" ht="41.5" customHeight="1">
      <c r="A65" s="8" t="s">
        <v>2286</v>
      </c>
      <c r="B65" s="8" t="s">
        <v>2287</v>
      </c>
      <c r="C65" s="9">
        <v>46022.728464027801</v>
      </c>
      <c r="D65" s="8" t="s">
        <v>2056</v>
      </c>
      <c r="E65" s="8" t="s">
        <v>2057</v>
      </c>
      <c r="F65" s="8">
        <v>2</v>
      </c>
      <c r="G65" s="22" t="s">
        <v>1299</v>
      </c>
      <c r="H65" s="8" t="s">
        <v>252</v>
      </c>
      <c r="I65" s="2" t="str">
        <f t="shared" si="1"/>
        <v>Majestic đẹp hoàn hảo bóng base A 4.5L</v>
      </c>
      <c r="J65" s="8" t="s">
        <v>56</v>
      </c>
      <c r="K65" s="10">
        <v>1</v>
      </c>
      <c r="L65" s="10">
        <v>640740.74</v>
      </c>
      <c r="M65" s="11">
        <v>640740.74</v>
      </c>
      <c r="N65" s="8" t="s">
        <v>16</v>
      </c>
      <c r="O65" s="8" t="s">
        <v>17</v>
      </c>
      <c r="P65" s="8" t="s">
        <v>18</v>
      </c>
      <c r="Q65" s="8" t="s">
        <v>18</v>
      </c>
      <c r="R65" s="8" t="s">
        <v>2110</v>
      </c>
      <c r="S65" s="8" t="s">
        <v>2120</v>
      </c>
      <c r="T65" s="8" t="s">
        <v>2121</v>
      </c>
      <c r="U65" s="8" t="s">
        <v>2122</v>
      </c>
      <c r="V65" s="8" t="s">
        <v>28</v>
      </c>
      <c r="W65" s="8">
        <f t="shared" si="2"/>
        <v>4</v>
      </c>
      <c r="X65" s="8">
        <f>K65*L65*N65</f>
        <v>51259.2592</v>
      </c>
    </row>
    <row r="66" spans="1:24" s="8" customFormat="1" ht="41.5" customHeight="1">
      <c r="A66" s="8" t="s">
        <v>2286</v>
      </c>
      <c r="B66" s="8" t="s">
        <v>2287</v>
      </c>
      <c r="C66" s="9">
        <v>46022.728464027801</v>
      </c>
      <c r="D66" s="8" t="s">
        <v>2056</v>
      </c>
      <c r="E66" s="8" t="s">
        <v>2057</v>
      </c>
      <c r="F66" s="8">
        <v>3</v>
      </c>
      <c r="G66" s="27" t="s">
        <v>501</v>
      </c>
      <c r="H66" s="8" t="s">
        <v>184</v>
      </c>
      <c r="I66" s="2" t="str">
        <f t="shared" si="1"/>
        <v>Jotun interior putty 40kg</v>
      </c>
      <c r="J66" s="8" t="s">
        <v>185</v>
      </c>
      <c r="K66" s="10">
        <v>5</v>
      </c>
      <c r="L66" s="10">
        <v>256944.44</v>
      </c>
      <c r="M66" s="11">
        <v>1284722.2</v>
      </c>
      <c r="N66" s="8" t="s">
        <v>16</v>
      </c>
      <c r="O66" s="8" t="s">
        <v>17</v>
      </c>
      <c r="P66" s="8" t="s">
        <v>18</v>
      </c>
      <c r="Q66" s="8" t="s">
        <v>18</v>
      </c>
      <c r="R66" s="8" t="s">
        <v>2110</v>
      </c>
      <c r="S66" s="8" t="s">
        <v>2120</v>
      </c>
      <c r="T66" s="8" t="s">
        <v>2121</v>
      </c>
      <c r="U66" s="8" t="s">
        <v>2122</v>
      </c>
      <c r="V66" s="8" t="s">
        <v>28</v>
      </c>
      <c r="W66" s="8">
        <f t="shared" si="2"/>
        <v>4</v>
      </c>
      <c r="X66" s="8">
        <f>K66*L66*N66</f>
        <v>102777.776</v>
      </c>
    </row>
    <row r="67" spans="1:24" s="8" customFormat="1" ht="41.5" customHeight="1">
      <c r="A67" s="8" t="s">
        <v>2286</v>
      </c>
      <c r="B67" s="8" t="s">
        <v>2287</v>
      </c>
      <c r="C67" s="9">
        <v>46022.728464027801</v>
      </c>
      <c r="D67" s="8" t="s">
        <v>2056</v>
      </c>
      <c r="E67" s="8" t="s">
        <v>2057</v>
      </c>
      <c r="F67" s="8">
        <v>4</v>
      </c>
      <c r="G67" s="27" t="s">
        <v>1260</v>
      </c>
      <c r="H67" s="8" t="s">
        <v>253</v>
      </c>
      <c r="I67" s="2" t="str">
        <f t="shared" si="1"/>
        <v>Vữa rót sikagrout 214-11</v>
      </c>
      <c r="J67" s="8" t="s">
        <v>35</v>
      </c>
      <c r="K67" s="10">
        <v>1250</v>
      </c>
      <c r="L67" s="10">
        <v>9444.4439999999995</v>
      </c>
      <c r="M67" s="11">
        <v>11805555</v>
      </c>
      <c r="N67" s="8" t="s">
        <v>16</v>
      </c>
      <c r="O67" s="8" t="s">
        <v>17</v>
      </c>
      <c r="P67" s="8" t="s">
        <v>18</v>
      </c>
      <c r="Q67" s="8" t="s">
        <v>18</v>
      </c>
      <c r="R67" s="8" t="s">
        <v>2110</v>
      </c>
      <c r="S67" s="8" t="s">
        <v>2120</v>
      </c>
      <c r="T67" s="8" t="s">
        <v>2121</v>
      </c>
      <c r="U67" s="8" t="s">
        <v>2122</v>
      </c>
      <c r="V67" s="8" t="s">
        <v>28</v>
      </c>
      <c r="W67" s="8">
        <f t="shared" si="2"/>
        <v>4</v>
      </c>
      <c r="X67" s="8">
        <f>K67*L67*N67</f>
        <v>944444.4</v>
      </c>
    </row>
    <row r="68" spans="1:24" s="8" customFormat="1" ht="41.5" customHeight="1">
      <c r="A68" s="8" t="s">
        <v>2286</v>
      </c>
      <c r="B68" s="8" t="s">
        <v>2288</v>
      </c>
      <c r="C68" s="9">
        <v>46016.902208217602</v>
      </c>
      <c r="D68" s="8" t="s">
        <v>2056</v>
      </c>
      <c r="E68" s="8" t="s">
        <v>2057</v>
      </c>
      <c r="F68" s="8">
        <v>1</v>
      </c>
      <c r="G68" s="22" t="s">
        <v>2129</v>
      </c>
      <c r="H68" s="8" t="s">
        <v>254</v>
      </c>
      <c r="I68" s="2" t="str">
        <f t="shared" si="1"/>
        <v>Jotashield bền màu toàn diện Base a 13.5L</v>
      </c>
      <c r="J68" s="8" t="s">
        <v>54</v>
      </c>
      <c r="K68" s="10">
        <v>1</v>
      </c>
      <c r="L68" s="10">
        <v>3683333.33</v>
      </c>
      <c r="M68" s="11">
        <v>3683333.33</v>
      </c>
      <c r="N68" s="8" t="s">
        <v>16</v>
      </c>
      <c r="O68" s="8" t="s">
        <v>17</v>
      </c>
      <c r="P68" s="8" t="s">
        <v>18</v>
      </c>
      <c r="Q68" s="8" t="s">
        <v>18</v>
      </c>
      <c r="R68" s="8" t="s">
        <v>2110</v>
      </c>
      <c r="S68" s="8" t="s">
        <v>2120</v>
      </c>
      <c r="T68" s="8" t="s">
        <v>2121</v>
      </c>
      <c r="U68" s="8" t="s">
        <v>2122</v>
      </c>
      <c r="V68" s="8" t="s">
        <v>255</v>
      </c>
      <c r="W68" s="8">
        <f t="shared" si="2"/>
        <v>4</v>
      </c>
      <c r="X68" s="8">
        <f>K68*L68*N68</f>
        <v>294666.66639999999</v>
      </c>
    </row>
    <row r="69" spans="1:24" s="8" customFormat="1" ht="41.5" customHeight="1">
      <c r="A69" s="8" t="s">
        <v>2286</v>
      </c>
      <c r="B69" s="8" t="s">
        <v>2288</v>
      </c>
      <c r="C69" s="9">
        <v>46016.902208217602</v>
      </c>
      <c r="D69" s="8" t="s">
        <v>2056</v>
      </c>
      <c r="E69" s="8" t="s">
        <v>2057</v>
      </c>
      <c r="F69" s="8">
        <v>2</v>
      </c>
      <c r="G69" s="22" t="s">
        <v>256</v>
      </c>
      <c r="H69" s="8" t="s">
        <v>256</v>
      </c>
      <c r="I69" s="2" t="str">
        <f t="shared" si="1"/>
        <v>Jotashield sạch vượt trội base A 13.5L</v>
      </c>
      <c r="J69" s="8" t="s">
        <v>54</v>
      </c>
      <c r="K69" s="10">
        <v>1</v>
      </c>
      <c r="L69" s="10">
        <v>2794444.44</v>
      </c>
      <c r="M69" s="11">
        <v>2794444.44</v>
      </c>
      <c r="N69" s="8" t="s">
        <v>16</v>
      </c>
      <c r="O69" s="8" t="s">
        <v>17</v>
      </c>
      <c r="P69" s="8" t="s">
        <v>18</v>
      </c>
      <c r="Q69" s="8" t="s">
        <v>18</v>
      </c>
      <c r="R69" s="8" t="s">
        <v>2110</v>
      </c>
      <c r="S69" s="8" t="s">
        <v>2120</v>
      </c>
      <c r="T69" s="8" t="s">
        <v>2121</v>
      </c>
      <c r="U69" s="8" t="s">
        <v>2122</v>
      </c>
      <c r="V69" s="8" t="s">
        <v>255</v>
      </c>
      <c r="W69" s="8">
        <f t="shared" si="2"/>
        <v>4</v>
      </c>
      <c r="X69" s="8">
        <f>K69*L69*N69</f>
        <v>223555.5552</v>
      </c>
    </row>
    <row r="70" spans="1:24" s="8" customFormat="1" ht="41.5" customHeight="1">
      <c r="A70" s="8" t="s">
        <v>2286</v>
      </c>
      <c r="B70" s="8" t="s">
        <v>2288</v>
      </c>
      <c r="C70" s="9">
        <v>46016.902208217602</v>
      </c>
      <c r="D70" s="8" t="s">
        <v>2056</v>
      </c>
      <c r="E70" s="8" t="s">
        <v>2057</v>
      </c>
      <c r="F70" s="8">
        <v>3</v>
      </c>
      <c r="G70" s="22" t="s">
        <v>2130</v>
      </c>
      <c r="H70" s="8" t="s">
        <v>257</v>
      </c>
      <c r="I70" s="2" t="str">
        <f t="shared" si="1"/>
        <v>Jotun Waterguard 6Kg</v>
      </c>
      <c r="J70" s="8" t="s">
        <v>56</v>
      </c>
      <c r="K70" s="10">
        <v>1</v>
      </c>
      <c r="L70" s="10">
        <v>541666.67000000004</v>
      </c>
      <c r="M70" s="11">
        <v>541666.67000000004</v>
      </c>
      <c r="N70" s="8" t="s">
        <v>16</v>
      </c>
      <c r="O70" s="8" t="s">
        <v>17</v>
      </c>
      <c r="P70" s="8" t="s">
        <v>18</v>
      </c>
      <c r="Q70" s="8" t="s">
        <v>18</v>
      </c>
      <c r="R70" s="8" t="s">
        <v>2110</v>
      </c>
      <c r="S70" s="8" t="s">
        <v>2120</v>
      </c>
      <c r="T70" s="8" t="s">
        <v>2121</v>
      </c>
      <c r="U70" s="8" t="s">
        <v>2122</v>
      </c>
      <c r="V70" s="8" t="s">
        <v>255</v>
      </c>
      <c r="W70" s="8">
        <f t="shared" si="2"/>
        <v>4</v>
      </c>
      <c r="X70" s="8">
        <f>K70*L70*N70</f>
        <v>43333.333600000005</v>
      </c>
    </row>
    <row r="71" spans="1:24" s="8" customFormat="1" ht="41.5" customHeight="1">
      <c r="A71" s="8" t="s">
        <v>2286</v>
      </c>
      <c r="B71" s="8" t="s">
        <v>2288</v>
      </c>
      <c r="C71" s="9">
        <v>46016.902208217602</v>
      </c>
      <c r="D71" s="8" t="s">
        <v>2056</v>
      </c>
      <c r="E71" s="8" t="s">
        <v>2057</v>
      </c>
      <c r="F71" s="8">
        <v>4</v>
      </c>
      <c r="G71" s="22" t="s">
        <v>258</v>
      </c>
      <c r="H71" s="8" t="s">
        <v>258</v>
      </c>
      <c r="I71" s="2" t="str">
        <f t="shared" si="1"/>
        <v>Nhũ NT26 1kg</v>
      </c>
      <c r="J71" s="8" t="s">
        <v>62</v>
      </c>
      <c r="K71" s="10">
        <v>2</v>
      </c>
      <c r="L71" s="10">
        <v>452777.78</v>
      </c>
      <c r="M71" s="11">
        <v>905555.56</v>
      </c>
      <c r="N71" s="8" t="s">
        <v>16</v>
      </c>
      <c r="O71" s="8" t="s">
        <v>17</v>
      </c>
      <c r="P71" s="8" t="s">
        <v>18</v>
      </c>
      <c r="Q71" s="8" t="s">
        <v>18</v>
      </c>
      <c r="R71" s="8" t="s">
        <v>2110</v>
      </c>
      <c r="S71" s="8" t="s">
        <v>2120</v>
      </c>
      <c r="T71" s="8" t="s">
        <v>2121</v>
      </c>
      <c r="U71" s="8" t="s">
        <v>2122</v>
      </c>
      <c r="V71" s="8" t="s">
        <v>255</v>
      </c>
      <c r="W71" s="8">
        <f t="shared" si="2"/>
        <v>4</v>
      </c>
      <c r="X71" s="8">
        <f>K71*L71*N71</f>
        <v>72444.444800000012</v>
      </c>
    </row>
    <row r="72" spans="1:24" s="8" customFormat="1" ht="41.5" customHeight="1">
      <c r="A72" s="8" t="s">
        <v>2286</v>
      </c>
      <c r="B72" s="8" t="s">
        <v>2288</v>
      </c>
      <c r="C72" s="9">
        <v>46016.902208217602</v>
      </c>
      <c r="D72" s="8" t="s">
        <v>2056</v>
      </c>
      <c r="E72" s="8" t="s">
        <v>2057</v>
      </c>
      <c r="F72" s="8">
        <v>5</v>
      </c>
      <c r="G72" s="22" t="s">
        <v>182</v>
      </c>
      <c r="H72" s="8" t="s">
        <v>182</v>
      </c>
      <c r="I72" s="2" t="str">
        <f t="shared" si="1"/>
        <v>Jotashield Primer 17L</v>
      </c>
      <c r="J72" s="8" t="s">
        <v>54</v>
      </c>
      <c r="K72" s="10">
        <v>1</v>
      </c>
      <c r="L72" s="10">
        <v>1805601.85</v>
      </c>
      <c r="M72" s="11">
        <v>1805601.85</v>
      </c>
      <c r="N72" s="8" t="s">
        <v>16</v>
      </c>
      <c r="O72" s="8" t="s">
        <v>17</v>
      </c>
      <c r="P72" s="8" t="s">
        <v>18</v>
      </c>
      <c r="Q72" s="8" t="s">
        <v>18</v>
      </c>
      <c r="R72" s="8" t="s">
        <v>2110</v>
      </c>
      <c r="S72" s="8" t="s">
        <v>2120</v>
      </c>
      <c r="T72" s="8" t="s">
        <v>2121</v>
      </c>
      <c r="U72" s="8" t="s">
        <v>2122</v>
      </c>
      <c r="V72" s="8" t="s">
        <v>255</v>
      </c>
      <c r="W72" s="8">
        <f t="shared" si="2"/>
        <v>4</v>
      </c>
      <c r="X72" s="8">
        <f>K72*L72*N72</f>
        <v>144448.14800000002</v>
      </c>
    </row>
    <row r="73" spans="1:24" s="8" customFormat="1" ht="41.5" customHeight="1">
      <c r="A73" s="8" t="s">
        <v>2286</v>
      </c>
      <c r="B73" s="8" t="s">
        <v>2288</v>
      </c>
      <c r="C73" s="9">
        <v>46016.902208217602</v>
      </c>
      <c r="D73" s="8" t="s">
        <v>2056</v>
      </c>
      <c r="E73" s="8" t="s">
        <v>2057</v>
      </c>
      <c r="F73" s="8">
        <v>6</v>
      </c>
      <c r="G73" s="27" t="s">
        <v>102</v>
      </c>
      <c r="H73" s="8" t="s">
        <v>179</v>
      </c>
      <c r="I73" s="2" t="str">
        <f t="shared" si="1"/>
        <v>Majestic Primer 17L</v>
      </c>
      <c r="J73" s="8" t="s">
        <v>54</v>
      </c>
      <c r="K73" s="10">
        <v>1</v>
      </c>
      <c r="L73" s="10">
        <v>1407453.7</v>
      </c>
      <c r="M73" s="11">
        <v>1407453.7</v>
      </c>
      <c r="N73" s="8" t="s">
        <v>16</v>
      </c>
      <c r="O73" s="8" t="s">
        <v>17</v>
      </c>
      <c r="P73" s="8" t="s">
        <v>18</v>
      </c>
      <c r="Q73" s="8" t="s">
        <v>18</v>
      </c>
      <c r="R73" s="8" t="s">
        <v>2110</v>
      </c>
      <c r="S73" s="8" t="s">
        <v>2120</v>
      </c>
      <c r="T73" s="8" t="s">
        <v>2121</v>
      </c>
      <c r="U73" s="8" t="s">
        <v>2122</v>
      </c>
      <c r="V73" s="8" t="s">
        <v>255</v>
      </c>
      <c r="W73" s="8">
        <f t="shared" si="2"/>
        <v>4</v>
      </c>
      <c r="X73" s="8">
        <f>K73*L73*N73</f>
        <v>112596.296</v>
      </c>
    </row>
    <row r="74" spans="1:24" s="8" customFormat="1" ht="41.5" customHeight="1">
      <c r="A74" s="8" t="s">
        <v>2286</v>
      </c>
      <c r="B74" s="8" t="s">
        <v>2288</v>
      </c>
      <c r="C74" s="9">
        <v>46016.902208217602</v>
      </c>
      <c r="D74" s="8" t="s">
        <v>2056</v>
      </c>
      <c r="E74" s="8" t="s">
        <v>2057</v>
      </c>
      <c r="F74" s="8">
        <v>7</v>
      </c>
      <c r="G74" s="22" t="s">
        <v>101</v>
      </c>
      <c r="H74" s="8" t="s">
        <v>101</v>
      </c>
      <c r="I74" s="2" t="str">
        <f t="shared" si="1"/>
        <v>Majestic đẹp hoàn hảo bóng base A 13.5L</v>
      </c>
      <c r="J74" s="8" t="s">
        <v>54</v>
      </c>
      <c r="K74" s="10">
        <v>5</v>
      </c>
      <c r="L74" s="10">
        <v>1829629.63</v>
      </c>
      <c r="M74" s="11">
        <v>9148148.1500000004</v>
      </c>
      <c r="N74" s="8" t="s">
        <v>16</v>
      </c>
      <c r="O74" s="8" t="s">
        <v>17</v>
      </c>
      <c r="P74" s="8" t="s">
        <v>18</v>
      </c>
      <c r="Q74" s="8" t="s">
        <v>18</v>
      </c>
      <c r="R74" s="8" t="s">
        <v>2110</v>
      </c>
      <c r="S74" s="8" t="s">
        <v>2120</v>
      </c>
      <c r="T74" s="8" t="s">
        <v>2121</v>
      </c>
      <c r="U74" s="8" t="s">
        <v>2122</v>
      </c>
      <c r="V74" s="8" t="s">
        <v>255</v>
      </c>
      <c r="W74" s="8">
        <f t="shared" si="2"/>
        <v>4</v>
      </c>
      <c r="X74" s="8">
        <f>K74*L74*N74</f>
        <v>731851.85199999984</v>
      </c>
    </row>
    <row r="75" spans="1:24" s="8" customFormat="1" ht="41.5" customHeight="1">
      <c r="A75" s="8" t="s">
        <v>2286</v>
      </c>
      <c r="B75" s="8" t="s">
        <v>2288</v>
      </c>
      <c r="C75" s="9">
        <v>46016.902208217602</v>
      </c>
      <c r="D75" s="8" t="s">
        <v>2056</v>
      </c>
      <c r="E75" s="8" t="s">
        <v>2057</v>
      </c>
      <c r="F75" s="8">
        <v>8</v>
      </c>
      <c r="G75" s="22" t="s">
        <v>1299</v>
      </c>
      <c r="H75" s="8" t="s">
        <v>100</v>
      </c>
      <c r="I75" s="2" t="str">
        <f t="shared" si="1"/>
        <v>Majestic đẹp hoàn hảo bóng base A 4.5L</v>
      </c>
      <c r="J75" s="8" t="s">
        <v>56</v>
      </c>
      <c r="K75" s="10">
        <v>4</v>
      </c>
      <c r="L75" s="10">
        <v>640740.74</v>
      </c>
      <c r="M75" s="11">
        <v>2562962.96</v>
      </c>
      <c r="N75" s="8" t="s">
        <v>16</v>
      </c>
      <c r="O75" s="8" t="s">
        <v>17</v>
      </c>
      <c r="P75" s="8" t="s">
        <v>18</v>
      </c>
      <c r="Q75" s="8" t="s">
        <v>18</v>
      </c>
      <c r="R75" s="8" t="s">
        <v>2110</v>
      </c>
      <c r="S75" s="8" t="s">
        <v>2120</v>
      </c>
      <c r="T75" s="8" t="s">
        <v>2121</v>
      </c>
      <c r="U75" s="8" t="s">
        <v>2122</v>
      </c>
      <c r="V75" s="8" t="s">
        <v>255</v>
      </c>
      <c r="W75" s="8">
        <f t="shared" si="2"/>
        <v>4</v>
      </c>
      <c r="X75" s="8">
        <f>K75*L75*N75</f>
        <v>205037.0368</v>
      </c>
    </row>
    <row r="76" spans="1:24" s="8" customFormat="1" ht="41.5" customHeight="1">
      <c r="A76" s="8" t="s">
        <v>2286</v>
      </c>
      <c r="B76" s="8" t="s">
        <v>2288</v>
      </c>
      <c r="C76" s="9">
        <v>46016.902208217602</v>
      </c>
      <c r="D76" s="8" t="s">
        <v>2056</v>
      </c>
      <c r="E76" s="8" t="s">
        <v>2057</v>
      </c>
      <c r="F76" s="8">
        <v>9</v>
      </c>
      <c r="G76" s="22" t="s">
        <v>2132</v>
      </c>
      <c r="H76" s="8" t="s">
        <v>259</v>
      </c>
      <c r="I76" s="2" t="str">
        <f t="shared" si="1"/>
        <v>Essence dễ lau chùi A0.9L</v>
      </c>
      <c r="J76" s="8" t="s">
        <v>56</v>
      </c>
      <c r="K76" s="10">
        <v>1</v>
      </c>
      <c r="L76" s="10">
        <v>92592.59</v>
      </c>
      <c r="M76" s="11">
        <v>92592.59</v>
      </c>
      <c r="N76" s="8" t="s">
        <v>16</v>
      </c>
      <c r="O76" s="8" t="s">
        <v>17</v>
      </c>
      <c r="P76" s="8" t="s">
        <v>18</v>
      </c>
      <c r="Q76" s="8" t="s">
        <v>18</v>
      </c>
      <c r="R76" s="8" t="s">
        <v>2110</v>
      </c>
      <c r="S76" s="8" t="s">
        <v>2120</v>
      </c>
      <c r="T76" s="8" t="s">
        <v>2121</v>
      </c>
      <c r="U76" s="8" t="s">
        <v>2122</v>
      </c>
      <c r="V76" s="8" t="s">
        <v>255</v>
      </c>
      <c r="W76" s="8">
        <f t="shared" si="2"/>
        <v>4</v>
      </c>
      <c r="X76" s="8">
        <f>K76*L76*N76</f>
        <v>7407.4071999999996</v>
      </c>
    </row>
    <row r="77" spans="1:24" s="8" customFormat="1" ht="41.5" customHeight="1">
      <c r="A77" s="8" t="s">
        <v>2280</v>
      </c>
      <c r="B77" s="8" t="s">
        <v>2289</v>
      </c>
      <c r="C77" s="9">
        <v>46019.666703830997</v>
      </c>
      <c r="D77" s="8" t="s">
        <v>2056</v>
      </c>
      <c r="E77" s="8" t="s">
        <v>2057</v>
      </c>
      <c r="F77" s="8">
        <v>1</v>
      </c>
      <c r="G77" s="22" t="s">
        <v>2133</v>
      </c>
      <c r="H77" s="8" t="s">
        <v>104</v>
      </c>
      <c r="I77" s="2" t="str">
        <f t="shared" si="1"/>
        <v>Gạch lát KT600x600</v>
      </c>
      <c r="J77" s="8" t="s">
        <v>55</v>
      </c>
      <c r="K77" s="10">
        <v>196</v>
      </c>
      <c r="L77" s="10">
        <v>167000</v>
      </c>
      <c r="M77" s="11">
        <v>32732000</v>
      </c>
      <c r="N77" s="8" t="s">
        <v>16</v>
      </c>
      <c r="O77" s="8" t="s">
        <v>17</v>
      </c>
      <c r="P77" s="8" t="s">
        <v>18</v>
      </c>
      <c r="Q77" s="8" t="s">
        <v>18</v>
      </c>
      <c r="R77" s="8" t="s">
        <v>2110</v>
      </c>
      <c r="S77" s="8" t="s">
        <v>2198</v>
      </c>
      <c r="T77" s="8" t="s">
        <v>2199</v>
      </c>
      <c r="U77" s="8" t="s">
        <v>2290</v>
      </c>
      <c r="V77" s="8" t="s">
        <v>260</v>
      </c>
      <c r="W77" s="8">
        <f t="shared" si="2"/>
        <v>4</v>
      </c>
      <c r="X77" s="8">
        <f>K77*L77*N77</f>
        <v>2618560</v>
      </c>
    </row>
    <row r="78" spans="1:24" s="8" customFormat="1" ht="41.5" customHeight="1">
      <c r="A78" s="8" t="s">
        <v>2280</v>
      </c>
      <c r="B78" s="8" t="s">
        <v>2289</v>
      </c>
      <c r="C78" s="9">
        <v>46019.666703830997</v>
      </c>
      <c r="D78" s="8" t="s">
        <v>2056</v>
      </c>
      <c r="E78" s="8" t="s">
        <v>2057</v>
      </c>
      <c r="F78" s="8">
        <v>2</v>
      </c>
      <c r="G78" s="19" t="s">
        <v>2134</v>
      </c>
      <c r="H78" s="8" t="s">
        <v>105</v>
      </c>
      <c r="I78" s="2" t="str">
        <f t="shared" si="1"/>
        <v>gạch ốp 30x60</v>
      </c>
      <c r="J78" s="8" t="s">
        <v>55</v>
      </c>
      <c r="K78" s="10">
        <v>114</v>
      </c>
      <c r="L78" s="10">
        <v>155000</v>
      </c>
      <c r="M78" s="11">
        <v>17670000</v>
      </c>
      <c r="N78" s="8" t="s">
        <v>16</v>
      </c>
      <c r="O78" s="8" t="s">
        <v>17</v>
      </c>
      <c r="P78" s="8" t="s">
        <v>18</v>
      </c>
      <c r="Q78" s="8" t="s">
        <v>18</v>
      </c>
      <c r="R78" s="8" t="s">
        <v>2110</v>
      </c>
      <c r="S78" s="8" t="s">
        <v>2198</v>
      </c>
      <c r="T78" s="8" t="s">
        <v>2199</v>
      </c>
      <c r="U78" s="8" t="s">
        <v>2290</v>
      </c>
      <c r="V78" s="8" t="s">
        <v>260</v>
      </c>
      <c r="W78" s="8">
        <f t="shared" si="2"/>
        <v>4</v>
      </c>
      <c r="X78" s="8">
        <f>K78*L78*N78</f>
        <v>1413600</v>
      </c>
    </row>
    <row r="79" spans="1:24" s="8" customFormat="1" ht="41.5" customHeight="1">
      <c r="A79" s="8" t="s">
        <v>2280</v>
      </c>
      <c r="B79" s="8" t="s">
        <v>201</v>
      </c>
      <c r="C79" s="9">
        <v>46007.394158171301</v>
      </c>
      <c r="D79" s="8" t="s">
        <v>2291</v>
      </c>
      <c r="E79" s="8" t="s">
        <v>2057</v>
      </c>
      <c r="F79" s="8">
        <v>1</v>
      </c>
      <c r="G79" s="22" t="s">
        <v>261</v>
      </c>
      <c r="H79" s="8" t="s">
        <v>261</v>
      </c>
      <c r="I79" s="2" t="str">
        <f t="shared" ref="I79:I118" si="3">G79</f>
        <v>Lưới B40 d2,7</v>
      </c>
      <c r="J79" s="8" t="s">
        <v>35</v>
      </c>
      <c r="K79" s="10">
        <v>200</v>
      </c>
      <c r="L79" s="10">
        <v>19500</v>
      </c>
      <c r="M79" s="11">
        <v>3900000</v>
      </c>
      <c r="N79" s="8" t="s">
        <v>30</v>
      </c>
      <c r="O79" s="8" t="s">
        <v>17</v>
      </c>
      <c r="P79" s="8" t="s">
        <v>18</v>
      </c>
      <c r="Q79" s="8" t="s">
        <v>18</v>
      </c>
      <c r="R79" s="8" t="s">
        <v>2110</v>
      </c>
      <c r="S79" s="8" t="s">
        <v>2292</v>
      </c>
      <c r="T79" s="8" t="s">
        <v>2293</v>
      </c>
      <c r="U79" s="8" t="s">
        <v>2294</v>
      </c>
      <c r="V79" s="8" t="s">
        <v>262</v>
      </c>
      <c r="W79" s="8">
        <f t="shared" si="2"/>
        <v>4</v>
      </c>
      <c r="X79" s="8">
        <f>K79*L79*N79</f>
        <v>390000</v>
      </c>
    </row>
    <row r="80" spans="1:24" s="8" customFormat="1" ht="41.5" customHeight="1">
      <c r="A80" s="8" t="s">
        <v>2280</v>
      </c>
      <c r="B80" s="8" t="s">
        <v>201</v>
      </c>
      <c r="C80" s="9">
        <v>46007.394158171301</v>
      </c>
      <c r="D80" s="8" t="s">
        <v>2291</v>
      </c>
      <c r="E80" s="8" t="s">
        <v>2057</v>
      </c>
      <c r="F80" s="8">
        <v>2</v>
      </c>
      <c r="G80" s="22" t="s">
        <v>2135</v>
      </c>
      <c r="H80" s="8" t="s">
        <v>263</v>
      </c>
      <c r="I80" s="2" t="str">
        <f t="shared" si="3"/>
        <v>Dây thép MK D3.0-4.7</v>
      </c>
      <c r="J80" s="8" t="s">
        <v>35</v>
      </c>
      <c r="K80" s="10">
        <v>150</v>
      </c>
      <c r="L80" s="10">
        <v>18600</v>
      </c>
      <c r="M80" s="11">
        <v>2790000</v>
      </c>
      <c r="N80" s="8" t="s">
        <v>30</v>
      </c>
      <c r="O80" s="8" t="s">
        <v>17</v>
      </c>
      <c r="P80" s="8" t="s">
        <v>18</v>
      </c>
      <c r="Q80" s="8" t="s">
        <v>18</v>
      </c>
      <c r="R80" s="8" t="s">
        <v>2110</v>
      </c>
      <c r="S80" s="8" t="s">
        <v>2292</v>
      </c>
      <c r="T80" s="8" t="s">
        <v>2293</v>
      </c>
      <c r="U80" s="8" t="s">
        <v>2294</v>
      </c>
      <c r="V80" s="8" t="s">
        <v>262</v>
      </c>
      <c r="W80" s="8">
        <f t="shared" si="2"/>
        <v>4</v>
      </c>
      <c r="X80" s="8">
        <f>K80*L80*N80</f>
        <v>279000</v>
      </c>
    </row>
    <row r="81" spans="1:24" s="8" customFormat="1" ht="41.5" customHeight="1">
      <c r="A81" s="8" t="s">
        <v>2280</v>
      </c>
      <c r="B81" s="8" t="s">
        <v>201</v>
      </c>
      <c r="C81" s="9">
        <v>46007.394158171301</v>
      </c>
      <c r="D81" s="8" t="s">
        <v>2291</v>
      </c>
      <c r="E81" s="8" t="s">
        <v>2057</v>
      </c>
      <c r="F81" s="8">
        <v>3</v>
      </c>
      <c r="G81" s="27" t="s">
        <v>1339</v>
      </c>
      <c r="H81" s="8" t="s">
        <v>264</v>
      </c>
      <c r="I81" s="2" t="str">
        <f t="shared" si="3"/>
        <v>Dây thép MK D1.0</v>
      </c>
      <c r="J81" s="8" t="s">
        <v>35</v>
      </c>
      <c r="K81" s="10">
        <v>375</v>
      </c>
      <c r="L81" s="10">
        <v>16000</v>
      </c>
      <c r="M81" s="11">
        <v>6000000</v>
      </c>
      <c r="N81" s="8" t="s">
        <v>30</v>
      </c>
      <c r="O81" s="8" t="s">
        <v>17</v>
      </c>
      <c r="P81" s="8" t="s">
        <v>18</v>
      </c>
      <c r="Q81" s="8" t="s">
        <v>18</v>
      </c>
      <c r="R81" s="8" t="s">
        <v>2110</v>
      </c>
      <c r="S81" s="8" t="s">
        <v>2292</v>
      </c>
      <c r="T81" s="8" t="s">
        <v>2293</v>
      </c>
      <c r="U81" s="8" t="s">
        <v>2294</v>
      </c>
      <c r="V81" s="8" t="s">
        <v>262</v>
      </c>
      <c r="W81" s="8">
        <f>ROUNDUP(MONTH(V81)/3,0)</f>
        <v>4</v>
      </c>
      <c r="X81" s="8">
        <f>K81*L81*N81</f>
        <v>600000</v>
      </c>
    </row>
    <row r="82" spans="1:24" s="8" customFormat="1" ht="41.5" customHeight="1">
      <c r="A82" s="8" t="s">
        <v>2280</v>
      </c>
      <c r="B82" s="8" t="s">
        <v>2295</v>
      </c>
      <c r="C82" s="9">
        <v>46009.672340868099</v>
      </c>
      <c r="D82" s="8" t="s">
        <v>2056</v>
      </c>
      <c r="E82" s="8" t="s">
        <v>2057</v>
      </c>
      <c r="F82" s="8">
        <v>1</v>
      </c>
      <c r="G82" s="22" t="s">
        <v>2136</v>
      </c>
      <c r="H82" s="8" t="s">
        <v>131</v>
      </c>
      <c r="I82" s="2" t="str">
        <f t="shared" si="3"/>
        <v>chất kết dính sikadur - 31CF Normal AB 1.2kg/set</v>
      </c>
      <c r="J82" s="8" t="s">
        <v>53</v>
      </c>
      <c r="K82" s="10">
        <v>20</v>
      </c>
      <c r="L82" s="10">
        <v>250000</v>
      </c>
      <c r="M82" s="11">
        <v>5000000</v>
      </c>
      <c r="N82" s="8" t="s">
        <v>16</v>
      </c>
      <c r="O82" s="8" t="s">
        <v>17</v>
      </c>
      <c r="P82" s="8" t="s">
        <v>18</v>
      </c>
      <c r="Q82" s="8" t="s">
        <v>18</v>
      </c>
      <c r="R82" s="8" t="s">
        <v>2110</v>
      </c>
      <c r="S82" s="8" t="s">
        <v>2123</v>
      </c>
      <c r="T82" s="8" t="s">
        <v>2124</v>
      </c>
      <c r="U82" s="8" t="s">
        <v>2125</v>
      </c>
      <c r="V82" s="8" t="s">
        <v>208</v>
      </c>
      <c r="W82" s="8">
        <f>ROUNDUP(MONTH(V82)/3,0)</f>
        <v>4</v>
      </c>
      <c r="X82" s="8">
        <f>K82*L82*N82</f>
        <v>400000</v>
      </c>
    </row>
    <row r="83" spans="1:24" s="8" customFormat="1" ht="41.5" customHeight="1">
      <c r="A83" s="8" t="s">
        <v>2280</v>
      </c>
      <c r="B83" s="8" t="s">
        <v>2295</v>
      </c>
      <c r="C83" s="9">
        <v>46009.672340868099</v>
      </c>
      <c r="D83" s="8" t="s">
        <v>2056</v>
      </c>
      <c r="E83" s="8" t="s">
        <v>2057</v>
      </c>
      <c r="F83" s="8">
        <v>2</v>
      </c>
      <c r="G83" s="22" t="s">
        <v>1477</v>
      </c>
      <c r="H83" s="8" t="s">
        <v>191</v>
      </c>
      <c r="I83" s="2" t="str">
        <f t="shared" si="3"/>
        <v>Polyurethane nguyên sinh TCK - 669 (9kg/thùng)</v>
      </c>
      <c r="J83" s="8" t="s">
        <v>192</v>
      </c>
      <c r="K83" s="10">
        <v>2</v>
      </c>
      <c r="L83" s="10">
        <v>1407407.41</v>
      </c>
      <c r="M83" s="11">
        <v>2814814.82</v>
      </c>
      <c r="N83" s="8" t="s">
        <v>16</v>
      </c>
      <c r="O83" s="8" t="s">
        <v>17</v>
      </c>
      <c r="P83" s="8" t="s">
        <v>18</v>
      </c>
      <c r="Q83" s="8" t="s">
        <v>18</v>
      </c>
      <c r="R83" s="8" t="s">
        <v>2110</v>
      </c>
      <c r="S83" s="8" t="s">
        <v>2123</v>
      </c>
      <c r="T83" s="8" t="s">
        <v>2124</v>
      </c>
      <c r="U83" s="8" t="s">
        <v>2125</v>
      </c>
      <c r="V83" s="8" t="s">
        <v>208</v>
      </c>
      <c r="W83" s="8">
        <f>ROUNDUP(MONTH(V83)/3,0)</f>
        <v>4</v>
      </c>
      <c r="X83" s="8">
        <f>K83*L83*N83</f>
        <v>225185.1856</v>
      </c>
    </row>
    <row r="84" spans="1:24" s="8" customFormat="1" ht="41.5" customHeight="1">
      <c r="A84" s="8" t="s">
        <v>2280</v>
      </c>
      <c r="B84" s="8" t="s">
        <v>2296</v>
      </c>
      <c r="C84" s="9">
        <v>45992.4578384954</v>
      </c>
      <c r="D84" s="8" t="s">
        <v>2056</v>
      </c>
      <c r="E84" s="8" t="s">
        <v>2057</v>
      </c>
      <c r="F84" s="8">
        <v>1</v>
      </c>
      <c r="G84" s="22" t="s">
        <v>1260</v>
      </c>
      <c r="H84" s="8" t="s">
        <v>265</v>
      </c>
      <c r="I84" s="2" t="str">
        <f t="shared" si="3"/>
        <v>Vữa rót sikagrout 214-11</v>
      </c>
      <c r="J84" s="8" t="s">
        <v>35</v>
      </c>
      <c r="K84" s="10">
        <v>1000</v>
      </c>
      <c r="L84" s="10">
        <v>9259.259</v>
      </c>
      <c r="M84" s="11">
        <v>9259259</v>
      </c>
      <c r="N84" s="8" t="s">
        <v>16</v>
      </c>
      <c r="O84" s="8" t="s">
        <v>17</v>
      </c>
      <c r="P84" s="8" t="s">
        <v>18</v>
      </c>
      <c r="Q84" s="8" t="s">
        <v>18</v>
      </c>
      <c r="R84" s="8" t="s">
        <v>2110</v>
      </c>
      <c r="S84" s="8" t="s">
        <v>2123</v>
      </c>
      <c r="T84" s="8" t="s">
        <v>2124</v>
      </c>
      <c r="U84" s="8" t="s">
        <v>2125</v>
      </c>
      <c r="V84" s="8" t="s">
        <v>266</v>
      </c>
      <c r="W84" s="8">
        <f>ROUNDUP(MONTH(V84)/3,0)</f>
        <v>4</v>
      </c>
      <c r="X84" s="8">
        <f>K84*L84*N84</f>
        <v>740740.72</v>
      </c>
    </row>
    <row r="85" spans="1:24" s="8" customFormat="1" ht="41.5" customHeight="1">
      <c r="A85" s="8" t="s">
        <v>2281</v>
      </c>
      <c r="B85" s="8" t="s">
        <v>2297</v>
      </c>
      <c r="C85" s="9">
        <v>46022.705465393497</v>
      </c>
      <c r="D85" s="8" t="s">
        <v>2056</v>
      </c>
      <c r="E85" s="8" t="s">
        <v>2057</v>
      </c>
      <c r="F85" s="8">
        <v>1</v>
      </c>
      <c r="G85" s="27" t="s">
        <v>2140</v>
      </c>
      <c r="H85" s="8" t="s">
        <v>267</v>
      </c>
      <c r="I85" s="2" t="str">
        <f t="shared" si="3"/>
        <v>Thép ống hộp</v>
      </c>
      <c r="J85" s="8" t="s">
        <v>35</v>
      </c>
      <c r="K85" s="10">
        <v>4157.21</v>
      </c>
      <c r="L85" s="10">
        <v>16700.011999999999</v>
      </c>
      <c r="M85" s="11">
        <v>69425455</v>
      </c>
      <c r="N85" s="8" t="s">
        <v>30</v>
      </c>
      <c r="O85" s="8" t="s">
        <v>17</v>
      </c>
      <c r="P85" s="8" t="s">
        <v>18</v>
      </c>
      <c r="Q85" s="8" t="s">
        <v>18</v>
      </c>
      <c r="R85" s="8" t="s">
        <v>2115</v>
      </c>
      <c r="S85" s="8" t="s">
        <v>2126</v>
      </c>
      <c r="T85" s="8" t="s">
        <v>2127</v>
      </c>
      <c r="U85" s="8" t="s">
        <v>2128</v>
      </c>
      <c r="V85" s="8" t="s">
        <v>28</v>
      </c>
      <c r="W85" s="8">
        <f>ROUNDUP(MONTH(V85)/3,0)</f>
        <v>4</v>
      </c>
      <c r="X85" s="8">
        <f>K85*L85*N85</f>
        <v>6942545.6886520004</v>
      </c>
    </row>
    <row r="86" spans="1:24" s="8" customFormat="1" ht="41.5" customHeight="1">
      <c r="A86" s="8" t="s">
        <v>2281</v>
      </c>
      <c r="B86" s="8" t="s">
        <v>2297</v>
      </c>
      <c r="C86" s="9">
        <v>46022.705465393497</v>
      </c>
      <c r="D86" s="8" t="s">
        <v>2056</v>
      </c>
      <c r="E86" s="8" t="s">
        <v>2057</v>
      </c>
      <c r="F86" s="8">
        <v>2</v>
      </c>
      <c r="G86" s="27" t="s">
        <v>2140</v>
      </c>
      <c r="H86" s="8" t="s">
        <v>268</v>
      </c>
      <c r="I86" s="2" t="str">
        <f t="shared" si="3"/>
        <v>Thép ống hộp</v>
      </c>
      <c r="J86" s="8" t="s">
        <v>35</v>
      </c>
      <c r="K86" s="10">
        <v>348.12</v>
      </c>
      <c r="L86" s="10">
        <v>16700.093000000001</v>
      </c>
      <c r="M86" s="11">
        <v>5813636</v>
      </c>
      <c r="N86" s="8" t="s">
        <v>30</v>
      </c>
      <c r="O86" s="8" t="s">
        <v>17</v>
      </c>
      <c r="P86" s="8" t="s">
        <v>18</v>
      </c>
      <c r="Q86" s="8" t="s">
        <v>18</v>
      </c>
      <c r="R86" s="8" t="s">
        <v>2115</v>
      </c>
      <c r="S86" s="8" t="s">
        <v>2126</v>
      </c>
      <c r="T86" s="8" t="s">
        <v>2127</v>
      </c>
      <c r="U86" s="8" t="s">
        <v>2128</v>
      </c>
      <c r="V86" s="8" t="s">
        <v>28</v>
      </c>
      <c r="W86" s="8">
        <f>ROUNDUP(MONTH(V86)/3,0)</f>
        <v>4</v>
      </c>
      <c r="X86" s="8">
        <f>K86*L86*N86</f>
        <v>581363.63751600008</v>
      </c>
    </row>
    <row r="87" spans="1:24" s="13" customFormat="1" ht="41.5" customHeight="1">
      <c r="A87" s="8" t="s">
        <v>2281</v>
      </c>
      <c r="B87" s="13" t="s">
        <v>2297</v>
      </c>
      <c r="C87" s="14">
        <v>46022.705465393497</v>
      </c>
      <c r="D87" s="13" t="s">
        <v>2056</v>
      </c>
      <c r="E87" s="13" t="s">
        <v>2057</v>
      </c>
      <c r="F87" s="13">
        <v>3</v>
      </c>
      <c r="G87" s="28" t="s">
        <v>1363</v>
      </c>
      <c r="H87" s="13" t="s">
        <v>132</v>
      </c>
      <c r="I87" s="2" t="str">
        <f t="shared" si="3"/>
        <v>Tôn màu</v>
      </c>
      <c r="J87" s="13" t="s">
        <v>106</v>
      </c>
      <c r="K87" s="15">
        <v>1687.62</v>
      </c>
      <c r="L87" s="15">
        <v>71200.323999999993</v>
      </c>
      <c r="M87" s="16">
        <v>120159091</v>
      </c>
      <c r="N87" s="13" t="s">
        <v>30</v>
      </c>
      <c r="O87" s="13" t="s">
        <v>17</v>
      </c>
      <c r="P87" s="13" t="s">
        <v>18</v>
      </c>
      <c r="Q87" s="13" t="s">
        <v>18</v>
      </c>
      <c r="R87" s="13" t="s">
        <v>2115</v>
      </c>
      <c r="S87" s="13" t="s">
        <v>2126</v>
      </c>
      <c r="T87" s="13" t="s">
        <v>2127</v>
      </c>
      <c r="U87" s="13" t="s">
        <v>2128</v>
      </c>
      <c r="V87" s="13" t="s">
        <v>28</v>
      </c>
      <c r="W87" s="13">
        <f>ROUNDUP(MONTH(V87)/3,0)</f>
        <v>4</v>
      </c>
      <c r="X87" s="8">
        <f>K87*L87*N87</f>
        <v>12015909.078887999</v>
      </c>
    </row>
    <row r="88" spans="1:24" s="8" customFormat="1" ht="41.5" customHeight="1">
      <c r="A88" s="8" t="s">
        <v>2281</v>
      </c>
      <c r="B88" s="8" t="s">
        <v>2298</v>
      </c>
      <c r="C88" s="9">
        <v>46008.610278391199</v>
      </c>
      <c r="D88" s="8" t="s">
        <v>2056</v>
      </c>
      <c r="E88" s="8" t="s">
        <v>2057</v>
      </c>
      <c r="F88" s="8">
        <v>1</v>
      </c>
      <c r="G88" s="27" t="s">
        <v>2140</v>
      </c>
      <c r="H88" s="8" t="s">
        <v>267</v>
      </c>
      <c r="I88" s="2" t="str">
        <f t="shared" si="3"/>
        <v>Thép ống hộp</v>
      </c>
      <c r="J88" s="8" t="s">
        <v>35</v>
      </c>
      <c r="K88" s="10">
        <v>7952.24</v>
      </c>
      <c r="L88" s="10">
        <v>16600.019</v>
      </c>
      <c r="M88" s="11">
        <v>132007336</v>
      </c>
      <c r="N88" s="8" t="s">
        <v>30</v>
      </c>
      <c r="O88" s="8" t="s">
        <v>17</v>
      </c>
      <c r="P88" s="8" t="s">
        <v>18</v>
      </c>
      <c r="Q88" s="8" t="s">
        <v>18</v>
      </c>
      <c r="R88" s="8" t="s">
        <v>2115</v>
      </c>
      <c r="S88" s="8" t="s">
        <v>2126</v>
      </c>
      <c r="T88" s="8" t="s">
        <v>2127</v>
      </c>
      <c r="U88" s="8" t="s">
        <v>2128</v>
      </c>
      <c r="V88" s="8" t="s">
        <v>269</v>
      </c>
      <c r="W88" s="8">
        <f>ROUNDUP(MONTH(V88)/3,0)</f>
        <v>4</v>
      </c>
      <c r="X88" s="8">
        <f>K88*L88*N88</f>
        <v>13200733.509256</v>
      </c>
    </row>
    <row r="89" spans="1:24" s="8" customFormat="1" ht="41.5" customHeight="1">
      <c r="A89" s="8" t="s">
        <v>2281</v>
      </c>
      <c r="B89" s="8" t="s">
        <v>2299</v>
      </c>
      <c r="C89" s="9">
        <v>46003.774230937503</v>
      </c>
      <c r="D89" s="8" t="s">
        <v>2056</v>
      </c>
      <c r="E89" s="8" t="s">
        <v>2057</v>
      </c>
      <c r="F89" s="8">
        <v>1</v>
      </c>
      <c r="G89" s="27" t="s">
        <v>2140</v>
      </c>
      <c r="H89" s="8" t="s">
        <v>267</v>
      </c>
      <c r="I89" s="2" t="str">
        <f t="shared" si="3"/>
        <v>Thép ống hộp</v>
      </c>
      <c r="J89" s="8" t="s">
        <v>35</v>
      </c>
      <c r="K89" s="10">
        <v>19226.39</v>
      </c>
      <c r="L89" s="10">
        <v>16600.006000000001</v>
      </c>
      <c r="M89" s="11">
        <v>319158183</v>
      </c>
      <c r="N89" s="8" t="s">
        <v>30</v>
      </c>
      <c r="O89" s="8" t="s">
        <v>17</v>
      </c>
      <c r="P89" s="8" t="s">
        <v>18</v>
      </c>
      <c r="Q89" s="8" t="s">
        <v>18</v>
      </c>
      <c r="R89" s="8" t="s">
        <v>2115</v>
      </c>
      <c r="S89" s="8" t="s">
        <v>2126</v>
      </c>
      <c r="T89" s="8" t="s">
        <v>2127</v>
      </c>
      <c r="U89" s="8" t="s">
        <v>2128</v>
      </c>
      <c r="V89" s="8" t="s">
        <v>270</v>
      </c>
      <c r="W89" s="8">
        <f>ROUNDUP(MONTH(V89)/3,0)</f>
        <v>4</v>
      </c>
      <c r="X89" s="8">
        <f>K89*L89*N89</f>
        <v>31915818.935834005</v>
      </c>
    </row>
    <row r="90" spans="1:24" s="8" customFormat="1" ht="41.5" customHeight="1">
      <c r="A90" s="8" t="s">
        <v>2281</v>
      </c>
      <c r="B90" s="8" t="s">
        <v>2300</v>
      </c>
      <c r="C90" s="9">
        <v>46000.8026358102</v>
      </c>
      <c r="D90" s="8" t="s">
        <v>2056</v>
      </c>
      <c r="E90" s="8" t="s">
        <v>2057</v>
      </c>
      <c r="F90" s="8">
        <v>1</v>
      </c>
      <c r="G90" s="22" t="s">
        <v>109</v>
      </c>
      <c r="H90" s="8" t="s">
        <v>109</v>
      </c>
      <c r="I90" s="2" t="str">
        <f t="shared" si="3"/>
        <v>Silicone trung tính S5 trắng</v>
      </c>
      <c r="J90" s="8" t="s">
        <v>60</v>
      </c>
      <c r="K90" s="10">
        <v>60</v>
      </c>
      <c r="L90" s="10">
        <v>34722.222000000002</v>
      </c>
      <c r="M90" s="11">
        <v>2083333</v>
      </c>
      <c r="N90" s="8" t="s">
        <v>16</v>
      </c>
      <c r="O90" s="8" t="s">
        <v>17</v>
      </c>
      <c r="P90" s="8" t="s">
        <v>18</v>
      </c>
      <c r="Q90" s="8" t="s">
        <v>18</v>
      </c>
      <c r="R90" s="8" t="s">
        <v>2115</v>
      </c>
      <c r="S90" s="8" t="s">
        <v>2126</v>
      </c>
      <c r="T90" s="8" t="s">
        <v>2127</v>
      </c>
      <c r="U90" s="8" t="s">
        <v>2128</v>
      </c>
      <c r="V90" s="8" t="s">
        <v>210</v>
      </c>
      <c r="W90" s="8">
        <f>ROUNDUP(MONTH(V90)/3,0)</f>
        <v>4</v>
      </c>
      <c r="X90" s="8">
        <f>K90*L90*N90</f>
        <v>166666.66560000001</v>
      </c>
    </row>
    <row r="91" spans="1:24" s="8" customFormat="1" ht="41.5" customHeight="1">
      <c r="A91" s="8" t="s">
        <v>2281</v>
      </c>
      <c r="B91" s="8" t="s">
        <v>2300</v>
      </c>
      <c r="C91" s="9">
        <v>46000.8026358102</v>
      </c>
      <c r="D91" s="8" t="s">
        <v>2056</v>
      </c>
      <c r="E91" s="8" t="s">
        <v>2057</v>
      </c>
      <c r="F91" s="8">
        <v>2</v>
      </c>
      <c r="G91" s="22" t="s">
        <v>1321</v>
      </c>
      <c r="H91" s="8" t="s">
        <v>107</v>
      </c>
      <c r="I91" s="2" t="str">
        <f t="shared" si="3"/>
        <v>Keo crylic S1</v>
      </c>
      <c r="J91" s="8" t="s">
        <v>60</v>
      </c>
      <c r="K91" s="10">
        <v>60</v>
      </c>
      <c r="L91" s="10">
        <v>20370.37</v>
      </c>
      <c r="M91" s="11">
        <v>1222222</v>
      </c>
      <c r="N91" s="8" t="s">
        <v>16</v>
      </c>
      <c r="O91" s="8" t="s">
        <v>17</v>
      </c>
      <c r="P91" s="8" t="s">
        <v>18</v>
      </c>
      <c r="Q91" s="8" t="s">
        <v>18</v>
      </c>
      <c r="R91" s="8" t="s">
        <v>2115</v>
      </c>
      <c r="S91" s="8" t="s">
        <v>2126</v>
      </c>
      <c r="T91" s="8" t="s">
        <v>2127</v>
      </c>
      <c r="U91" s="8" t="s">
        <v>2128</v>
      </c>
      <c r="V91" s="8" t="s">
        <v>210</v>
      </c>
      <c r="W91" s="8">
        <f>ROUNDUP(MONTH(V91)/3,0)</f>
        <v>4</v>
      </c>
      <c r="X91" s="8">
        <f>K91*L91*N91</f>
        <v>97777.775999999998</v>
      </c>
    </row>
    <row r="92" spans="1:24" s="8" customFormat="1" ht="41.5" customHeight="1">
      <c r="A92" s="8" t="s">
        <v>2281</v>
      </c>
      <c r="B92" s="8" t="s">
        <v>2300</v>
      </c>
      <c r="C92" s="9">
        <v>46000.8026358102</v>
      </c>
      <c r="D92" s="8" t="s">
        <v>2056</v>
      </c>
      <c r="E92" s="8" t="s">
        <v>2057</v>
      </c>
      <c r="F92" s="8">
        <v>3</v>
      </c>
      <c r="G92" s="22" t="s">
        <v>108</v>
      </c>
      <c r="H92" s="8" t="s">
        <v>108</v>
      </c>
      <c r="I92" s="2" t="str">
        <f t="shared" si="3"/>
        <v>Silicone trung tính S5 đen</v>
      </c>
      <c r="J92" s="8" t="s">
        <v>60</v>
      </c>
      <c r="K92" s="10">
        <v>30</v>
      </c>
      <c r="L92" s="10">
        <v>34259.258999999998</v>
      </c>
      <c r="M92" s="11">
        <v>1027778</v>
      </c>
      <c r="N92" s="8" t="s">
        <v>16</v>
      </c>
      <c r="O92" s="8" t="s">
        <v>17</v>
      </c>
      <c r="P92" s="8" t="s">
        <v>18</v>
      </c>
      <c r="Q92" s="8" t="s">
        <v>18</v>
      </c>
      <c r="R92" s="8" t="s">
        <v>2115</v>
      </c>
      <c r="S92" s="8" t="s">
        <v>2126</v>
      </c>
      <c r="T92" s="8" t="s">
        <v>2127</v>
      </c>
      <c r="U92" s="8" t="s">
        <v>2128</v>
      </c>
      <c r="V92" s="8" t="s">
        <v>210</v>
      </c>
      <c r="W92" s="8">
        <f>ROUNDUP(MONTH(V92)/3,0)</f>
        <v>4</v>
      </c>
      <c r="X92" s="8">
        <f>K92*L92*N92</f>
        <v>82222.22159999999</v>
      </c>
    </row>
    <row r="93" spans="1:24" s="8" customFormat="1" ht="41.5" customHeight="1">
      <c r="A93" s="8" t="s">
        <v>2281</v>
      </c>
      <c r="B93" s="8" t="s">
        <v>2301</v>
      </c>
      <c r="C93" s="9">
        <v>45993.680869444397</v>
      </c>
      <c r="D93" s="8" t="s">
        <v>2056</v>
      </c>
      <c r="E93" s="8" t="s">
        <v>2057</v>
      </c>
      <c r="F93" s="8">
        <v>1</v>
      </c>
      <c r="G93" s="22" t="s">
        <v>2141</v>
      </c>
      <c r="H93" s="8" t="s">
        <v>271</v>
      </c>
      <c r="I93" s="2" t="str">
        <f t="shared" si="3"/>
        <v>Thép góc L50</v>
      </c>
      <c r="J93" s="8" t="s">
        <v>35</v>
      </c>
      <c r="K93" s="10">
        <v>17474</v>
      </c>
      <c r="L93" s="10">
        <v>14545.455</v>
      </c>
      <c r="M93" s="11">
        <v>254167273</v>
      </c>
      <c r="N93" s="8" t="s">
        <v>30</v>
      </c>
      <c r="O93" s="8" t="s">
        <v>17</v>
      </c>
      <c r="P93" s="8" t="s">
        <v>18</v>
      </c>
      <c r="Q93" s="8" t="s">
        <v>18</v>
      </c>
      <c r="R93" s="8" t="s">
        <v>2115</v>
      </c>
      <c r="S93" s="8" t="s">
        <v>2126</v>
      </c>
      <c r="T93" s="8" t="s">
        <v>2127</v>
      </c>
      <c r="U93" s="8" t="s">
        <v>2128</v>
      </c>
      <c r="V93" s="8" t="s">
        <v>272</v>
      </c>
      <c r="W93" s="8">
        <f>ROUNDUP(MONTH(V93)/3,0)</f>
        <v>4</v>
      </c>
      <c r="X93" s="8">
        <f>K93*L93*N93</f>
        <v>25416728.067000002</v>
      </c>
    </row>
    <row r="94" spans="1:24" s="8" customFormat="1" ht="41.5" customHeight="1">
      <c r="A94" s="8" t="s">
        <v>2281</v>
      </c>
      <c r="B94" s="8" t="s">
        <v>2301</v>
      </c>
      <c r="C94" s="9">
        <v>45993.680869444397</v>
      </c>
      <c r="D94" s="8" t="s">
        <v>2056</v>
      </c>
      <c r="E94" s="8" t="s">
        <v>2057</v>
      </c>
      <c r="F94" s="8">
        <v>2</v>
      </c>
      <c r="G94" s="22" t="s">
        <v>2141</v>
      </c>
      <c r="H94" s="8" t="s">
        <v>273</v>
      </c>
      <c r="I94" s="2" t="str">
        <f t="shared" si="3"/>
        <v>Thép góc L50</v>
      </c>
      <c r="J94" s="8" t="s">
        <v>35</v>
      </c>
      <c r="K94" s="10">
        <v>2524</v>
      </c>
      <c r="L94" s="10">
        <v>14545.454</v>
      </c>
      <c r="M94" s="11">
        <v>36712727</v>
      </c>
      <c r="N94" s="8" t="s">
        <v>30</v>
      </c>
      <c r="O94" s="8" t="s">
        <v>17</v>
      </c>
      <c r="P94" s="8" t="s">
        <v>18</v>
      </c>
      <c r="Q94" s="8" t="s">
        <v>18</v>
      </c>
      <c r="R94" s="8" t="s">
        <v>2115</v>
      </c>
      <c r="S94" s="8" t="s">
        <v>2126</v>
      </c>
      <c r="T94" s="8" t="s">
        <v>2127</v>
      </c>
      <c r="U94" s="8" t="s">
        <v>2128</v>
      </c>
      <c r="V94" s="8" t="s">
        <v>272</v>
      </c>
      <c r="W94" s="8">
        <f>ROUNDUP(MONTH(V94)/3,0)</f>
        <v>4</v>
      </c>
      <c r="X94" s="8">
        <f>K94*L94*N94</f>
        <v>3671272.5896000001</v>
      </c>
    </row>
    <row r="95" spans="1:24" s="8" customFormat="1" ht="41.5" customHeight="1">
      <c r="A95" s="8" t="s">
        <v>2302</v>
      </c>
      <c r="B95" s="8" t="s">
        <v>2303</v>
      </c>
      <c r="C95" s="9">
        <v>46020.718871307901</v>
      </c>
      <c r="D95" s="8" t="s">
        <v>2056</v>
      </c>
      <c r="E95" s="8" t="s">
        <v>2057</v>
      </c>
      <c r="F95" s="8">
        <v>1</v>
      </c>
      <c r="G95" s="27" t="s">
        <v>2140</v>
      </c>
      <c r="H95" s="8" t="s">
        <v>274</v>
      </c>
      <c r="I95" s="2" t="str">
        <f t="shared" si="3"/>
        <v>Thép ống hộp</v>
      </c>
      <c r="J95" s="8" t="s">
        <v>62</v>
      </c>
      <c r="K95" s="10">
        <v>188.5</v>
      </c>
      <c r="L95" s="10">
        <v>17363.64</v>
      </c>
      <c r="M95" s="11">
        <v>3273046</v>
      </c>
      <c r="N95" s="8" t="s">
        <v>30</v>
      </c>
      <c r="O95" s="8" t="s">
        <v>17</v>
      </c>
      <c r="P95" s="8" t="s">
        <v>18</v>
      </c>
      <c r="Q95" s="8" t="s">
        <v>18</v>
      </c>
      <c r="R95" s="8" t="s">
        <v>2115</v>
      </c>
      <c r="S95" s="8" t="s">
        <v>2137</v>
      </c>
      <c r="T95" s="8" t="s">
        <v>2138</v>
      </c>
      <c r="U95" s="8" t="s">
        <v>2139</v>
      </c>
      <c r="V95" s="8" t="s">
        <v>275</v>
      </c>
      <c r="W95" s="8">
        <f>ROUNDUP(MONTH(V95)/3,0)</f>
        <v>4</v>
      </c>
      <c r="X95" s="8">
        <f>K95*L95*N95</f>
        <v>327304.614</v>
      </c>
    </row>
    <row r="96" spans="1:24" s="8" customFormat="1" ht="41.5" customHeight="1">
      <c r="A96" s="8" t="s">
        <v>2302</v>
      </c>
      <c r="B96" s="8" t="s">
        <v>2303</v>
      </c>
      <c r="C96" s="9">
        <v>46020.718871307901</v>
      </c>
      <c r="D96" s="8" t="s">
        <v>2056</v>
      </c>
      <c r="E96" s="8" t="s">
        <v>2057</v>
      </c>
      <c r="F96" s="8">
        <v>2</v>
      </c>
      <c r="G96" s="27" t="s">
        <v>2140</v>
      </c>
      <c r="H96" s="8" t="s">
        <v>196</v>
      </c>
      <c r="I96" s="2" t="str">
        <f t="shared" si="3"/>
        <v>Thép ống hộp</v>
      </c>
      <c r="J96" s="8" t="s">
        <v>62</v>
      </c>
      <c r="K96" s="10">
        <v>387</v>
      </c>
      <c r="L96" s="10">
        <v>17363.64</v>
      </c>
      <c r="M96" s="11">
        <v>6719729</v>
      </c>
      <c r="N96" s="8" t="s">
        <v>30</v>
      </c>
      <c r="O96" s="8" t="s">
        <v>17</v>
      </c>
      <c r="P96" s="8" t="s">
        <v>18</v>
      </c>
      <c r="Q96" s="8" t="s">
        <v>18</v>
      </c>
      <c r="R96" s="8" t="s">
        <v>2115</v>
      </c>
      <c r="S96" s="8" t="s">
        <v>2137</v>
      </c>
      <c r="T96" s="8" t="s">
        <v>2138</v>
      </c>
      <c r="U96" s="8" t="s">
        <v>2139</v>
      </c>
      <c r="V96" s="8" t="s">
        <v>275</v>
      </c>
      <c r="W96" s="8">
        <f>ROUNDUP(MONTH(V96)/3,0)</f>
        <v>4</v>
      </c>
      <c r="X96" s="8">
        <f>K96*L96*N96</f>
        <v>671972.86800000002</v>
      </c>
    </row>
    <row r="97" spans="1:24" s="8" customFormat="1" ht="41.5" customHeight="1">
      <c r="A97" s="8" t="s">
        <v>2302</v>
      </c>
      <c r="B97" s="8" t="s">
        <v>2303</v>
      </c>
      <c r="C97" s="9">
        <v>46020.718871307901</v>
      </c>
      <c r="D97" s="8" t="s">
        <v>2056</v>
      </c>
      <c r="E97" s="8" t="s">
        <v>2057</v>
      </c>
      <c r="F97" s="8">
        <v>3</v>
      </c>
      <c r="G97" s="27" t="s">
        <v>2140</v>
      </c>
      <c r="H97" s="8" t="s">
        <v>77</v>
      </c>
      <c r="I97" s="2" t="str">
        <f t="shared" si="3"/>
        <v>Thép ống hộp</v>
      </c>
      <c r="J97" s="8" t="s">
        <v>62</v>
      </c>
      <c r="K97" s="10">
        <v>192.09</v>
      </c>
      <c r="L97" s="10">
        <v>17363.64</v>
      </c>
      <c r="M97" s="11">
        <v>3335382</v>
      </c>
      <c r="N97" s="8" t="s">
        <v>30</v>
      </c>
      <c r="O97" s="8" t="s">
        <v>17</v>
      </c>
      <c r="P97" s="8" t="s">
        <v>18</v>
      </c>
      <c r="Q97" s="8" t="s">
        <v>18</v>
      </c>
      <c r="R97" s="8" t="s">
        <v>2115</v>
      </c>
      <c r="S97" s="8" t="s">
        <v>2137</v>
      </c>
      <c r="T97" s="8" t="s">
        <v>2138</v>
      </c>
      <c r="U97" s="8" t="s">
        <v>2139</v>
      </c>
      <c r="V97" s="8" t="s">
        <v>275</v>
      </c>
      <c r="W97" s="8">
        <f>ROUNDUP(MONTH(V97)/3,0)</f>
        <v>4</v>
      </c>
      <c r="X97" s="8">
        <f>K97*L97*N97</f>
        <v>333538.16076</v>
      </c>
    </row>
    <row r="98" spans="1:24" s="8" customFormat="1" ht="41.5" customHeight="1">
      <c r="A98" s="8" t="s">
        <v>2302</v>
      </c>
      <c r="B98" s="8" t="s">
        <v>2303</v>
      </c>
      <c r="C98" s="9">
        <v>46020.718871307901</v>
      </c>
      <c r="D98" s="8" t="s">
        <v>2056</v>
      </c>
      <c r="E98" s="8" t="s">
        <v>2057</v>
      </c>
      <c r="F98" s="8">
        <v>4</v>
      </c>
      <c r="G98" s="22" t="s">
        <v>159</v>
      </c>
      <c r="H98" s="8" t="s">
        <v>159</v>
      </c>
      <c r="I98" s="2" t="str">
        <f t="shared" si="3"/>
        <v>Hộp Inox 304</v>
      </c>
      <c r="J98" s="8" t="s">
        <v>62</v>
      </c>
      <c r="K98" s="10">
        <v>262.25</v>
      </c>
      <c r="L98" s="10">
        <v>57000</v>
      </c>
      <c r="M98" s="11">
        <v>14948250</v>
      </c>
      <c r="N98" s="8" t="s">
        <v>30</v>
      </c>
      <c r="O98" s="8" t="s">
        <v>17</v>
      </c>
      <c r="P98" s="8" t="s">
        <v>18</v>
      </c>
      <c r="Q98" s="8" t="s">
        <v>18</v>
      </c>
      <c r="R98" s="8" t="s">
        <v>2115</v>
      </c>
      <c r="S98" s="8" t="s">
        <v>2137</v>
      </c>
      <c r="T98" s="8" t="s">
        <v>2138</v>
      </c>
      <c r="U98" s="8" t="s">
        <v>2139</v>
      </c>
      <c r="V98" s="8" t="s">
        <v>275</v>
      </c>
      <c r="W98" s="8">
        <f>ROUNDUP(MONTH(V98)/3,0)</f>
        <v>4</v>
      </c>
      <c r="X98" s="8">
        <f>K98*L98*N98</f>
        <v>1494825</v>
      </c>
    </row>
    <row r="99" spans="1:24" s="8" customFormat="1" ht="41.5" customHeight="1">
      <c r="A99" s="8" t="s">
        <v>2302</v>
      </c>
      <c r="B99" s="8" t="s">
        <v>2303</v>
      </c>
      <c r="C99" s="9">
        <v>46020.718871307901</v>
      </c>
      <c r="D99" s="8" t="s">
        <v>2056</v>
      </c>
      <c r="E99" s="8" t="s">
        <v>2057</v>
      </c>
      <c r="F99" s="8">
        <v>5</v>
      </c>
      <c r="G99" s="27" t="s">
        <v>2140</v>
      </c>
      <c r="H99" s="8" t="s">
        <v>276</v>
      </c>
      <c r="I99" s="2" t="str">
        <f t="shared" si="3"/>
        <v>Thép ống hộp</v>
      </c>
      <c r="J99" s="8" t="s">
        <v>62</v>
      </c>
      <c r="K99" s="10">
        <v>121.6</v>
      </c>
      <c r="L99" s="10">
        <v>17363.64</v>
      </c>
      <c r="M99" s="11">
        <v>2111419</v>
      </c>
      <c r="N99" s="8" t="s">
        <v>30</v>
      </c>
      <c r="O99" s="8" t="s">
        <v>17</v>
      </c>
      <c r="P99" s="8" t="s">
        <v>18</v>
      </c>
      <c r="Q99" s="8" t="s">
        <v>18</v>
      </c>
      <c r="R99" s="8" t="s">
        <v>2115</v>
      </c>
      <c r="S99" s="8" t="s">
        <v>2137</v>
      </c>
      <c r="T99" s="8" t="s">
        <v>2138</v>
      </c>
      <c r="U99" s="8" t="s">
        <v>2139</v>
      </c>
      <c r="V99" s="8" t="s">
        <v>275</v>
      </c>
      <c r="W99" s="8">
        <f>ROUNDUP(MONTH(V99)/3,0)</f>
        <v>4</v>
      </c>
      <c r="X99" s="8">
        <f>K99*L99*N99</f>
        <v>211141.86239999998</v>
      </c>
    </row>
    <row r="100" spans="1:24" s="8" customFormat="1" ht="41.5" customHeight="1">
      <c r="A100" s="8" t="s">
        <v>2302</v>
      </c>
      <c r="B100" s="8" t="s">
        <v>2303</v>
      </c>
      <c r="C100" s="9">
        <v>46020.718871307901</v>
      </c>
      <c r="D100" s="8" t="s">
        <v>2056</v>
      </c>
      <c r="E100" s="8" t="s">
        <v>2057</v>
      </c>
      <c r="F100" s="8">
        <v>6</v>
      </c>
      <c r="G100" s="27" t="s">
        <v>2140</v>
      </c>
      <c r="H100" s="8" t="s">
        <v>277</v>
      </c>
      <c r="I100" s="2" t="str">
        <f t="shared" si="3"/>
        <v>Thép ống hộp</v>
      </c>
      <c r="J100" s="8" t="s">
        <v>62</v>
      </c>
      <c r="K100" s="10">
        <v>104.6</v>
      </c>
      <c r="L100" s="10">
        <v>17363.64</v>
      </c>
      <c r="M100" s="11">
        <v>1816237</v>
      </c>
      <c r="N100" s="8" t="s">
        <v>30</v>
      </c>
      <c r="O100" s="8" t="s">
        <v>17</v>
      </c>
      <c r="P100" s="8" t="s">
        <v>18</v>
      </c>
      <c r="Q100" s="8" t="s">
        <v>18</v>
      </c>
      <c r="R100" s="8" t="s">
        <v>2115</v>
      </c>
      <c r="S100" s="8" t="s">
        <v>2137</v>
      </c>
      <c r="T100" s="8" t="s">
        <v>2138</v>
      </c>
      <c r="U100" s="8" t="s">
        <v>2139</v>
      </c>
      <c r="V100" s="8" t="s">
        <v>275</v>
      </c>
      <c r="W100" s="8">
        <f>ROUNDUP(MONTH(V100)/3,0)</f>
        <v>4</v>
      </c>
      <c r="X100" s="8">
        <f>K100*L100*N100</f>
        <v>181623.67440000002</v>
      </c>
    </row>
    <row r="101" spans="1:24" s="8" customFormat="1" ht="41.5" customHeight="1">
      <c r="A101" s="8" t="s">
        <v>2302</v>
      </c>
      <c r="B101" s="8" t="s">
        <v>2303</v>
      </c>
      <c r="C101" s="9">
        <v>46020.718871307901</v>
      </c>
      <c r="D101" s="8" t="s">
        <v>2056</v>
      </c>
      <c r="E101" s="8" t="s">
        <v>2057</v>
      </c>
      <c r="F101" s="8">
        <v>7</v>
      </c>
      <c r="G101" s="27" t="s">
        <v>2140</v>
      </c>
      <c r="H101" s="8" t="s">
        <v>278</v>
      </c>
      <c r="I101" s="2" t="str">
        <f t="shared" si="3"/>
        <v>Thép ống hộp</v>
      </c>
      <c r="J101" s="8" t="s">
        <v>62</v>
      </c>
      <c r="K101" s="10">
        <v>61.5</v>
      </c>
      <c r="L101" s="10">
        <v>17363.64</v>
      </c>
      <c r="M101" s="11">
        <v>1067864</v>
      </c>
      <c r="N101" s="8" t="s">
        <v>30</v>
      </c>
      <c r="O101" s="8" t="s">
        <v>17</v>
      </c>
      <c r="P101" s="8" t="s">
        <v>18</v>
      </c>
      <c r="Q101" s="8" t="s">
        <v>18</v>
      </c>
      <c r="R101" s="8" t="s">
        <v>2115</v>
      </c>
      <c r="S101" s="8" t="s">
        <v>2137</v>
      </c>
      <c r="T101" s="8" t="s">
        <v>2138</v>
      </c>
      <c r="U101" s="8" t="s">
        <v>2139</v>
      </c>
      <c r="V101" s="8" t="s">
        <v>275</v>
      </c>
      <c r="W101" s="8">
        <f>ROUNDUP(MONTH(V101)/3,0)</f>
        <v>4</v>
      </c>
      <c r="X101" s="8">
        <f>K101*L101*N101</f>
        <v>106786.386</v>
      </c>
    </row>
    <row r="102" spans="1:24" s="8" customFormat="1" ht="41.5" customHeight="1">
      <c r="A102" s="8" t="s">
        <v>2302</v>
      </c>
      <c r="B102" s="8" t="s">
        <v>2303</v>
      </c>
      <c r="C102" s="9">
        <v>46020.718871307901</v>
      </c>
      <c r="D102" s="8" t="s">
        <v>2056</v>
      </c>
      <c r="E102" s="8" t="s">
        <v>2057</v>
      </c>
      <c r="F102" s="8">
        <v>8</v>
      </c>
      <c r="G102" s="22" t="s">
        <v>1346</v>
      </c>
      <c r="H102" s="8" t="s">
        <v>70</v>
      </c>
      <c r="I102" s="2" t="str">
        <f t="shared" si="3"/>
        <v>Tôn xốp</v>
      </c>
      <c r="J102" s="8" t="s">
        <v>71</v>
      </c>
      <c r="K102" s="10">
        <v>231</v>
      </c>
      <c r="L102" s="10">
        <v>130090.91</v>
      </c>
      <c r="M102" s="11">
        <v>30051000</v>
      </c>
      <c r="N102" s="8" t="s">
        <v>30</v>
      </c>
      <c r="O102" s="8" t="s">
        <v>17</v>
      </c>
      <c r="P102" s="8" t="s">
        <v>18</v>
      </c>
      <c r="Q102" s="8" t="s">
        <v>18</v>
      </c>
      <c r="R102" s="8" t="s">
        <v>2115</v>
      </c>
      <c r="S102" s="8" t="s">
        <v>2137</v>
      </c>
      <c r="T102" s="8" t="s">
        <v>2138</v>
      </c>
      <c r="U102" s="8" t="s">
        <v>2139</v>
      </c>
      <c r="V102" s="8" t="s">
        <v>275</v>
      </c>
      <c r="W102" s="8">
        <f>ROUNDUP(MONTH(V102)/3,0)</f>
        <v>4</v>
      </c>
      <c r="X102" s="8">
        <f>K102*L102*N102</f>
        <v>3005100.0210000002</v>
      </c>
    </row>
    <row r="103" spans="1:24" s="8" customFormat="1" ht="41.5" customHeight="1">
      <c r="A103" s="8" t="s">
        <v>2302</v>
      </c>
      <c r="B103" s="8" t="s">
        <v>2304</v>
      </c>
      <c r="C103" s="9">
        <v>46008.6503750579</v>
      </c>
      <c r="D103" s="8" t="s">
        <v>2056</v>
      </c>
      <c r="E103" s="8" t="s">
        <v>2057</v>
      </c>
      <c r="F103" s="8">
        <v>1</v>
      </c>
      <c r="G103" s="27" t="s">
        <v>2140</v>
      </c>
      <c r="H103" s="8" t="s">
        <v>196</v>
      </c>
      <c r="I103" s="2" t="str">
        <f t="shared" si="3"/>
        <v>Thép ống hộp</v>
      </c>
      <c r="J103" s="8" t="s">
        <v>62</v>
      </c>
      <c r="K103" s="10">
        <v>387</v>
      </c>
      <c r="L103" s="10">
        <v>16818.18</v>
      </c>
      <c r="M103" s="11">
        <v>6508636</v>
      </c>
      <c r="N103" s="8" t="s">
        <v>30</v>
      </c>
      <c r="O103" s="8" t="s">
        <v>17</v>
      </c>
      <c r="P103" s="8" t="s">
        <v>18</v>
      </c>
      <c r="Q103" s="8" t="s">
        <v>18</v>
      </c>
      <c r="R103" s="8" t="s">
        <v>2115</v>
      </c>
      <c r="S103" s="8" t="s">
        <v>2137</v>
      </c>
      <c r="T103" s="8" t="s">
        <v>2138</v>
      </c>
      <c r="U103" s="8" t="s">
        <v>2139</v>
      </c>
      <c r="V103" s="8" t="s">
        <v>269</v>
      </c>
      <c r="W103" s="8">
        <f>ROUNDUP(MONTH(V103)/3,0)</f>
        <v>4</v>
      </c>
      <c r="X103" s="8">
        <f>K103*L103*N103</f>
        <v>650863.56600000011</v>
      </c>
    </row>
    <row r="104" spans="1:24" s="8" customFormat="1" ht="41.5" customHeight="1">
      <c r="A104" s="8" t="s">
        <v>2302</v>
      </c>
      <c r="B104" s="8" t="s">
        <v>2304</v>
      </c>
      <c r="C104" s="9">
        <v>46008.6503750579</v>
      </c>
      <c r="D104" s="8" t="s">
        <v>2056</v>
      </c>
      <c r="E104" s="8" t="s">
        <v>2057</v>
      </c>
      <c r="F104" s="8">
        <v>2</v>
      </c>
      <c r="G104" s="27" t="s">
        <v>2140</v>
      </c>
      <c r="H104" s="8" t="s">
        <v>69</v>
      </c>
      <c r="I104" s="2" t="str">
        <f t="shared" si="3"/>
        <v>Thép ống hộp</v>
      </c>
      <c r="J104" s="8" t="s">
        <v>62</v>
      </c>
      <c r="K104" s="10">
        <v>153.80000000000001</v>
      </c>
      <c r="L104" s="10">
        <v>16818.18</v>
      </c>
      <c r="M104" s="11">
        <v>2586636</v>
      </c>
      <c r="N104" s="8" t="s">
        <v>30</v>
      </c>
      <c r="O104" s="8" t="s">
        <v>17</v>
      </c>
      <c r="P104" s="8" t="s">
        <v>18</v>
      </c>
      <c r="Q104" s="8" t="s">
        <v>18</v>
      </c>
      <c r="R104" s="8" t="s">
        <v>2115</v>
      </c>
      <c r="S104" s="8" t="s">
        <v>2137</v>
      </c>
      <c r="T104" s="8" t="s">
        <v>2138</v>
      </c>
      <c r="U104" s="8" t="s">
        <v>2139</v>
      </c>
      <c r="V104" s="8" t="s">
        <v>269</v>
      </c>
      <c r="W104" s="8">
        <f>ROUNDUP(MONTH(V104)/3,0)</f>
        <v>4</v>
      </c>
      <c r="X104" s="8">
        <f>K104*L104*N104</f>
        <v>258663.60840000003</v>
      </c>
    </row>
    <row r="105" spans="1:24" s="8" customFormat="1" ht="41.5" customHeight="1">
      <c r="A105" s="8" t="s">
        <v>2302</v>
      </c>
      <c r="B105" s="8" t="s">
        <v>2304</v>
      </c>
      <c r="C105" s="9">
        <v>46008.6503750579</v>
      </c>
      <c r="D105" s="8" t="s">
        <v>2056</v>
      </c>
      <c r="E105" s="8" t="s">
        <v>2057</v>
      </c>
      <c r="F105" s="8">
        <v>3</v>
      </c>
      <c r="G105" s="27" t="s">
        <v>2140</v>
      </c>
      <c r="H105" s="8" t="s">
        <v>274</v>
      </c>
      <c r="I105" s="2" t="str">
        <f t="shared" si="3"/>
        <v>Thép ống hộp</v>
      </c>
      <c r="J105" s="8" t="s">
        <v>62</v>
      </c>
      <c r="K105" s="10">
        <v>188.5</v>
      </c>
      <c r="L105" s="10">
        <v>16818.18</v>
      </c>
      <c r="M105" s="11">
        <v>3170227</v>
      </c>
      <c r="N105" s="8" t="s">
        <v>30</v>
      </c>
      <c r="O105" s="8" t="s">
        <v>17</v>
      </c>
      <c r="P105" s="8" t="s">
        <v>18</v>
      </c>
      <c r="Q105" s="8" t="s">
        <v>18</v>
      </c>
      <c r="R105" s="8" t="s">
        <v>2115</v>
      </c>
      <c r="S105" s="8" t="s">
        <v>2137</v>
      </c>
      <c r="T105" s="8" t="s">
        <v>2138</v>
      </c>
      <c r="U105" s="8" t="s">
        <v>2139</v>
      </c>
      <c r="V105" s="8" t="s">
        <v>269</v>
      </c>
      <c r="W105" s="8">
        <f>ROUNDUP(MONTH(V105)/3,0)</f>
        <v>4</v>
      </c>
      <c r="X105" s="8">
        <f>K105*L105*N105</f>
        <v>317022.69300000003</v>
      </c>
    </row>
    <row r="106" spans="1:24" s="8" customFormat="1" ht="41.5" customHeight="1">
      <c r="A106" s="8" t="s">
        <v>2302</v>
      </c>
      <c r="B106" s="8" t="s">
        <v>2304</v>
      </c>
      <c r="C106" s="9">
        <v>46008.6503750579</v>
      </c>
      <c r="D106" s="8" t="s">
        <v>2056</v>
      </c>
      <c r="E106" s="8" t="s">
        <v>2057</v>
      </c>
      <c r="F106" s="8">
        <v>4</v>
      </c>
      <c r="G106" s="27" t="s">
        <v>2140</v>
      </c>
      <c r="H106" s="8" t="s">
        <v>74</v>
      </c>
      <c r="I106" s="2" t="str">
        <f t="shared" si="3"/>
        <v>Thép ống hộp</v>
      </c>
      <c r="J106" s="8" t="s">
        <v>62</v>
      </c>
      <c r="K106" s="10">
        <v>375</v>
      </c>
      <c r="L106" s="10">
        <v>16818.18</v>
      </c>
      <c r="M106" s="11">
        <v>6306818</v>
      </c>
      <c r="N106" s="8" t="s">
        <v>30</v>
      </c>
      <c r="O106" s="8" t="s">
        <v>17</v>
      </c>
      <c r="P106" s="8" t="s">
        <v>18</v>
      </c>
      <c r="Q106" s="8" t="s">
        <v>18</v>
      </c>
      <c r="R106" s="8" t="s">
        <v>2115</v>
      </c>
      <c r="S106" s="8" t="s">
        <v>2137</v>
      </c>
      <c r="T106" s="8" t="s">
        <v>2138</v>
      </c>
      <c r="U106" s="8" t="s">
        <v>2139</v>
      </c>
      <c r="V106" s="8" t="s">
        <v>269</v>
      </c>
      <c r="W106" s="8">
        <f>ROUNDUP(MONTH(V106)/3,0)</f>
        <v>4</v>
      </c>
      <c r="X106" s="8">
        <f>K106*L106*N106</f>
        <v>630681.75</v>
      </c>
    </row>
    <row r="107" spans="1:24" s="8" customFormat="1" ht="41.5" customHeight="1">
      <c r="A107" s="8" t="s">
        <v>2302</v>
      </c>
      <c r="B107" s="8" t="s">
        <v>2304</v>
      </c>
      <c r="C107" s="9">
        <v>46008.6503750579</v>
      </c>
      <c r="D107" s="8" t="s">
        <v>2056</v>
      </c>
      <c r="E107" s="8" t="s">
        <v>2057</v>
      </c>
      <c r="F107" s="8">
        <v>5</v>
      </c>
      <c r="G107" s="27" t="s">
        <v>2140</v>
      </c>
      <c r="H107" s="8" t="s">
        <v>279</v>
      </c>
      <c r="I107" s="2" t="str">
        <f t="shared" si="3"/>
        <v>Thép ống hộp</v>
      </c>
      <c r="J107" s="8" t="s">
        <v>62</v>
      </c>
      <c r="K107" s="10">
        <v>98.7</v>
      </c>
      <c r="L107" s="10">
        <v>16818.18</v>
      </c>
      <c r="M107" s="11">
        <v>1659954</v>
      </c>
      <c r="N107" s="8" t="s">
        <v>30</v>
      </c>
      <c r="O107" s="8" t="s">
        <v>17</v>
      </c>
      <c r="P107" s="8" t="s">
        <v>18</v>
      </c>
      <c r="Q107" s="8" t="s">
        <v>18</v>
      </c>
      <c r="R107" s="8" t="s">
        <v>2115</v>
      </c>
      <c r="S107" s="8" t="s">
        <v>2137</v>
      </c>
      <c r="T107" s="8" t="s">
        <v>2138</v>
      </c>
      <c r="U107" s="8" t="s">
        <v>2139</v>
      </c>
      <c r="V107" s="8" t="s">
        <v>269</v>
      </c>
      <c r="W107" s="8">
        <f>ROUNDUP(MONTH(V107)/3,0)</f>
        <v>4</v>
      </c>
      <c r="X107" s="8">
        <f>K107*L107*N107</f>
        <v>165995.43660000002</v>
      </c>
    </row>
    <row r="108" spans="1:24" s="8" customFormat="1" ht="41.5" customHeight="1">
      <c r="A108" s="8" t="s">
        <v>2302</v>
      </c>
      <c r="B108" s="8" t="s">
        <v>2304</v>
      </c>
      <c r="C108" s="9">
        <v>46008.6503750579</v>
      </c>
      <c r="D108" s="8" t="s">
        <v>2056</v>
      </c>
      <c r="E108" s="8" t="s">
        <v>2057</v>
      </c>
      <c r="F108" s="8">
        <v>6</v>
      </c>
      <c r="G108" s="22" t="s">
        <v>158</v>
      </c>
      <c r="H108" s="8" t="s">
        <v>158</v>
      </c>
      <c r="I108" s="2" t="str">
        <f t="shared" si="3"/>
        <v>Thép góc L40</v>
      </c>
      <c r="J108" s="8" t="s">
        <v>62</v>
      </c>
      <c r="K108" s="10">
        <v>11.2</v>
      </c>
      <c r="L108" s="10">
        <v>15363.64</v>
      </c>
      <c r="M108" s="11">
        <v>172073</v>
      </c>
      <c r="N108" s="8" t="s">
        <v>30</v>
      </c>
      <c r="O108" s="8" t="s">
        <v>17</v>
      </c>
      <c r="P108" s="8" t="s">
        <v>18</v>
      </c>
      <c r="Q108" s="8" t="s">
        <v>18</v>
      </c>
      <c r="R108" s="8" t="s">
        <v>2115</v>
      </c>
      <c r="S108" s="8" t="s">
        <v>2137</v>
      </c>
      <c r="T108" s="8" t="s">
        <v>2138</v>
      </c>
      <c r="U108" s="8" t="s">
        <v>2139</v>
      </c>
      <c r="V108" s="8" t="s">
        <v>269</v>
      </c>
      <c r="W108" s="8">
        <f>ROUNDUP(MONTH(V108)/3,0)</f>
        <v>4</v>
      </c>
      <c r="X108" s="8">
        <f>K108*L108*N108</f>
        <v>17207.2768</v>
      </c>
    </row>
    <row r="109" spans="1:24" s="8" customFormat="1" ht="41.5" customHeight="1">
      <c r="A109" s="8" t="s">
        <v>2302</v>
      </c>
      <c r="B109" s="8" t="s">
        <v>2304</v>
      </c>
      <c r="C109" s="9">
        <v>46008.6503750579</v>
      </c>
      <c r="D109" s="8" t="s">
        <v>2056</v>
      </c>
      <c r="E109" s="8" t="s">
        <v>2057</v>
      </c>
      <c r="F109" s="8">
        <v>7</v>
      </c>
      <c r="G109" s="22" t="s">
        <v>1346</v>
      </c>
      <c r="H109" s="8" t="s">
        <v>70</v>
      </c>
      <c r="I109" s="2" t="str">
        <f t="shared" si="3"/>
        <v>Tôn xốp</v>
      </c>
      <c r="J109" s="8" t="s">
        <v>71</v>
      </c>
      <c r="K109" s="10">
        <v>95.2</v>
      </c>
      <c r="L109" s="10">
        <v>130090.91</v>
      </c>
      <c r="M109" s="11">
        <v>12384655</v>
      </c>
      <c r="N109" s="8" t="s">
        <v>30</v>
      </c>
      <c r="O109" s="8" t="s">
        <v>17</v>
      </c>
      <c r="P109" s="8" t="s">
        <v>18</v>
      </c>
      <c r="Q109" s="8" t="s">
        <v>18</v>
      </c>
      <c r="R109" s="8" t="s">
        <v>2115</v>
      </c>
      <c r="S109" s="8" t="s">
        <v>2137</v>
      </c>
      <c r="T109" s="8" t="s">
        <v>2138</v>
      </c>
      <c r="U109" s="8" t="s">
        <v>2139</v>
      </c>
      <c r="V109" s="8" t="s">
        <v>269</v>
      </c>
      <c r="W109" s="8">
        <f>ROUNDUP(MONTH(V109)/3,0)</f>
        <v>4</v>
      </c>
      <c r="X109" s="8">
        <f>K109*L109*N109</f>
        <v>1238465.4632000001</v>
      </c>
    </row>
    <row r="110" spans="1:24" s="8" customFormat="1" ht="41.5" customHeight="1">
      <c r="A110" s="8" t="s">
        <v>2302</v>
      </c>
      <c r="B110" s="8" t="s">
        <v>2305</v>
      </c>
      <c r="C110" s="9">
        <v>46005.651583622697</v>
      </c>
      <c r="D110" s="8" t="s">
        <v>2056</v>
      </c>
      <c r="E110" s="8" t="s">
        <v>2057</v>
      </c>
      <c r="F110" s="8">
        <v>1</v>
      </c>
      <c r="G110" s="22" t="s">
        <v>1346</v>
      </c>
      <c r="H110" s="8" t="s">
        <v>70</v>
      </c>
      <c r="I110" s="2" t="str">
        <f t="shared" si="3"/>
        <v>Tôn xốp</v>
      </c>
      <c r="J110" s="8" t="s">
        <v>71</v>
      </c>
      <c r="K110" s="10">
        <v>53.2</v>
      </c>
      <c r="L110" s="10">
        <v>141818.18</v>
      </c>
      <c r="M110" s="11">
        <v>7544727</v>
      </c>
      <c r="N110" s="8" t="s">
        <v>30</v>
      </c>
      <c r="O110" s="8" t="s">
        <v>17</v>
      </c>
      <c r="P110" s="8" t="s">
        <v>18</v>
      </c>
      <c r="Q110" s="8" t="s">
        <v>18</v>
      </c>
      <c r="R110" s="8" t="s">
        <v>2115</v>
      </c>
      <c r="S110" s="8" t="s">
        <v>2137</v>
      </c>
      <c r="T110" s="8" t="s">
        <v>2138</v>
      </c>
      <c r="U110" s="8" t="s">
        <v>2139</v>
      </c>
      <c r="V110" s="8" t="s">
        <v>280</v>
      </c>
      <c r="W110" s="8">
        <f>ROUNDUP(MONTH(V110)/3,0)</f>
        <v>4</v>
      </c>
      <c r="X110" s="8">
        <f>K110*L110*N110</f>
        <v>754472.71760000009</v>
      </c>
    </row>
    <row r="111" spans="1:24" s="8" customFormat="1" ht="41.5" customHeight="1">
      <c r="A111" s="8" t="s">
        <v>2302</v>
      </c>
      <c r="B111" s="8" t="s">
        <v>2305</v>
      </c>
      <c r="C111" s="9">
        <v>46005.651583622697</v>
      </c>
      <c r="D111" s="8" t="s">
        <v>2056</v>
      </c>
      <c r="E111" s="8" t="s">
        <v>2057</v>
      </c>
      <c r="F111" s="8">
        <v>2</v>
      </c>
      <c r="G111" s="27" t="s">
        <v>2140</v>
      </c>
      <c r="H111" s="8" t="s">
        <v>274</v>
      </c>
      <c r="I111" s="2" t="str">
        <f t="shared" si="3"/>
        <v>Thép ống hộp</v>
      </c>
      <c r="J111" s="8" t="s">
        <v>62</v>
      </c>
      <c r="K111" s="10">
        <v>369.46</v>
      </c>
      <c r="L111" s="10">
        <v>16818.18</v>
      </c>
      <c r="M111" s="11">
        <v>6213645</v>
      </c>
      <c r="N111" s="8" t="s">
        <v>30</v>
      </c>
      <c r="O111" s="8" t="s">
        <v>17</v>
      </c>
      <c r="P111" s="8" t="s">
        <v>18</v>
      </c>
      <c r="Q111" s="8" t="s">
        <v>18</v>
      </c>
      <c r="R111" s="8" t="s">
        <v>2115</v>
      </c>
      <c r="S111" s="8" t="s">
        <v>2137</v>
      </c>
      <c r="T111" s="8" t="s">
        <v>2138</v>
      </c>
      <c r="U111" s="8" t="s">
        <v>2139</v>
      </c>
      <c r="V111" s="8" t="s">
        <v>280</v>
      </c>
      <c r="W111" s="8">
        <f>ROUNDUP(MONTH(V111)/3,0)</f>
        <v>4</v>
      </c>
      <c r="X111" s="8">
        <f>K111*L111*N111</f>
        <v>621364.47828000004</v>
      </c>
    </row>
    <row r="112" spans="1:24" s="8" customFormat="1" ht="41.5" customHeight="1">
      <c r="A112" s="8" t="s">
        <v>2302</v>
      </c>
      <c r="B112" s="8" t="s">
        <v>2305</v>
      </c>
      <c r="C112" s="9">
        <v>46005.651583622697</v>
      </c>
      <c r="D112" s="8" t="s">
        <v>2056</v>
      </c>
      <c r="E112" s="8" t="s">
        <v>2057</v>
      </c>
      <c r="F112" s="8">
        <v>3</v>
      </c>
      <c r="G112" s="22" t="s">
        <v>159</v>
      </c>
      <c r="H112" s="8" t="s">
        <v>159</v>
      </c>
      <c r="I112" s="2" t="str">
        <f t="shared" si="3"/>
        <v>Hộp Inox 304</v>
      </c>
      <c r="J112" s="8" t="s">
        <v>62</v>
      </c>
      <c r="K112" s="10">
        <v>169.5</v>
      </c>
      <c r="L112" s="10">
        <v>57000</v>
      </c>
      <c r="M112" s="11">
        <v>9661500</v>
      </c>
      <c r="N112" s="8" t="s">
        <v>30</v>
      </c>
      <c r="O112" s="8" t="s">
        <v>17</v>
      </c>
      <c r="P112" s="8" t="s">
        <v>18</v>
      </c>
      <c r="Q112" s="8" t="s">
        <v>18</v>
      </c>
      <c r="R112" s="8" t="s">
        <v>2115</v>
      </c>
      <c r="S112" s="8" t="s">
        <v>2137</v>
      </c>
      <c r="T112" s="8" t="s">
        <v>2138</v>
      </c>
      <c r="U112" s="8" t="s">
        <v>2139</v>
      </c>
      <c r="V112" s="8" t="s">
        <v>280</v>
      </c>
      <c r="W112" s="8">
        <f>ROUNDUP(MONTH(V112)/3,0)</f>
        <v>4</v>
      </c>
      <c r="X112" s="8">
        <f>K112*L112*N112</f>
        <v>966150</v>
      </c>
    </row>
    <row r="113" spans="1:24" s="8" customFormat="1" ht="41.5" customHeight="1">
      <c r="A113" s="8" t="s">
        <v>2302</v>
      </c>
      <c r="B113" s="8" t="s">
        <v>2305</v>
      </c>
      <c r="C113" s="9">
        <v>46005.651583622697</v>
      </c>
      <c r="D113" s="8" t="s">
        <v>2056</v>
      </c>
      <c r="E113" s="8" t="s">
        <v>2057</v>
      </c>
      <c r="F113" s="8">
        <v>4</v>
      </c>
      <c r="G113" s="27" t="s">
        <v>2140</v>
      </c>
      <c r="H113" s="8" t="s">
        <v>199</v>
      </c>
      <c r="I113" s="2" t="str">
        <f t="shared" si="3"/>
        <v>Thép ống hộp</v>
      </c>
      <c r="J113" s="8" t="s">
        <v>62</v>
      </c>
      <c r="K113" s="10">
        <v>245.5</v>
      </c>
      <c r="L113" s="10">
        <v>16818.18</v>
      </c>
      <c r="M113" s="11">
        <v>4128863</v>
      </c>
      <c r="N113" s="8" t="s">
        <v>30</v>
      </c>
      <c r="O113" s="8" t="s">
        <v>17</v>
      </c>
      <c r="P113" s="8" t="s">
        <v>18</v>
      </c>
      <c r="Q113" s="8" t="s">
        <v>18</v>
      </c>
      <c r="R113" s="8" t="s">
        <v>2115</v>
      </c>
      <c r="S113" s="8" t="s">
        <v>2137</v>
      </c>
      <c r="T113" s="8" t="s">
        <v>2138</v>
      </c>
      <c r="U113" s="8" t="s">
        <v>2139</v>
      </c>
      <c r="V113" s="8" t="s">
        <v>280</v>
      </c>
      <c r="W113" s="8">
        <f>ROUNDUP(MONTH(V113)/3,0)</f>
        <v>4</v>
      </c>
      <c r="X113" s="8">
        <f>K113*L113*N113</f>
        <v>412886.31900000002</v>
      </c>
    </row>
    <row r="114" spans="1:24" s="8" customFormat="1" ht="41.5" customHeight="1">
      <c r="A114" s="8" t="s">
        <v>2302</v>
      </c>
      <c r="B114" s="8" t="s">
        <v>2306</v>
      </c>
      <c r="C114" s="9">
        <v>46003.630036215298</v>
      </c>
      <c r="D114" s="8" t="s">
        <v>2056</v>
      </c>
      <c r="E114" s="8" t="s">
        <v>2057</v>
      </c>
      <c r="F114" s="8">
        <v>1</v>
      </c>
      <c r="G114" s="22" t="s">
        <v>1346</v>
      </c>
      <c r="H114" s="8" t="s">
        <v>70</v>
      </c>
      <c r="I114" s="2" t="str">
        <f t="shared" si="3"/>
        <v>Tôn xốp</v>
      </c>
      <c r="J114" s="8" t="s">
        <v>71</v>
      </c>
      <c r="K114" s="10">
        <v>53.4</v>
      </c>
      <c r="L114" s="10">
        <v>141818.18</v>
      </c>
      <c r="M114" s="11">
        <v>7573091</v>
      </c>
      <c r="N114" s="8" t="s">
        <v>30</v>
      </c>
      <c r="O114" s="8" t="s">
        <v>17</v>
      </c>
      <c r="P114" s="8" t="s">
        <v>18</v>
      </c>
      <c r="Q114" s="8" t="s">
        <v>18</v>
      </c>
      <c r="R114" s="8" t="s">
        <v>2115</v>
      </c>
      <c r="S114" s="8" t="s">
        <v>2137</v>
      </c>
      <c r="T114" s="8" t="s">
        <v>2138</v>
      </c>
      <c r="U114" s="8" t="s">
        <v>2139</v>
      </c>
      <c r="V114" s="8" t="s">
        <v>270</v>
      </c>
      <c r="W114" s="8">
        <f>ROUNDUP(MONTH(V114)/3,0)</f>
        <v>4</v>
      </c>
      <c r="X114" s="8">
        <f>K114*L114*N114</f>
        <v>757309.0811999999</v>
      </c>
    </row>
    <row r="115" spans="1:24" s="8" customFormat="1" ht="41.5" customHeight="1">
      <c r="A115" s="8" t="s">
        <v>2302</v>
      </c>
      <c r="B115" s="8" t="s">
        <v>2307</v>
      </c>
      <c r="C115" s="9">
        <v>46000.718865000003</v>
      </c>
      <c r="D115" s="8" t="s">
        <v>2056</v>
      </c>
      <c r="E115" s="8" t="s">
        <v>2057</v>
      </c>
      <c r="F115" s="8">
        <v>1</v>
      </c>
      <c r="G115" s="22" t="s">
        <v>1346</v>
      </c>
      <c r="H115" s="8" t="s">
        <v>70</v>
      </c>
      <c r="I115" s="2" t="str">
        <f t="shared" si="3"/>
        <v>Tôn xốp</v>
      </c>
      <c r="J115" s="8" t="s">
        <v>71</v>
      </c>
      <c r="K115" s="10">
        <v>45</v>
      </c>
      <c r="L115" s="10">
        <v>141818.18</v>
      </c>
      <c r="M115" s="11">
        <v>6381818</v>
      </c>
      <c r="N115" s="8" t="s">
        <v>30</v>
      </c>
      <c r="O115" s="8" t="s">
        <v>17</v>
      </c>
      <c r="P115" s="8" t="s">
        <v>18</v>
      </c>
      <c r="Q115" s="8" t="s">
        <v>18</v>
      </c>
      <c r="R115" s="8" t="s">
        <v>2115</v>
      </c>
      <c r="S115" s="8" t="s">
        <v>2137</v>
      </c>
      <c r="T115" s="8" t="s">
        <v>2138</v>
      </c>
      <c r="U115" s="8" t="s">
        <v>2139</v>
      </c>
      <c r="V115" s="8" t="s">
        <v>210</v>
      </c>
      <c r="W115" s="8">
        <f>ROUNDUP(MONTH(V115)/3,0)</f>
        <v>4</v>
      </c>
      <c r="X115" s="8">
        <f>K115*L115*N115</f>
        <v>638181.81000000006</v>
      </c>
    </row>
    <row r="116" spans="1:24" s="8" customFormat="1" ht="41.5" customHeight="1">
      <c r="A116" s="8" t="s">
        <v>2302</v>
      </c>
      <c r="B116" s="8" t="s">
        <v>2308</v>
      </c>
      <c r="C116" s="9">
        <v>45997.677490891198</v>
      </c>
      <c r="D116" s="8" t="s">
        <v>2056</v>
      </c>
      <c r="E116" s="8" t="s">
        <v>2057</v>
      </c>
      <c r="F116" s="8">
        <v>1</v>
      </c>
      <c r="G116" s="22" t="s">
        <v>1346</v>
      </c>
      <c r="H116" s="8" t="s">
        <v>70</v>
      </c>
      <c r="I116" s="2" t="str">
        <f t="shared" si="3"/>
        <v>Tôn xốp</v>
      </c>
      <c r="J116" s="8" t="s">
        <v>71</v>
      </c>
      <c r="K116" s="10">
        <v>152.4</v>
      </c>
      <c r="L116" s="10">
        <v>141818.18</v>
      </c>
      <c r="M116" s="11">
        <v>21613091</v>
      </c>
      <c r="N116" s="8" t="s">
        <v>30</v>
      </c>
      <c r="O116" s="8" t="s">
        <v>17</v>
      </c>
      <c r="P116" s="8" t="s">
        <v>18</v>
      </c>
      <c r="Q116" s="8" t="s">
        <v>18</v>
      </c>
      <c r="R116" s="8" t="s">
        <v>2115</v>
      </c>
      <c r="S116" s="8" t="s">
        <v>2137</v>
      </c>
      <c r="T116" s="8" t="s">
        <v>2138</v>
      </c>
      <c r="U116" s="8" t="s">
        <v>2139</v>
      </c>
      <c r="V116" s="8" t="s">
        <v>281</v>
      </c>
      <c r="W116" s="8">
        <f>ROUNDUP(MONTH(V116)/3,0)</f>
        <v>4</v>
      </c>
      <c r="X116" s="8">
        <f>K116*L116*N116</f>
        <v>2161309.0632000002</v>
      </c>
    </row>
    <row r="117" spans="1:24" s="8" customFormat="1" ht="41.5" customHeight="1">
      <c r="A117" s="8" t="s">
        <v>2309</v>
      </c>
      <c r="B117" s="8" t="s">
        <v>2310</v>
      </c>
      <c r="C117" s="9">
        <v>46007.738243923603</v>
      </c>
      <c r="D117" s="8" t="s">
        <v>2056</v>
      </c>
      <c r="E117" s="8" t="s">
        <v>2057</v>
      </c>
      <c r="F117" s="8">
        <v>1</v>
      </c>
      <c r="G117" s="27" t="s">
        <v>2160</v>
      </c>
      <c r="H117" s="8" t="s">
        <v>282</v>
      </c>
      <c r="I117" s="2" t="str">
        <f t="shared" si="3"/>
        <v>Ván ép phủ phim 2 mặt Kt 2440x1220*15 mm</v>
      </c>
      <c r="J117" s="8" t="s">
        <v>114</v>
      </c>
      <c r="K117" s="10">
        <v>200</v>
      </c>
      <c r="L117" s="10">
        <v>285000</v>
      </c>
      <c r="M117" s="11">
        <v>57000000</v>
      </c>
      <c r="N117" s="8" t="s">
        <v>16</v>
      </c>
      <c r="O117" s="8" t="s">
        <v>17</v>
      </c>
      <c r="P117" s="8" t="s">
        <v>18</v>
      </c>
      <c r="Q117" s="8" t="s">
        <v>18</v>
      </c>
      <c r="R117" s="8" t="s">
        <v>2115</v>
      </c>
      <c r="S117" s="8" t="s">
        <v>2142</v>
      </c>
      <c r="T117" s="8" t="s">
        <v>2143</v>
      </c>
      <c r="U117" s="8" t="s">
        <v>2144</v>
      </c>
      <c r="V117" s="8" t="s">
        <v>262</v>
      </c>
      <c r="W117" s="8">
        <f>ROUNDUP(MONTH(V117)/3,0)</f>
        <v>4</v>
      </c>
      <c r="X117" s="8">
        <f>K117*L117*N117</f>
        <v>4560000</v>
      </c>
    </row>
    <row r="118" spans="1:24" s="8" customFormat="1" ht="41.5" customHeight="1">
      <c r="A118" s="8" t="s">
        <v>2309</v>
      </c>
      <c r="B118" s="8" t="s">
        <v>2311</v>
      </c>
      <c r="C118" s="9">
        <v>46006.6451460069</v>
      </c>
      <c r="D118" s="8" t="s">
        <v>2056</v>
      </c>
      <c r="E118" s="8" t="s">
        <v>2057</v>
      </c>
      <c r="F118" s="8">
        <v>1</v>
      </c>
      <c r="G118" s="22" t="s">
        <v>1443</v>
      </c>
      <c r="H118" s="8" t="s">
        <v>283</v>
      </c>
      <c r="I118" s="2" t="str">
        <f t="shared" si="3"/>
        <v>Ván ép phủ phim 2 mặt Kt 2240x1200*18 mm</v>
      </c>
      <c r="J118" s="8" t="s">
        <v>114</v>
      </c>
      <c r="K118" s="10">
        <v>110</v>
      </c>
      <c r="L118" s="10">
        <v>350000</v>
      </c>
      <c r="M118" s="11">
        <v>38500000</v>
      </c>
      <c r="N118" s="8" t="s">
        <v>16</v>
      </c>
      <c r="O118" s="8" t="s">
        <v>17</v>
      </c>
      <c r="P118" s="8" t="s">
        <v>18</v>
      </c>
      <c r="Q118" s="8" t="s">
        <v>18</v>
      </c>
      <c r="R118" s="8" t="s">
        <v>2115</v>
      </c>
      <c r="S118" s="8" t="s">
        <v>2142</v>
      </c>
      <c r="T118" s="8" t="s">
        <v>2143</v>
      </c>
      <c r="U118" s="8" t="s">
        <v>2144</v>
      </c>
      <c r="V118" s="8" t="s">
        <v>284</v>
      </c>
      <c r="W118" s="8">
        <f>ROUNDUP(MONTH(V118)/3,0)</f>
        <v>4</v>
      </c>
      <c r="X118" s="8">
        <f>K118*L118*N118</f>
        <v>3080000</v>
      </c>
    </row>
    <row r="119" spans="1:24" s="8" customFormat="1" ht="41.5" customHeight="1">
      <c r="A119" s="8" t="s">
        <v>2312</v>
      </c>
      <c r="B119" s="8" t="s">
        <v>2313</v>
      </c>
      <c r="C119" s="9">
        <v>46010.304596643502</v>
      </c>
      <c r="D119" s="8" t="s">
        <v>2208</v>
      </c>
      <c r="E119" s="8" t="s">
        <v>2057</v>
      </c>
      <c r="F119" s="8">
        <v>1</v>
      </c>
      <c r="G119" s="2">
        <v>642</v>
      </c>
      <c r="H119" s="8" t="s">
        <v>26</v>
      </c>
      <c r="I119" s="2">
        <f t="shared" ref="I119:I133" si="4">G119</f>
        <v>642</v>
      </c>
      <c r="J119" s="8" t="s">
        <v>27</v>
      </c>
      <c r="K119" s="10">
        <v>53.341999999999999</v>
      </c>
      <c r="L119" s="10">
        <v>16490.740000000002</v>
      </c>
      <c r="M119" s="11">
        <v>879649</v>
      </c>
      <c r="N119" s="8" t="s">
        <v>16</v>
      </c>
      <c r="O119" s="8" t="s">
        <v>17</v>
      </c>
      <c r="P119" s="8" t="s">
        <v>18</v>
      </c>
      <c r="Q119" s="8" t="s">
        <v>18</v>
      </c>
      <c r="R119" s="8" t="s">
        <v>2110</v>
      </c>
      <c r="S119" s="8" t="s">
        <v>2209</v>
      </c>
      <c r="T119" s="8" t="s">
        <v>2210</v>
      </c>
      <c r="U119" s="8" t="s">
        <v>2242</v>
      </c>
      <c r="V119" s="8" t="s">
        <v>223</v>
      </c>
      <c r="W119" s="8">
        <f>ROUNDUP(MONTH(V119)/3,0)</f>
        <v>4</v>
      </c>
      <c r="X119" s="8">
        <f>K119*L119*N119</f>
        <v>70371.924246400013</v>
      </c>
    </row>
    <row r="120" spans="1:24" s="8" customFormat="1" ht="41.5" customHeight="1">
      <c r="A120" s="8" t="s">
        <v>2314</v>
      </c>
      <c r="B120" s="8" t="s">
        <v>2315</v>
      </c>
      <c r="C120" s="9">
        <v>46010.595576365697</v>
      </c>
      <c r="D120" s="8" t="s">
        <v>2056</v>
      </c>
      <c r="E120" s="8" t="s">
        <v>2057</v>
      </c>
      <c r="F120" s="8">
        <v>1</v>
      </c>
      <c r="G120" s="22" t="s">
        <v>2160</v>
      </c>
      <c r="H120" s="8" t="s">
        <v>286</v>
      </c>
      <c r="I120" s="2" t="str">
        <f t="shared" si="4"/>
        <v>Ván ép phủ phim 2 mặt Kt 2440x1220*15 mm</v>
      </c>
      <c r="J120" s="8" t="s">
        <v>114</v>
      </c>
      <c r="K120" s="10">
        <v>95</v>
      </c>
      <c r="L120" s="10">
        <v>302144.25</v>
      </c>
      <c r="M120" s="11">
        <v>28703704</v>
      </c>
      <c r="N120" s="8" t="s">
        <v>16</v>
      </c>
      <c r="O120" s="8" t="s">
        <v>289</v>
      </c>
      <c r="P120" s="8" t="s">
        <v>290</v>
      </c>
      <c r="Q120" s="8" t="s">
        <v>291</v>
      </c>
      <c r="R120" s="8" t="s">
        <v>2145</v>
      </c>
      <c r="S120" s="8" t="s">
        <v>2146</v>
      </c>
      <c r="T120" s="8" t="s">
        <v>2147</v>
      </c>
      <c r="U120" s="8" t="s">
        <v>2148</v>
      </c>
      <c r="V120" s="8" t="s">
        <v>223</v>
      </c>
      <c r="W120" s="8">
        <f>ROUNDUP(MONTH(V120)/3,0)</f>
        <v>4</v>
      </c>
      <c r="X120" s="8">
        <f>K120*L120*N120</f>
        <v>2296296.3000000003</v>
      </c>
    </row>
    <row r="121" spans="1:24" s="8" customFormat="1" ht="41.5" customHeight="1">
      <c r="A121" s="8" t="s">
        <v>2314</v>
      </c>
      <c r="B121" s="8" t="s">
        <v>2315</v>
      </c>
      <c r="C121" s="9">
        <v>46010.595576365697</v>
      </c>
      <c r="D121" s="8" t="s">
        <v>2056</v>
      </c>
      <c r="E121" s="8" t="s">
        <v>2057</v>
      </c>
      <c r="F121" s="8">
        <v>2</v>
      </c>
      <c r="G121" s="22" t="s">
        <v>1443</v>
      </c>
      <c r="H121" s="8" t="s">
        <v>292</v>
      </c>
      <c r="I121" s="2" t="str">
        <f t="shared" si="4"/>
        <v>Ván ép phủ phim 2 mặt Kt 2240x1200*18 mm</v>
      </c>
      <c r="J121" s="8" t="s">
        <v>114</v>
      </c>
      <c r="K121" s="10">
        <v>116</v>
      </c>
      <c r="L121" s="10">
        <v>355500</v>
      </c>
      <c r="M121" s="11">
        <v>41238000</v>
      </c>
      <c r="N121" s="8" t="s">
        <v>16</v>
      </c>
      <c r="O121" s="8" t="s">
        <v>289</v>
      </c>
      <c r="P121" s="8" t="s">
        <v>290</v>
      </c>
      <c r="Q121" s="8" t="s">
        <v>291</v>
      </c>
      <c r="R121" s="8" t="s">
        <v>2145</v>
      </c>
      <c r="S121" s="8" t="s">
        <v>2146</v>
      </c>
      <c r="T121" s="8" t="s">
        <v>2147</v>
      </c>
      <c r="U121" s="8" t="s">
        <v>2148</v>
      </c>
      <c r="V121" s="8" t="s">
        <v>223</v>
      </c>
      <c r="W121" s="8">
        <f>ROUNDUP(MONTH(V121)/3,0)</f>
        <v>4</v>
      </c>
      <c r="X121" s="8">
        <f>K121*L121*N121</f>
        <v>3299040</v>
      </c>
    </row>
    <row r="122" spans="1:24" s="8" customFormat="1" ht="41.5" customHeight="1">
      <c r="A122" s="8" t="s">
        <v>2316</v>
      </c>
      <c r="B122" s="8" t="s">
        <v>2317</v>
      </c>
      <c r="C122" s="9">
        <v>46018.684111724499</v>
      </c>
      <c r="D122" s="8" t="s">
        <v>2056</v>
      </c>
      <c r="E122" s="8" t="s">
        <v>2057</v>
      </c>
      <c r="F122" s="8">
        <v>1</v>
      </c>
      <c r="G122" s="22" t="s">
        <v>2160</v>
      </c>
      <c r="H122" s="8" t="s">
        <v>113</v>
      </c>
      <c r="I122" s="2" t="str">
        <f t="shared" si="4"/>
        <v>Ván ép phủ phim 2 mặt Kt 2440x1220*15 mm</v>
      </c>
      <c r="J122" s="8" t="s">
        <v>114</v>
      </c>
      <c r="K122" s="10">
        <v>520</v>
      </c>
      <c r="L122" s="10">
        <v>290000</v>
      </c>
      <c r="M122" s="11">
        <v>150800000</v>
      </c>
      <c r="N122" s="8" t="s">
        <v>16</v>
      </c>
      <c r="O122" s="8" t="s">
        <v>17</v>
      </c>
      <c r="P122" s="8" t="s">
        <v>18</v>
      </c>
      <c r="Q122" s="8" t="s">
        <v>18</v>
      </c>
      <c r="R122" s="8" t="s">
        <v>2115</v>
      </c>
      <c r="S122" s="8" t="s">
        <v>2211</v>
      </c>
      <c r="T122" s="8" t="s">
        <v>2212</v>
      </c>
      <c r="U122" s="8" t="s">
        <v>2318</v>
      </c>
      <c r="V122" s="8" t="s">
        <v>293</v>
      </c>
      <c r="W122" s="8">
        <f>ROUNDUP(MONTH(V122)/3,0)</f>
        <v>4</v>
      </c>
      <c r="X122" s="8">
        <f>K122*L122*N122</f>
        <v>12064000</v>
      </c>
    </row>
    <row r="123" spans="1:24" s="8" customFormat="1" ht="41.5" customHeight="1">
      <c r="A123" s="8" t="s">
        <v>2316</v>
      </c>
      <c r="B123" s="8" t="s">
        <v>2317</v>
      </c>
      <c r="C123" s="9">
        <v>46018.684111724499</v>
      </c>
      <c r="D123" s="8" t="s">
        <v>2056</v>
      </c>
      <c r="E123" s="8" t="s">
        <v>2057</v>
      </c>
      <c r="F123" s="8">
        <v>2</v>
      </c>
      <c r="G123" s="22" t="s">
        <v>1443</v>
      </c>
      <c r="H123" s="8" t="s">
        <v>138</v>
      </c>
      <c r="I123" s="2" t="str">
        <f t="shared" si="4"/>
        <v>Ván ép phủ phim 2 mặt Kt 2240x1200*18 mm</v>
      </c>
      <c r="J123" s="8" t="s">
        <v>114</v>
      </c>
      <c r="K123" s="10">
        <v>100</v>
      </c>
      <c r="L123" s="10">
        <v>350000</v>
      </c>
      <c r="M123" s="11">
        <v>35000000</v>
      </c>
      <c r="N123" s="8" t="s">
        <v>16</v>
      </c>
      <c r="O123" s="8" t="s">
        <v>17</v>
      </c>
      <c r="P123" s="8" t="s">
        <v>18</v>
      </c>
      <c r="Q123" s="8" t="s">
        <v>18</v>
      </c>
      <c r="R123" s="8" t="s">
        <v>2115</v>
      </c>
      <c r="S123" s="8" t="s">
        <v>2211</v>
      </c>
      <c r="T123" s="8" t="s">
        <v>2212</v>
      </c>
      <c r="U123" s="8" t="s">
        <v>2318</v>
      </c>
      <c r="V123" s="8" t="s">
        <v>293</v>
      </c>
      <c r="W123" s="8">
        <f>ROUNDUP(MONTH(V123)/3,0)</f>
        <v>4</v>
      </c>
      <c r="X123" s="8">
        <f>K123*L123*N123</f>
        <v>2800000</v>
      </c>
    </row>
    <row r="124" spans="1:24" s="8" customFormat="1" ht="41.5" customHeight="1">
      <c r="A124" s="8" t="s">
        <v>2281</v>
      </c>
      <c r="B124" s="8" t="s">
        <v>2319</v>
      </c>
      <c r="C124" s="9">
        <v>46012.693268449097</v>
      </c>
      <c r="D124" s="8" t="s">
        <v>2056</v>
      </c>
      <c r="E124" s="8" t="s">
        <v>2057</v>
      </c>
      <c r="F124" s="8">
        <v>1</v>
      </c>
      <c r="G124" s="22" t="s">
        <v>2164</v>
      </c>
      <c r="H124" s="8" t="s">
        <v>294</v>
      </c>
      <c r="I124" s="2" t="str">
        <f t="shared" si="4"/>
        <v>Đèn led chiếu pha 200W, model CP01-200W/G03, án</v>
      </c>
      <c r="J124" s="8" t="s">
        <v>19</v>
      </c>
      <c r="K124" s="10">
        <v>10</v>
      </c>
      <c r="L124" s="10">
        <v>471249.97</v>
      </c>
      <c r="M124" s="11">
        <v>4712500</v>
      </c>
      <c r="N124" s="8" t="s">
        <v>16</v>
      </c>
      <c r="O124" s="8" t="s">
        <v>17</v>
      </c>
      <c r="P124" s="8" t="s">
        <v>18</v>
      </c>
      <c r="Q124" s="8" t="s">
        <v>18</v>
      </c>
      <c r="R124" s="8" t="s">
        <v>2115</v>
      </c>
      <c r="S124" s="8" t="s">
        <v>2274</v>
      </c>
      <c r="T124" s="8" t="s">
        <v>2275</v>
      </c>
      <c r="U124" s="8" t="s">
        <v>2276</v>
      </c>
      <c r="V124" s="8" t="s">
        <v>295</v>
      </c>
      <c r="W124" s="8">
        <f>ROUNDUP(MONTH(V124)/3,0)</f>
        <v>4</v>
      </c>
      <c r="X124" s="8">
        <f>K124*L124*N124</f>
        <v>376999.97599999997</v>
      </c>
    </row>
    <row r="125" spans="1:24" s="8" customFormat="1" ht="41.5" customHeight="1">
      <c r="A125" s="8" t="s">
        <v>2281</v>
      </c>
      <c r="B125" s="8" t="s">
        <v>2320</v>
      </c>
      <c r="C125" s="9">
        <v>46002.727854849501</v>
      </c>
      <c r="D125" s="8" t="s">
        <v>2056</v>
      </c>
      <c r="E125" s="8" t="s">
        <v>2057</v>
      </c>
      <c r="F125" s="8">
        <v>1</v>
      </c>
      <c r="G125" s="22" t="s">
        <v>2164</v>
      </c>
      <c r="H125" s="8" t="s">
        <v>294</v>
      </c>
      <c r="I125" s="2" t="str">
        <f t="shared" si="4"/>
        <v>Đèn led chiếu pha 200W, model CP01-200W/G03, án</v>
      </c>
      <c r="J125" s="8" t="s">
        <v>19</v>
      </c>
      <c r="K125" s="10">
        <v>10</v>
      </c>
      <c r="L125" s="10">
        <v>487499.97</v>
      </c>
      <c r="M125" s="11">
        <v>4875000</v>
      </c>
      <c r="N125" s="8" t="s">
        <v>16</v>
      </c>
      <c r="O125" s="8" t="s">
        <v>17</v>
      </c>
      <c r="P125" s="8" t="s">
        <v>18</v>
      </c>
      <c r="Q125" s="8" t="s">
        <v>18</v>
      </c>
      <c r="R125" s="8" t="s">
        <v>2115</v>
      </c>
      <c r="S125" s="8" t="s">
        <v>2274</v>
      </c>
      <c r="T125" s="8" t="s">
        <v>2275</v>
      </c>
      <c r="U125" s="8" t="s">
        <v>2276</v>
      </c>
      <c r="V125" s="8" t="s">
        <v>296</v>
      </c>
      <c r="W125" s="8">
        <f>ROUNDUP(MONTH(V125)/3,0)</f>
        <v>4</v>
      </c>
      <c r="X125" s="8">
        <f>K125*L125*N125</f>
        <v>389999.97599999997</v>
      </c>
    </row>
    <row r="126" spans="1:24" s="8" customFormat="1" ht="41.5" customHeight="1">
      <c r="A126" s="8" t="s">
        <v>2321</v>
      </c>
      <c r="B126" s="8" t="s">
        <v>2322</v>
      </c>
      <c r="C126" s="9">
        <v>46001.343499583301</v>
      </c>
      <c r="D126" s="8" t="s">
        <v>2056</v>
      </c>
      <c r="E126" s="8" t="s">
        <v>2057</v>
      </c>
      <c r="F126" s="8">
        <v>1</v>
      </c>
      <c r="G126" s="2"/>
      <c r="H126" s="8" t="s">
        <v>80</v>
      </c>
      <c r="I126" s="2">
        <f t="shared" si="4"/>
        <v>0</v>
      </c>
      <c r="J126" s="8" t="s">
        <v>81</v>
      </c>
      <c r="K126" s="10">
        <v>27</v>
      </c>
      <c r="L126" s="10">
        <v>600000</v>
      </c>
      <c r="M126" s="11">
        <v>16200000</v>
      </c>
      <c r="N126" s="8" t="s">
        <v>16</v>
      </c>
      <c r="O126" s="8" t="s">
        <v>17</v>
      </c>
      <c r="P126" s="8" t="s">
        <v>18</v>
      </c>
      <c r="Q126" s="8" t="s">
        <v>18</v>
      </c>
      <c r="R126" s="8" t="s">
        <v>2115</v>
      </c>
      <c r="S126" s="8" t="s">
        <v>2152</v>
      </c>
      <c r="T126" s="8" t="s">
        <v>2153</v>
      </c>
      <c r="U126" s="8" t="s">
        <v>2154</v>
      </c>
      <c r="V126" s="8" t="s">
        <v>241</v>
      </c>
      <c r="W126" s="8">
        <f>ROUNDUP(MONTH(V126)/3,0)</f>
        <v>4</v>
      </c>
      <c r="X126" s="8">
        <f>K126*L126*N126</f>
        <v>1296000</v>
      </c>
    </row>
    <row r="127" spans="1:24" s="8" customFormat="1" ht="41.5" customHeight="1">
      <c r="A127" s="8" t="s">
        <v>2323</v>
      </c>
      <c r="B127" s="8" t="s">
        <v>2324</v>
      </c>
      <c r="C127" s="9">
        <v>46022.843876180603</v>
      </c>
      <c r="D127" s="8" t="s">
        <v>2056</v>
      </c>
      <c r="E127" s="8" t="s">
        <v>2057</v>
      </c>
      <c r="F127" s="8">
        <v>1</v>
      </c>
      <c r="G127" s="2" t="s">
        <v>2325</v>
      </c>
      <c r="H127" s="8" t="s">
        <v>297</v>
      </c>
      <c r="I127" s="2" t="str">
        <f t="shared" si="4"/>
        <v>vc</v>
      </c>
      <c r="J127" s="8" t="s">
        <v>46</v>
      </c>
      <c r="K127" s="10">
        <v>1</v>
      </c>
      <c r="L127" s="10">
        <v>638889</v>
      </c>
      <c r="M127" s="11">
        <v>638889</v>
      </c>
      <c r="N127" s="8" t="s">
        <v>16</v>
      </c>
      <c r="O127" s="8" t="s">
        <v>17</v>
      </c>
      <c r="P127" s="8" t="s">
        <v>18</v>
      </c>
      <c r="Q127" s="8" t="s">
        <v>18</v>
      </c>
      <c r="R127" s="8" t="s">
        <v>2156</v>
      </c>
      <c r="S127" s="8" t="s">
        <v>2157</v>
      </c>
      <c r="T127" s="8" t="s">
        <v>2158</v>
      </c>
      <c r="U127" s="8" t="s">
        <v>2159</v>
      </c>
      <c r="V127" s="8" t="s">
        <v>28</v>
      </c>
      <c r="W127" s="8">
        <f>ROUNDUP(MONTH(V127)/3,0)</f>
        <v>4</v>
      </c>
      <c r="X127" s="8">
        <f>K127*L127*N127</f>
        <v>51111.12</v>
      </c>
    </row>
    <row r="128" spans="1:24" s="8" customFormat="1" ht="41.5" customHeight="1">
      <c r="A128" s="8" t="s">
        <v>2323</v>
      </c>
      <c r="B128" s="8" t="s">
        <v>2326</v>
      </c>
      <c r="C128" s="9">
        <v>46018.747090034703</v>
      </c>
      <c r="D128" s="8" t="s">
        <v>2056</v>
      </c>
      <c r="E128" s="8" t="s">
        <v>2057</v>
      </c>
      <c r="F128" s="8">
        <v>1</v>
      </c>
      <c r="G128" s="22" t="s">
        <v>2165</v>
      </c>
      <c r="H128" s="8" t="s">
        <v>298</v>
      </c>
      <c r="I128" s="2" t="str">
        <f t="shared" si="4"/>
        <v>Bồn nhựa 3000D</v>
      </c>
      <c r="J128" s="8" t="s">
        <v>53</v>
      </c>
      <c r="K128" s="10">
        <v>1</v>
      </c>
      <c r="L128" s="10">
        <v>4314813</v>
      </c>
      <c r="M128" s="11">
        <v>4314813</v>
      </c>
      <c r="N128" s="8" t="s">
        <v>16</v>
      </c>
      <c r="O128" s="8" t="s">
        <v>17</v>
      </c>
      <c r="P128" s="8" t="s">
        <v>18</v>
      </c>
      <c r="Q128" s="8" t="s">
        <v>18</v>
      </c>
      <c r="R128" s="8" t="s">
        <v>2156</v>
      </c>
      <c r="S128" s="8" t="s">
        <v>2157</v>
      </c>
      <c r="T128" s="8" t="s">
        <v>2158</v>
      </c>
      <c r="U128" s="8" t="s">
        <v>2159</v>
      </c>
      <c r="V128" s="8" t="s">
        <v>293</v>
      </c>
      <c r="W128" s="8">
        <f>ROUNDUP(MONTH(V128)/3,0)</f>
        <v>4</v>
      </c>
      <c r="X128" s="8">
        <f>K128*L128*N128</f>
        <v>345185.04</v>
      </c>
    </row>
    <row r="129" spans="1:24" s="8" customFormat="1" ht="41.5" customHeight="1">
      <c r="A129" s="8" t="s">
        <v>2323</v>
      </c>
      <c r="B129" s="8" t="s">
        <v>2327</v>
      </c>
      <c r="C129" s="9">
        <v>46018.744959236101</v>
      </c>
      <c r="D129" s="8" t="s">
        <v>2056</v>
      </c>
      <c r="E129" s="8" t="s">
        <v>2057</v>
      </c>
      <c r="F129" s="8">
        <v>1</v>
      </c>
      <c r="G129" s="2">
        <v>642</v>
      </c>
      <c r="H129" s="8" t="s">
        <v>299</v>
      </c>
      <c r="I129" s="2">
        <f t="shared" si="4"/>
        <v>642</v>
      </c>
      <c r="J129" s="8" t="s">
        <v>53</v>
      </c>
      <c r="K129" s="10">
        <v>1</v>
      </c>
      <c r="L129" s="10">
        <v>0</v>
      </c>
      <c r="M129" s="11">
        <v>0</v>
      </c>
      <c r="N129" s="8" t="s">
        <v>16</v>
      </c>
      <c r="O129" s="8" t="s">
        <v>17</v>
      </c>
      <c r="P129" s="8" t="s">
        <v>18</v>
      </c>
      <c r="Q129" s="8" t="s">
        <v>18</v>
      </c>
      <c r="R129" s="8" t="s">
        <v>2156</v>
      </c>
      <c r="S129" s="8" t="s">
        <v>2157</v>
      </c>
      <c r="T129" s="8" t="s">
        <v>2158</v>
      </c>
      <c r="U129" s="8" t="s">
        <v>2159</v>
      </c>
      <c r="V129" s="8" t="s">
        <v>293</v>
      </c>
      <c r="W129" s="8">
        <f>ROUNDUP(MONTH(V129)/3,0)</f>
        <v>4</v>
      </c>
      <c r="X129" s="8">
        <f>K129*L129*N129</f>
        <v>0</v>
      </c>
    </row>
    <row r="130" spans="1:24" s="8" customFormat="1" ht="41.5" customHeight="1">
      <c r="A130" s="8" t="s">
        <v>2328</v>
      </c>
      <c r="B130" s="8" t="s">
        <v>2267</v>
      </c>
      <c r="C130" s="9">
        <v>46000.3856019097</v>
      </c>
      <c r="D130" s="8" t="s">
        <v>2056</v>
      </c>
      <c r="E130" s="8" t="s">
        <v>2057</v>
      </c>
      <c r="F130" s="8">
        <v>1</v>
      </c>
      <c r="G130" s="22" t="s">
        <v>300</v>
      </c>
      <c r="H130" s="8" t="s">
        <v>300</v>
      </c>
      <c r="I130" s="2" t="str">
        <f t="shared" si="4"/>
        <v>Côn sắt D16</v>
      </c>
      <c r="J130" s="8" t="s">
        <v>15</v>
      </c>
      <c r="K130" s="10">
        <v>1475</v>
      </c>
      <c r="L130" s="10">
        <v>12000</v>
      </c>
      <c r="M130" s="11">
        <v>17700000</v>
      </c>
      <c r="N130" s="8" t="s">
        <v>30</v>
      </c>
      <c r="O130" s="8" t="s">
        <v>17</v>
      </c>
      <c r="P130" s="8" t="s">
        <v>18</v>
      </c>
      <c r="Q130" s="8" t="s">
        <v>18</v>
      </c>
      <c r="R130" s="8" t="s">
        <v>2115</v>
      </c>
      <c r="S130" s="8" t="s">
        <v>2248</v>
      </c>
      <c r="T130" s="8" t="s">
        <v>2249</v>
      </c>
      <c r="U130" s="8" t="s">
        <v>2250</v>
      </c>
      <c r="V130" s="8" t="s">
        <v>210</v>
      </c>
      <c r="W130" s="8">
        <f>ROUNDUP(MONTH(V130)/3,0)</f>
        <v>4</v>
      </c>
      <c r="X130" s="8">
        <f>K130*L130*N130</f>
        <v>1770000</v>
      </c>
    </row>
    <row r="131" spans="1:24" s="8" customFormat="1" ht="41.5" customHeight="1">
      <c r="A131" s="8" t="s">
        <v>2328</v>
      </c>
      <c r="B131" s="8" t="s">
        <v>2267</v>
      </c>
      <c r="C131" s="9">
        <v>46000.3856019097</v>
      </c>
      <c r="D131" s="8" t="s">
        <v>2056</v>
      </c>
      <c r="E131" s="8" t="s">
        <v>2057</v>
      </c>
      <c r="F131" s="8">
        <v>2</v>
      </c>
      <c r="G131" s="22" t="s">
        <v>623</v>
      </c>
      <c r="H131" s="8" t="s">
        <v>301</v>
      </c>
      <c r="I131" s="2" t="str">
        <f t="shared" si="4"/>
        <v>Bao jumbo 90*90*120cm</v>
      </c>
      <c r="J131" s="8" t="s">
        <v>15</v>
      </c>
      <c r="K131" s="10">
        <v>400</v>
      </c>
      <c r="L131" s="10">
        <v>70000</v>
      </c>
      <c r="M131" s="11">
        <v>28000000</v>
      </c>
      <c r="N131" s="8" t="s">
        <v>16</v>
      </c>
      <c r="O131" s="8" t="s">
        <v>17</v>
      </c>
      <c r="P131" s="8" t="s">
        <v>18</v>
      </c>
      <c r="Q131" s="8" t="s">
        <v>18</v>
      </c>
      <c r="R131" s="8" t="s">
        <v>2115</v>
      </c>
      <c r="S131" s="8" t="s">
        <v>2248</v>
      </c>
      <c r="T131" s="8" t="s">
        <v>2249</v>
      </c>
      <c r="U131" s="8" t="s">
        <v>2250</v>
      </c>
      <c r="V131" s="8" t="s">
        <v>210</v>
      </c>
      <c r="W131" s="8">
        <f>ROUNDUP(MONTH(V131)/3,0)</f>
        <v>4</v>
      </c>
      <c r="X131" s="8">
        <f>K131*L131*N131</f>
        <v>2240000</v>
      </c>
    </row>
    <row r="132" spans="1:24" s="8" customFormat="1" ht="41.5" customHeight="1">
      <c r="A132" s="8" t="s">
        <v>2329</v>
      </c>
      <c r="B132" s="8" t="s">
        <v>2330</v>
      </c>
      <c r="C132" s="9">
        <v>46007.726901585702</v>
      </c>
      <c r="D132" s="8" t="s">
        <v>2056</v>
      </c>
      <c r="E132" s="8" t="s">
        <v>2057</v>
      </c>
      <c r="F132" s="8">
        <v>1</v>
      </c>
      <c r="G132" s="27" t="s">
        <v>2166</v>
      </c>
      <c r="H132" s="8" t="s">
        <v>302</v>
      </c>
      <c r="I132" s="2" t="str">
        <f t="shared" si="4"/>
        <v>Máy khoan búa GBG 2-24 DRE</v>
      </c>
      <c r="J132" s="8" t="s">
        <v>15</v>
      </c>
      <c r="K132" s="10">
        <v>1</v>
      </c>
      <c r="L132" s="10">
        <v>2512963</v>
      </c>
      <c r="M132" s="11">
        <v>2512963</v>
      </c>
      <c r="N132" s="8" t="s">
        <v>16</v>
      </c>
      <c r="O132" s="8" t="s">
        <v>17</v>
      </c>
      <c r="P132" s="8" t="s">
        <v>18</v>
      </c>
      <c r="Q132" s="8" t="s">
        <v>18</v>
      </c>
      <c r="R132" s="8" t="s">
        <v>2115</v>
      </c>
      <c r="S132" s="8" t="s">
        <v>2161</v>
      </c>
      <c r="T132" s="8" t="s">
        <v>2162</v>
      </c>
      <c r="U132" s="8" t="s">
        <v>2163</v>
      </c>
      <c r="V132" s="8" t="s">
        <v>262</v>
      </c>
      <c r="W132" s="8">
        <f>ROUNDUP(MONTH(V132)/3,0)</f>
        <v>4</v>
      </c>
      <c r="X132" s="8">
        <f>K132*L132*N132</f>
        <v>201037.04</v>
      </c>
    </row>
    <row r="133" spans="1:24" s="8" customFormat="1" ht="41.5" customHeight="1">
      <c r="A133" s="8" t="s">
        <v>2331</v>
      </c>
      <c r="B133" s="8" t="s">
        <v>2332</v>
      </c>
      <c r="C133" s="9">
        <v>45996.557686655098</v>
      </c>
      <c r="D133" s="8" t="s">
        <v>2056</v>
      </c>
      <c r="E133" s="8" t="s">
        <v>2057</v>
      </c>
      <c r="F133" s="8">
        <v>1</v>
      </c>
      <c r="G133" s="22" t="s">
        <v>303</v>
      </c>
      <c r="H133" s="8" t="s">
        <v>303</v>
      </c>
      <c r="I133" s="2" t="str">
        <f t="shared" si="4"/>
        <v>Mạ kẽm nhúng nóng thép V50</v>
      </c>
      <c r="J133" s="8" t="s">
        <v>62</v>
      </c>
      <c r="K133" s="10">
        <v>19980</v>
      </c>
      <c r="L133" s="10">
        <v>7300</v>
      </c>
      <c r="M133" s="11">
        <v>145854000</v>
      </c>
      <c r="N133" s="8" t="s">
        <v>16</v>
      </c>
      <c r="O133" s="8" t="s">
        <v>17</v>
      </c>
      <c r="P133" s="8" t="s">
        <v>18</v>
      </c>
      <c r="Q133" s="8" t="s">
        <v>18</v>
      </c>
      <c r="R133" s="8" t="s">
        <v>2115</v>
      </c>
      <c r="S133" s="8" t="s">
        <v>2333</v>
      </c>
      <c r="T133" s="8" t="s">
        <v>2334</v>
      </c>
      <c r="U133" s="8" t="s">
        <v>2335</v>
      </c>
      <c r="V133" s="8" t="s">
        <v>304</v>
      </c>
      <c r="W133" s="8">
        <f>ROUNDUP(MONTH(V133)/3,0)</f>
        <v>4</v>
      </c>
      <c r="X133" s="8">
        <f>K133*L133*N133</f>
        <v>11668320</v>
      </c>
    </row>
    <row r="134" spans="1:24" s="8" customFormat="1" ht="41.5" customHeight="1">
      <c r="A134" s="8" t="s">
        <v>2281</v>
      </c>
      <c r="B134" s="8" t="s">
        <v>305</v>
      </c>
      <c r="C134" s="9">
        <v>45978.7357410185</v>
      </c>
      <c r="D134" s="8" t="s">
        <v>2056</v>
      </c>
      <c r="E134" s="8" t="s">
        <v>2057</v>
      </c>
      <c r="F134" s="8">
        <v>1</v>
      </c>
      <c r="G134" s="22" t="s">
        <v>2167</v>
      </c>
      <c r="H134" s="8" t="s">
        <v>306</v>
      </c>
      <c r="I134" s="2" t="str">
        <f t="shared" ref="I134:I197" si="5">G134</f>
        <v>JDDB1D45 -  máy phá dỡ</v>
      </c>
      <c r="J134" s="8" t="s">
        <v>15</v>
      </c>
      <c r="K134" s="10">
        <v>4</v>
      </c>
      <c r="L134" s="10">
        <v>1648636.5</v>
      </c>
      <c r="M134" s="11">
        <v>6594546</v>
      </c>
      <c r="N134" s="8" t="s">
        <v>30</v>
      </c>
      <c r="O134" s="8" t="s">
        <v>17</v>
      </c>
      <c r="P134" s="8" t="s">
        <v>18</v>
      </c>
      <c r="Q134" s="8" t="s">
        <v>18</v>
      </c>
      <c r="R134" s="8" t="s">
        <v>2115</v>
      </c>
      <c r="S134" s="8" t="s">
        <v>2171</v>
      </c>
      <c r="T134" s="8" t="s">
        <v>2172</v>
      </c>
      <c r="U134" s="8" t="s">
        <v>2173</v>
      </c>
      <c r="V134" s="8" t="s">
        <v>307</v>
      </c>
      <c r="W134" s="8">
        <f>ROUNDUP(MONTH(V134)/3,0)</f>
        <v>4</v>
      </c>
      <c r="X134" s="8">
        <f>K134*L134*N134</f>
        <v>659454.60000000009</v>
      </c>
    </row>
    <row r="135" spans="1:24" s="8" customFormat="1" ht="41.5" customHeight="1">
      <c r="A135" s="8" t="s">
        <v>2281</v>
      </c>
      <c r="B135" s="8" t="s">
        <v>305</v>
      </c>
      <c r="C135" s="9">
        <v>45978.7357410185</v>
      </c>
      <c r="D135" s="8" t="s">
        <v>2056</v>
      </c>
      <c r="E135" s="8" t="s">
        <v>2057</v>
      </c>
      <c r="F135" s="8">
        <v>2</v>
      </c>
      <c r="G135" s="22" t="s">
        <v>308</v>
      </c>
      <c r="H135" s="8" t="s">
        <v>308</v>
      </c>
      <c r="I135" s="2" t="str">
        <f t="shared" si="5"/>
        <v>DL2008 Kìm điện 8inch E</v>
      </c>
      <c r="J135" s="8" t="s">
        <v>19</v>
      </c>
      <c r="K135" s="10">
        <v>12</v>
      </c>
      <c r="L135" s="10">
        <v>55111.08</v>
      </c>
      <c r="M135" s="11">
        <v>661333</v>
      </c>
      <c r="N135" s="8" t="s">
        <v>16</v>
      </c>
      <c r="O135" s="8" t="s">
        <v>17</v>
      </c>
      <c r="P135" s="8" t="s">
        <v>18</v>
      </c>
      <c r="Q135" s="8" t="s">
        <v>18</v>
      </c>
      <c r="R135" s="8" t="s">
        <v>2115</v>
      </c>
      <c r="S135" s="8" t="s">
        <v>2171</v>
      </c>
      <c r="T135" s="8" t="s">
        <v>2172</v>
      </c>
      <c r="U135" s="8" t="s">
        <v>2173</v>
      </c>
      <c r="V135" s="8" t="s">
        <v>307</v>
      </c>
      <c r="W135" s="8">
        <f>ROUNDUP(MONTH(V135)/3,0)</f>
        <v>4</v>
      </c>
      <c r="X135" s="8">
        <f>K135*L135*N135</f>
        <v>52906.6368</v>
      </c>
    </row>
    <row r="136" spans="1:24" s="8" customFormat="1" ht="41.5" customHeight="1">
      <c r="A136" s="8" t="s">
        <v>2281</v>
      </c>
      <c r="B136" s="8" t="s">
        <v>305</v>
      </c>
      <c r="C136" s="9">
        <v>45978.7357410185</v>
      </c>
      <c r="D136" s="8" t="s">
        <v>2056</v>
      </c>
      <c r="E136" s="8" t="s">
        <v>2057</v>
      </c>
      <c r="F136" s="8">
        <v>3</v>
      </c>
      <c r="G136" s="22" t="s">
        <v>1355</v>
      </c>
      <c r="H136" s="8" t="s">
        <v>309</v>
      </c>
      <c r="I136" s="2" t="str">
        <f t="shared" si="5"/>
        <v>DL2207 Kìm cắt 7" E</v>
      </c>
      <c r="J136" s="8" t="s">
        <v>19</v>
      </c>
      <c r="K136" s="10">
        <v>12</v>
      </c>
      <c r="L136" s="10">
        <v>54250</v>
      </c>
      <c r="M136" s="11">
        <v>651000</v>
      </c>
      <c r="N136" s="8" t="s">
        <v>16</v>
      </c>
      <c r="O136" s="8" t="s">
        <v>17</v>
      </c>
      <c r="P136" s="8" t="s">
        <v>18</v>
      </c>
      <c r="Q136" s="8" t="s">
        <v>18</v>
      </c>
      <c r="R136" s="8" t="s">
        <v>2115</v>
      </c>
      <c r="S136" s="8" t="s">
        <v>2171</v>
      </c>
      <c r="T136" s="8" t="s">
        <v>2172</v>
      </c>
      <c r="U136" s="8" t="s">
        <v>2173</v>
      </c>
      <c r="V136" s="8" t="s">
        <v>307</v>
      </c>
      <c r="W136" s="8">
        <f>ROUNDUP(MONTH(V136)/3,0)</f>
        <v>4</v>
      </c>
      <c r="X136" s="8">
        <f>K136*L136*N136</f>
        <v>52080</v>
      </c>
    </row>
    <row r="137" spans="1:24" s="8" customFormat="1" ht="41.5" customHeight="1">
      <c r="A137" s="8" t="s">
        <v>2281</v>
      </c>
      <c r="B137" s="8" t="s">
        <v>305</v>
      </c>
      <c r="C137" s="9">
        <v>45978.7357410185</v>
      </c>
      <c r="D137" s="8" t="s">
        <v>2056</v>
      </c>
      <c r="E137" s="8" t="s">
        <v>2057</v>
      </c>
      <c r="F137" s="8">
        <v>4</v>
      </c>
      <c r="G137" s="22" t="s">
        <v>2168</v>
      </c>
      <c r="H137" s="8" t="s">
        <v>310</v>
      </c>
      <c r="I137" s="2" t="str">
        <f t="shared" si="5"/>
        <v>EDL2206 Kìm cắt 6</v>
      </c>
      <c r="J137" s="8" t="s">
        <v>19</v>
      </c>
      <c r="K137" s="10">
        <v>12</v>
      </c>
      <c r="L137" s="10">
        <v>45638.92</v>
      </c>
      <c r="M137" s="11">
        <v>547667</v>
      </c>
      <c r="N137" s="8" t="s">
        <v>16</v>
      </c>
      <c r="O137" s="8" t="s">
        <v>17</v>
      </c>
      <c r="P137" s="8" t="s">
        <v>18</v>
      </c>
      <c r="Q137" s="8" t="s">
        <v>18</v>
      </c>
      <c r="R137" s="8" t="s">
        <v>2115</v>
      </c>
      <c r="S137" s="8" t="s">
        <v>2171</v>
      </c>
      <c r="T137" s="8" t="s">
        <v>2172</v>
      </c>
      <c r="U137" s="8" t="s">
        <v>2173</v>
      </c>
      <c r="V137" s="8" t="s">
        <v>307</v>
      </c>
      <c r="W137" s="8">
        <f>ROUNDUP(MONTH(V137)/3,0)</f>
        <v>4</v>
      </c>
      <c r="X137" s="8">
        <f>K137*L137*N137</f>
        <v>43813.363200000007</v>
      </c>
    </row>
    <row r="138" spans="1:24" s="8" customFormat="1" ht="41.5" customHeight="1">
      <c r="A138" s="8" t="s">
        <v>2281</v>
      </c>
      <c r="B138" s="8" t="s">
        <v>305</v>
      </c>
      <c r="C138" s="9">
        <v>45978.7357410185</v>
      </c>
      <c r="D138" s="8" t="s">
        <v>2056</v>
      </c>
      <c r="E138" s="8" t="s">
        <v>2057</v>
      </c>
      <c r="F138" s="8">
        <v>5</v>
      </c>
      <c r="G138" s="22" t="s">
        <v>311</v>
      </c>
      <c r="H138" s="8" t="s">
        <v>311</v>
      </c>
      <c r="I138" s="2" t="str">
        <f t="shared" si="5"/>
        <v>JDSS45M5 - Tua vít 2 trong 1</v>
      </c>
      <c r="J138" s="8" t="s">
        <v>15</v>
      </c>
      <c r="K138" s="10">
        <v>12</v>
      </c>
      <c r="L138" s="10">
        <v>26694.42</v>
      </c>
      <c r="M138" s="11">
        <v>320333</v>
      </c>
      <c r="N138" s="8" t="s">
        <v>30</v>
      </c>
      <c r="O138" s="8" t="s">
        <v>17</v>
      </c>
      <c r="P138" s="8" t="s">
        <v>18</v>
      </c>
      <c r="Q138" s="8" t="s">
        <v>18</v>
      </c>
      <c r="R138" s="8" t="s">
        <v>2115</v>
      </c>
      <c r="S138" s="8" t="s">
        <v>2171</v>
      </c>
      <c r="T138" s="8" t="s">
        <v>2172</v>
      </c>
      <c r="U138" s="8" t="s">
        <v>2173</v>
      </c>
      <c r="V138" s="8" t="s">
        <v>307</v>
      </c>
      <c r="W138" s="8">
        <f>ROUNDUP(MONTH(V138)/3,0)</f>
        <v>4</v>
      </c>
      <c r="X138" s="8">
        <f>K138*L138*N138</f>
        <v>32033.304</v>
      </c>
    </row>
    <row r="139" spans="1:24" s="8" customFormat="1" ht="41.5" customHeight="1">
      <c r="A139" s="8" t="s">
        <v>2281</v>
      </c>
      <c r="B139" s="8" t="s">
        <v>305</v>
      </c>
      <c r="C139" s="9">
        <v>45978.7357410185</v>
      </c>
      <c r="D139" s="8" t="s">
        <v>2056</v>
      </c>
      <c r="E139" s="8" t="s">
        <v>2057</v>
      </c>
      <c r="F139" s="8">
        <v>6</v>
      </c>
      <c r="G139" s="22" t="s">
        <v>231</v>
      </c>
      <c r="H139" s="8" t="s">
        <v>231</v>
      </c>
      <c r="I139" s="2" t="str">
        <f t="shared" si="5"/>
        <v>DL-DC26-E1 Máy khoan búa 800W</v>
      </c>
      <c r="J139" s="8" t="s">
        <v>19</v>
      </c>
      <c r="K139" s="10">
        <v>1</v>
      </c>
      <c r="L139" s="10">
        <v>1171111</v>
      </c>
      <c r="M139" s="11">
        <v>1171111</v>
      </c>
      <c r="N139" s="8" t="s">
        <v>16</v>
      </c>
      <c r="O139" s="8" t="s">
        <v>17</v>
      </c>
      <c r="P139" s="8" t="s">
        <v>18</v>
      </c>
      <c r="Q139" s="8" t="s">
        <v>18</v>
      </c>
      <c r="R139" s="8" t="s">
        <v>2115</v>
      </c>
      <c r="S139" s="8" t="s">
        <v>2171</v>
      </c>
      <c r="T139" s="8" t="s">
        <v>2172</v>
      </c>
      <c r="U139" s="8" t="s">
        <v>2173</v>
      </c>
      <c r="V139" s="8" t="s">
        <v>307</v>
      </c>
      <c r="W139" s="8">
        <f>ROUNDUP(MONTH(V139)/3,0)</f>
        <v>4</v>
      </c>
      <c r="X139" s="8">
        <f>K139*L139*N139</f>
        <v>93688.88</v>
      </c>
    </row>
    <row r="140" spans="1:24" s="8" customFormat="1" ht="41.5" customHeight="1">
      <c r="A140" s="8" t="s">
        <v>2281</v>
      </c>
      <c r="B140" s="8" t="s">
        <v>305</v>
      </c>
      <c r="C140" s="9">
        <v>45978.7357410185</v>
      </c>
      <c r="D140" s="8" t="s">
        <v>2056</v>
      </c>
      <c r="E140" s="8" t="s">
        <v>2057</v>
      </c>
      <c r="F140" s="8">
        <v>7</v>
      </c>
      <c r="G140" s="22" t="s">
        <v>312</v>
      </c>
      <c r="H140" s="8" t="s">
        <v>312</v>
      </c>
      <c r="I140" s="2" t="str">
        <f t="shared" si="5"/>
        <v>JDRH1D26 - Máy khoan đục bê tông 800W</v>
      </c>
      <c r="J140" s="8" t="s">
        <v>15</v>
      </c>
      <c r="K140" s="10">
        <v>1</v>
      </c>
      <c r="L140" s="10">
        <v>930000</v>
      </c>
      <c r="M140" s="11">
        <v>930000</v>
      </c>
      <c r="N140" s="8" t="s">
        <v>30</v>
      </c>
      <c r="O140" s="8" t="s">
        <v>17</v>
      </c>
      <c r="P140" s="8" t="s">
        <v>18</v>
      </c>
      <c r="Q140" s="8" t="s">
        <v>18</v>
      </c>
      <c r="R140" s="8" t="s">
        <v>2115</v>
      </c>
      <c r="S140" s="8" t="s">
        <v>2171</v>
      </c>
      <c r="T140" s="8" t="s">
        <v>2172</v>
      </c>
      <c r="U140" s="8" t="s">
        <v>2173</v>
      </c>
      <c r="V140" s="8" t="s">
        <v>307</v>
      </c>
      <c r="W140" s="8">
        <f>ROUNDUP(MONTH(V140)/3,0)</f>
        <v>4</v>
      </c>
      <c r="X140" s="8">
        <f>K140*L140*N140</f>
        <v>93000</v>
      </c>
    </row>
    <row r="141" spans="1:24" s="8" customFormat="1" ht="41.5" customHeight="1">
      <c r="A141" s="8" t="s">
        <v>2281</v>
      </c>
      <c r="B141" s="8" t="s">
        <v>305</v>
      </c>
      <c r="C141" s="9">
        <v>45978.7357410185</v>
      </c>
      <c r="D141" s="8" t="s">
        <v>2056</v>
      </c>
      <c r="E141" s="8" t="s">
        <v>2057</v>
      </c>
      <c r="F141" s="8">
        <v>8</v>
      </c>
      <c r="G141" s="22" t="s">
        <v>2169</v>
      </c>
      <c r="H141" s="8" t="s">
        <v>121</v>
      </c>
      <c r="I141" s="2" t="str">
        <f t="shared" si="5"/>
        <v>JDDC1K01 - Đĩa cắt gạch khô 110x20 mm</v>
      </c>
      <c r="J141" s="8" t="s">
        <v>15</v>
      </c>
      <c r="K141" s="10">
        <v>20</v>
      </c>
      <c r="L141" s="10">
        <v>36272.75</v>
      </c>
      <c r="M141" s="11">
        <v>725455</v>
      </c>
      <c r="N141" s="8" t="s">
        <v>30</v>
      </c>
      <c r="O141" s="8" t="s">
        <v>17</v>
      </c>
      <c r="P141" s="8" t="s">
        <v>18</v>
      </c>
      <c r="Q141" s="8" t="s">
        <v>18</v>
      </c>
      <c r="R141" s="8" t="s">
        <v>2115</v>
      </c>
      <c r="S141" s="8" t="s">
        <v>2171</v>
      </c>
      <c r="T141" s="8" t="s">
        <v>2172</v>
      </c>
      <c r="U141" s="8" t="s">
        <v>2173</v>
      </c>
      <c r="V141" s="8" t="s">
        <v>307</v>
      </c>
      <c r="W141" s="8">
        <f>ROUNDUP(MONTH(V141)/3,0)</f>
        <v>4</v>
      </c>
      <c r="X141" s="8">
        <f>K141*L141*N141</f>
        <v>72545.5</v>
      </c>
    </row>
    <row r="142" spans="1:24" s="8" customFormat="1" ht="41.5" customHeight="1">
      <c r="A142" s="8" t="s">
        <v>2281</v>
      </c>
      <c r="B142" s="8" t="s">
        <v>305</v>
      </c>
      <c r="C142" s="9">
        <v>45978.7357410185</v>
      </c>
      <c r="D142" s="8" t="s">
        <v>2056</v>
      </c>
      <c r="E142" s="8" t="s">
        <v>2057</v>
      </c>
      <c r="F142" s="8">
        <v>9</v>
      </c>
      <c r="G142" s="22" t="s">
        <v>1351</v>
      </c>
      <c r="H142" s="8" t="s">
        <v>123</v>
      </c>
      <c r="I142" s="2" t="str">
        <f t="shared" si="5"/>
        <v>DH-HJZ017-E1 Mũi đục nhọn chuôi lục giác</v>
      </c>
      <c r="J142" s="8" t="s">
        <v>19</v>
      </c>
      <c r="K142" s="10">
        <v>10</v>
      </c>
      <c r="L142" s="10">
        <v>44421.3</v>
      </c>
      <c r="M142" s="11">
        <v>444213</v>
      </c>
      <c r="N142" s="8" t="s">
        <v>16</v>
      </c>
      <c r="O142" s="8" t="s">
        <v>17</v>
      </c>
      <c r="P142" s="8" t="s">
        <v>18</v>
      </c>
      <c r="Q142" s="8" t="s">
        <v>18</v>
      </c>
      <c r="R142" s="8" t="s">
        <v>2115</v>
      </c>
      <c r="S142" s="8" t="s">
        <v>2171</v>
      </c>
      <c r="T142" s="8" t="s">
        <v>2172</v>
      </c>
      <c r="U142" s="8" t="s">
        <v>2173</v>
      </c>
      <c r="V142" s="8" t="s">
        <v>307</v>
      </c>
      <c r="W142" s="8">
        <f>ROUNDUP(MONTH(V142)/3,0)</f>
        <v>4</v>
      </c>
      <c r="X142" s="8">
        <f>K142*L142*N142</f>
        <v>35537.040000000001</v>
      </c>
    </row>
    <row r="143" spans="1:24" s="8" customFormat="1" ht="41.5" customHeight="1">
      <c r="A143" s="8" t="s">
        <v>2281</v>
      </c>
      <c r="B143" s="8" t="s">
        <v>305</v>
      </c>
      <c r="C143" s="9">
        <v>45978.7357410185</v>
      </c>
      <c r="D143" s="8" t="s">
        <v>2056</v>
      </c>
      <c r="E143" s="8" t="s">
        <v>2057</v>
      </c>
      <c r="F143" s="8">
        <v>10</v>
      </c>
      <c r="G143" s="22" t="s">
        <v>2170</v>
      </c>
      <c r="H143" s="8" t="s">
        <v>313</v>
      </c>
      <c r="I143" s="2" t="str">
        <f t="shared" si="5"/>
        <v>DH-YBZ20250-E1 Mũi đục dẹp chuôi gài</v>
      </c>
      <c r="J143" s="8" t="s">
        <v>19</v>
      </c>
      <c r="K143" s="10">
        <v>10</v>
      </c>
      <c r="L143" s="10">
        <v>29537</v>
      </c>
      <c r="M143" s="11">
        <v>295370</v>
      </c>
      <c r="N143" s="8" t="s">
        <v>16</v>
      </c>
      <c r="O143" s="8" t="s">
        <v>17</v>
      </c>
      <c r="P143" s="8" t="s">
        <v>18</v>
      </c>
      <c r="Q143" s="8" t="s">
        <v>18</v>
      </c>
      <c r="R143" s="8" t="s">
        <v>2115</v>
      </c>
      <c r="S143" s="8" t="s">
        <v>2171</v>
      </c>
      <c r="T143" s="8" t="s">
        <v>2172</v>
      </c>
      <c r="U143" s="8" t="s">
        <v>2173</v>
      </c>
      <c r="V143" s="8" t="s">
        <v>307</v>
      </c>
      <c r="W143" s="8">
        <f>ROUNDUP(MONTH(V143)/3,0)</f>
        <v>4</v>
      </c>
      <c r="X143" s="8">
        <f>K143*L143*N143</f>
        <v>23629.600000000002</v>
      </c>
    </row>
    <row r="144" spans="1:24" s="8" customFormat="1" ht="41.5" customHeight="1">
      <c r="A144" s="8" t="s">
        <v>2281</v>
      </c>
      <c r="B144" s="8" t="s">
        <v>305</v>
      </c>
      <c r="C144" s="9">
        <v>45978.7357410185</v>
      </c>
      <c r="D144" s="8" t="s">
        <v>2056</v>
      </c>
      <c r="E144" s="8" t="s">
        <v>2057</v>
      </c>
      <c r="F144" s="8">
        <v>11</v>
      </c>
      <c r="G144" s="22" t="s">
        <v>1549</v>
      </c>
      <c r="H144" s="8" t="s">
        <v>122</v>
      </c>
      <c r="I144" s="2" t="str">
        <f t="shared" si="5"/>
        <v>DH-HBZ25280-E1 Mũi đục dẹp chuôi lục giác</v>
      </c>
      <c r="J144" s="8" t="s">
        <v>19</v>
      </c>
      <c r="K144" s="10">
        <v>10</v>
      </c>
      <c r="L144" s="10">
        <v>44421.3</v>
      </c>
      <c r="M144" s="11">
        <v>444213</v>
      </c>
      <c r="N144" s="8" t="s">
        <v>16</v>
      </c>
      <c r="O144" s="8" t="s">
        <v>17</v>
      </c>
      <c r="P144" s="8" t="s">
        <v>18</v>
      </c>
      <c r="Q144" s="8" t="s">
        <v>18</v>
      </c>
      <c r="R144" s="8" t="s">
        <v>2115</v>
      </c>
      <c r="S144" s="8" t="s">
        <v>2171</v>
      </c>
      <c r="T144" s="8" t="s">
        <v>2172</v>
      </c>
      <c r="U144" s="8" t="s">
        <v>2173</v>
      </c>
      <c r="V144" s="8" t="s">
        <v>307</v>
      </c>
      <c r="W144" s="8">
        <f>ROUNDUP(MONTH(V144)/3,0)</f>
        <v>4</v>
      </c>
      <c r="X144" s="8">
        <f>K144*L144*N144</f>
        <v>35537.040000000001</v>
      </c>
    </row>
    <row r="145" spans="1:24" s="8" customFormat="1" ht="41.5" customHeight="1">
      <c r="A145" s="8" t="s">
        <v>2281</v>
      </c>
      <c r="B145" s="8" t="s">
        <v>305</v>
      </c>
      <c r="C145" s="9">
        <v>45978.7357410185</v>
      </c>
      <c r="D145" s="8" t="s">
        <v>2056</v>
      </c>
      <c r="E145" s="8" t="s">
        <v>2057</v>
      </c>
      <c r="F145" s="8">
        <v>12</v>
      </c>
      <c r="G145" s="22" t="s">
        <v>238</v>
      </c>
      <c r="H145" s="8" t="s">
        <v>238</v>
      </c>
      <c r="I145" s="2" t="str">
        <f t="shared" si="5"/>
        <v>DL270725L Thước lỗ ban 2 mặt 7.5m*25mm E</v>
      </c>
      <c r="J145" s="8" t="s">
        <v>19</v>
      </c>
      <c r="K145" s="10">
        <v>12</v>
      </c>
      <c r="L145" s="10">
        <v>42222.25</v>
      </c>
      <c r="M145" s="11">
        <v>506667</v>
      </c>
      <c r="N145" s="8" t="s">
        <v>16</v>
      </c>
      <c r="O145" s="8" t="s">
        <v>17</v>
      </c>
      <c r="P145" s="8" t="s">
        <v>18</v>
      </c>
      <c r="Q145" s="8" t="s">
        <v>18</v>
      </c>
      <c r="R145" s="8" t="s">
        <v>2115</v>
      </c>
      <c r="S145" s="8" t="s">
        <v>2171</v>
      </c>
      <c r="T145" s="8" t="s">
        <v>2172</v>
      </c>
      <c r="U145" s="8" t="s">
        <v>2173</v>
      </c>
      <c r="V145" s="8" t="s">
        <v>307</v>
      </c>
      <c r="W145" s="8">
        <f>ROUNDUP(MONTH(V145)/3,0)</f>
        <v>4</v>
      </c>
      <c r="X145" s="8">
        <f>K145*L145*N145</f>
        <v>40533.360000000001</v>
      </c>
    </row>
    <row r="146" spans="1:24" s="8" customFormat="1" ht="41.5" customHeight="1">
      <c r="A146" s="8" t="s">
        <v>2281</v>
      </c>
      <c r="B146" s="8" t="s">
        <v>305</v>
      </c>
      <c r="C146" s="9">
        <v>45978.7357410185</v>
      </c>
      <c r="D146" s="8" t="s">
        <v>2056</v>
      </c>
      <c r="E146" s="8" t="s">
        <v>2057</v>
      </c>
      <c r="F146" s="8">
        <v>13</v>
      </c>
      <c r="G146" s="22" t="s">
        <v>2174</v>
      </c>
      <c r="H146" s="8" t="s">
        <v>314</v>
      </c>
      <c r="I146" s="2" t="str">
        <f t="shared" si="5"/>
        <v>EDL2507 Kéo cắt ống nước 42mm</v>
      </c>
      <c r="J146" s="8" t="s">
        <v>19</v>
      </c>
      <c r="K146" s="10">
        <v>1</v>
      </c>
      <c r="L146" s="10">
        <v>146019</v>
      </c>
      <c r="M146" s="11">
        <v>146019</v>
      </c>
      <c r="N146" s="8" t="s">
        <v>16</v>
      </c>
      <c r="O146" s="8" t="s">
        <v>17</v>
      </c>
      <c r="P146" s="8" t="s">
        <v>18</v>
      </c>
      <c r="Q146" s="8" t="s">
        <v>18</v>
      </c>
      <c r="R146" s="8" t="s">
        <v>2115</v>
      </c>
      <c r="S146" s="8" t="s">
        <v>2171</v>
      </c>
      <c r="T146" s="8" t="s">
        <v>2172</v>
      </c>
      <c r="U146" s="8" t="s">
        <v>2173</v>
      </c>
      <c r="V146" s="8" t="s">
        <v>307</v>
      </c>
      <c r="W146" s="8">
        <f>ROUNDUP(MONTH(V146)/3,0)</f>
        <v>4</v>
      </c>
      <c r="X146" s="8">
        <f>K146*L146*N146</f>
        <v>11681.52</v>
      </c>
    </row>
    <row r="147" spans="1:24" s="8" customFormat="1" ht="41.5" customHeight="1">
      <c r="A147" s="8" t="s">
        <v>2281</v>
      </c>
      <c r="B147" s="8" t="s">
        <v>305</v>
      </c>
      <c r="C147" s="9">
        <v>45978.7357410185</v>
      </c>
      <c r="D147" s="8" t="s">
        <v>2056</v>
      </c>
      <c r="E147" s="8" t="s">
        <v>2057</v>
      </c>
      <c r="F147" s="8">
        <v>14</v>
      </c>
      <c r="G147" s="22" t="s">
        <v>315</v>
      </c>
      <c r="H147" s="8" t="s">
        <v>315</v>
      </c>
      <c r="I147" s="2" t="str">
        <f t="shared" si="5"/>
        <v>DL25912 Kéo cắt tole 12inch 300mm E</v>
      </c>
      <c r="J147" s="8" t="s">
        <v>19</v>
      </c>
      <c r="K147" s="10">
        <v>5</v>
      </c>
      <c r="L147" s="10">
        <v>115231.4</v>
      </c>
      <c r="M147" s="11">
        <v>576157</v>
      </c>
      <c r="N147" s="8" t="s">
        <v>16</v>
      </c>
      <c r="O147" s="8" t="s">
        <v>17</v>
      </c>
      <c r="P147" s="8" t="s">
        <v>18</v>
      </c>
      <c r="Q147" s="8" t="s">
        <v>18</v>
      </c>
      <c r="R147" s="8" t="s">
        <v>2115</v>
      </c>
      <c r="S147" s="8" t="s">
        <v>2171</v>
      </c>
      <c r="T147" s="8" t="s">
        <v>2172</v>
      </c>
      <c r="U147" s="8" t="s">
        <v>2173</v>
      </c>
      <c r="V147" s="8" t="s">
        <v>307</v>
      </c>
      <c r="W147" s="8">
        <f>ROUNDUP(MONTH(V147)/3,0)</f>
        <v>4</v>
      </c>
      <c r="X147" s="8">
        <f>K147*L147*N147</f>
        <v>46092.56</v>
      </c>
    </row>
    <row r="148" spans="1:24" s="8" customFormat="1" ht="41.5" customHeight="1">
      <c r="A148" s="8" t="s">
        <v>2281</v>
      </c>
      <c r="B148" s="8" t="s">
        <v>305</v>
      </c>
      <c r="C148" s="9">
        <v>45978.7357410185</v>
      </c>
      <c r="D148" s="8" t="s">
        <v>2056</v>
      </c>
      <c r="E148" s="8" t="s">
        <v>2057</v>
      </c>
      <c r="F148" s="8">
        <v>15</v>
      </c>
      <c r="G148" s="22" t="s">
        <v>2175</v>
      </c>
      <c r="H148" s="8" t="s">
        <v>95</v>
      </c>
      <c r="I148" s="2" t="str">
        <f t="shared" si="5"/>
        <v>dl4805T Mũi chụp tôn đen 8*48mm E</v>
      </c>
      <c r="J148" s="8" t="s">
        <v>55</v>
      </c>
      <c r="K148" s="10">
        <v>10</v>
      </c>
      <c r="L148" s="10">
        <v>45300.9</v>
      </c>
      <c r="M148" s="11">
        <v>453009</v>
      </c>
      <c r="N148" s="8" t="s">
        <v>16</v>
      </c>
      <c r="O148" s="8" t="s">
        <v>17</v>
      </c>
      <c r="P148" s="8" t="s">
        <v>18</v>
      </c>
      <c r="Q148" s="8" t="s">
        <v>18</v>
      </c>
      <c r="R148" s="8" t="s">
        <v>2115</v>
      </c>
      <c r="S148" s="8" t="s">
        <v>2171</v>
      </c>
      <c r="T148" s="8" t="s">
        <v>2172</v>
      </c>
      <c r="U148" s="8" t="s">
        <v>2173</v>
      </c>
      <c r="V148" s="8" t="s">
        <v>307</v>
      </c>
      <c r="W148" s="8">
        <f>ROUNDUP(MONTH(V148)/3,0)</f>
        <v>4</v>
      </c>
      <c r="X148" s="8">
        <f>K148*L148*N148</f>
        <v>36240.720000000001</v>
      </c>
    </row>
    <row r="149" spans="1:24" s="8" customFormat="1" ht="41.5" customHeight="1">
      <c r="A149" s="8" t="s">
        <v>2281</v>
      </c>
      <c r="B149" s="8" t="s">
        <v>305</v>
      </c>
      <c r="C149" s="9">
        <v>45978.7357410185</v>
      </c>
      <c r="D149" s="8" t="s">
        <v>2056</v>
      </c>
      <c r="E149" s="8" t="s">
        <v>2057</v>
      </c>
      <c r="F149" s="8">
        <v>16</v>
      </c>
      <c r="G149" s="22" t="s">
        <v>2176</v>
      </c>
      <c r="H149" s="8" t="s">
        <v>92</v>
      </c>
      <c r="I149" s="2" t="str">
        <f t="shared" si="5"/>
        <v>DH-SZP107-E4 Đá cắt xanh107*1.2mm E</v>
      </c>
      <c r="J149" s="8" t="s">
        <v>55</v>
      </c>
      <c r="K149" s="10">
        <v>5</v>
      </c>
      <c r="L149" s="10">
        <v>240740.8</v>
      </c>
      <c r="M149" s="11">
        <v>1203704</v>
      </c>
      <c r="N149" s="8" t="s">
        <v>16</v>
      </c>
      <c r="O149" s="8" t="s">
        <v>17</v>
      </c>
      <c r="P149" s="8" t="s">
        <v>18</v>
      </c>
      <c r="Q149" s="8" t="s">
        <v>18</v>
      </c>
      <c r="R149" s="8" t="s">
        <v>2115</v>
      </c>
      <c r="S149" s="8" t="s">
        <v>2171</v>
      </c>
      <c r="T149" s="8" t="s">
        <v>2172</v>
      </c>
      <c r="U149" s="8" t="s">
        <v>2173</v>
      </c>
      <c r="V149" s="8" t="s">
        <v>307</v>
      </c>
      <c r="W149" s="8">
        <f>ROUNDUP(MONTH(V149)/3,0)</f>
        <v>4</v>
      </c>
      <c r="X149" s="8">
        <f>K149*L149*N149</f>
        <v>96296.320000000007</v>
      </c>
    </row>
    <row r="150" spans="1:24" s="8" customFormat="1" ht="41.5" customHeight="1">
      <c r="A150" s="8" t="s">
        <v>2281</v>
      </c>
      <c r="B150" s="8" t="s">
        <v>305</v>
      </c>
      <c r="C150" s="9">
        <v>45978.7357410185</v>
      </c>
      <c r="D150" s="8" t="s">
        <v>2056</v>
      </c>
      <c r="E150" s="8" t="s">
        <v>2057</v>
      </c>
      <c r="F150" s="8">
        <v>17</v>
      </c>
      <c r="G150" s="22" t="s">
        <v>2177</v>
      </c>
      <c r="H150" s="8" t="s">
        <v>316</v>
      </c>
      <c r="I150" s="2" t="str">
        <f t="shared" si="5"/>
        <v>EDL350042 Kéo cắt ống nhựa 42mm</v>
      </c>
      <c r="J150" s="8" t="s">
        <v>19</v>
      </c>
      <c r="K150" s="10">
        <v>1</v>
      </c>
      <c r="L150" s="10">
        <v>77847</v>
      </c>
      <c r="M150" s="11">
        <v>77847</v>
      </c>
      <c r="N150" s="8" t="s">
        <v>16</v>
      </c>
      <c r="O150" s="8" t="s">
        <v>17</v>
      </c>
      <c r="P150" s="8" t="s">
        <v>18</v>
      </c>
      <c r="Q150" s="8" t="s">
        <v>18</v>
      </c>
      <c r="R150" s="8" t="s">
        <v>2115</v>
      </c>
      <c r="S150" s="8" t="s">
        <v>2171</v>
      </c>
      <c r="T150" s="8" t="s">
        <v>2172</v>
      </c>
      <c r="U150" s="8" t="s">
        <v>2173</v>
      </c>
      <c r="V150" s="8" t="s">
        <v>307</v>
      </c>
      <c r="W150" s="8">
        <f>ROUNDUP(MONTH(V150)/3,0)</f>
        <v>4</v>
      </c>
      <c r="X150" s="8">
        <f>K150*L150*N150</f>
        <v>6227.76</v>
      </c>
    </row>
    <row r="151" spans="1:24" s="8" customFormat="1" ht="41.5" customHeight="1">
      <c r="A151" s="8" t="s">
        <v>2281</v>
      </c>
      <c r="B151" s="8" t="s">
        <v>305</v>
      </c>
      <c r="C151" s="9">
        <v>45978.7357410185</v>
      </c>
      <c r="D151" s="8" t="s">
        <v>2056</v>
      </c>
      <c r="E151" s="8" t="s">
        <v>2057</v>
      </c>
      <c r="F151" s="8">
        <v>18</v>
      </c>
      <c r="G151" s="22" t="s">
        <v>317</v>
      </c>
      <c r="H151" s="8" t="s">
        <v>317</v>
      </c>
      <c r="I151" s="2" t="str">
        <f t="shared" si="5"/>
        <v>EDL270525L Thước lỗ ban 2 mặt 5m*25mm</v>
      </c>
      <c r="J151" s="8" t="s">
        <v>19</v>
      </c>
      <c r="K151" s="10">
        <v>12</v>
      </c>
      <c r="L151" s="10">
        <v>30347.25</v>
      </c>
      <c r="M151" s="11">
        <v>364167</v>
      </c>
      <c r="N151" s="8" t="s">
        <v>16</v>
      </c>
      <c r="O151" s="8" t="s">
        <v>17</v>
      </c>
      <c r="P151" s="8" t="s">
        <v>18</v>
      </c>
      <c r="Q151" s="8" t="s">
        <v>18</v>
      </c>
      <c r="R151" s="8" t="s">
        <v>2115</v>
      </c>
      <c r="S151" s="8" t="s">
        <v>2171</v>
      </c>
      <c r="T151" s="8" t="s">
        <v>2172</v>
      </c>
      <c r="U151" s="8" t="s">
        <v>2173</v>
      </c>
      <c r="V151" s="8" t="s">
        <v>307</v>
      </c>
      <c r="W151" s="8">
        <f>ROUNDUP(MONTH(V151)/3,0)</f>
        <v>4</v>
      </c>
      <c r="X151" s="8">
        <f>K151*L151*N151</f>
        <v>29133.360000000001</v>
      </c>
    </row>
    <row r="152" spans="1:24" s="8" customFormat="1" ht="41.5" customHeight="1">
      <c r="A152" s="8" t="s">
        <v>2281</v>
      </c>
      <c r="B152" s="8" t="s">
        <v>305</v>
      </c>
      <c r="C152" s="9">
        <v>45978.7357410185</v>
      </c>
      <c r="D152" s="8" t="s">
        <v>2056</v>
      </c>
      <c r="E152" s="8" t="s">
        <v>2057</v>
      </c>
      <c r="F152" s="8">
        <v>19</v>
      </c>
      <c r="G152" s="22" t="s">
        <v>2178</v>
      </c>
      <c r="H152" s="8" t="s">
        <v>318</v>
      </c>
      <c r="I152" s="2" t="str">
        <f t="shared" si="5"/>
        <v>EU211-BL_Bút dạ kính_2 đầu_màu xanh</v>
      </c>
      <c r="J152" s="8" t="s">
        <v>19</v>
      </c>
      <c r="K152" s="10">
        <v>24</v>
      </c>
      <c r="L152" s="10">
        <v>4574.08</v>
      </c>
      <c r="M152" s="11">
        <v>109778</v>
      </c>
      <c r="N152" s="8" t="s">
        <v>16</v>
      </c>
      <c r="O152" s="8" t="s">
        <v>17</v>
      </c>
      <c r="P152" s="8" t="s">
        <v>18</v>
      </c>
      <c r="Q152" s="8" t="s">
        <v>18</v>
      </c>
      <c r="R152" s="8" t="s">
        <v>2115</v>
      </c>
      <c r="S152" s="8" t="s">
        <v>2171</v>
      </c>
      <c r="T152" s="8" t="s">
        <v>2172</v>
      </c>
      <c r="U152" s="8" t="s">
        <v>2173</v>
      </c>
      <c r="V152" s="8" t="s">
        <v>307</v>
      </c>
      <c r="W152" s="8">
        <f>ROUNDUP(MONTH(V152)/3,0)</f>
        <v>4</v>
      </c>
      <c r="X152" s="8">
        <f>K152*L152*N152</f>
        <v>8782.2335999999996</v>
      </c>
    </row>
    <row r="153" spans="1:24" s="8" customFormat="1" ht="41.5" customHeight="1">
      <c r="A153" s="8" t="s">
        <v>2281</v>
      </c>
      <c r="B153" s="8" t="s">
        <v>305</v>
      </c>
      <c r="C153" s="9">
        <v>45978.7357410185</v>
      </c>
      <c r="D153" s="8" t="s">
        <v>2056</v>
      </c>
      <c r="E153" s="8" t="s">
        <v>2057</v>
      </c>
      <c r="F153" s="8">
        <v>20</v>
      </c>
      <c r="G153" s="22" t="s">
        <v>319</v>
      </c>
      <c r="H153" s="8" t="s">
        <v>319</v>
      </c>
      <c r="I153" s="2" t="str">
        <f t="shared" si="5"/>
        <v>CH408_Bút xóa_Màu lẫn</v>
      </c>
      <c r="J153" s="8" t="s">
        <v>19</v>
      </c>
      <c r="K153" s="10">
        <v>24</v>
      </c>
      <c r="L153" s="10">
        <v>20935.169999999998</v>
      </c>
      <c r="M153" s="11">
        <v>502444</v>
      </c>
      <c r="N153" s="8" t="s">
        <v>16</v>
      </c>
      <c r="O153" s="8" t="s">
        <v>17</v>
      </c>
      <c r="P153" s="8" t="s">
        <v>18</v>
      </c>
      <c r="Q153" s="8" t="s">
        <v>18</v>
      </c>
      <c r="R153" s="8" t="s">
        <v>2115</v>
      </c>
      <c r="S153" s="8" t="s">
        <v>2171</v>
      </c>
      <c r="T153" s="8" t="s">
        <v>2172</v>
      </c>
      <c r="U153" s="8" t="s">
        <v>2173</v>
      </c>
      <c r="V153" s="8" t="s">
        <v>307</v>
      </c>
      <c r="W153" s="8">
        <f>ROUNDUP(MONTH(V153)/3,0)</f>
        <v>4</v>
      </c>
      <c r="X153" s="8">
        <f>K153*L153*N153</f>
        <v>40195.526399999995</v>
      </c>
    </row>
    <row r="154" spans="1:24" s="8" customFormat="1" ht="41.5" customHeight="1">
      <c r="A154" s="8" t="s">
        <v>2281</v>
      </c>
      <c r="B154" s="8" t="s">
        <v>305</v>
      </c>
      <c r="C154" s="9">
        <v>45978.7357410185</v>
      </c>
      <c r="D154" s="8" t="s">
        <v>2056</v>
      </c>
      <c r="E154" s="8" t="s">
        <v>2057</v>
      </c>
      <c r="F154" s="8">
        <v>21</v>
      </c>
      <c r="G154" s="22" t="s">
        <v>2179</v>
      </c>
      <c r="H154" s="8" t="s">
        <v>320</v>
      </c>
      <c r="I154" s="2" t="str">
        <f t="shared" si="5"/>
        <v>JDHR2610- Kìm rút rivet 10.5"</v>
      </c>
      <c r="J154" s="8" t="s">
        <v>15</v>
      </c>
      <c r="K154" s="10">
        <v>2</v>
      </c>
      <c r="L154" s="10">
        <v>86363.5</v>
      </c>
      <c r="M154" s="11">
        <v>172727</v>
      </c>
      <c r="N154" s="8" t="s">
        <v>30</v>
      </c>
      <c r="O154" s="8" t="s">
        <v>17</v>
      </c>
      <c r="P154" s="8" t="s">
        <v>18</v>
      </c>
      <c r="Q154" s="8" t="s">
        <v>18</v>
      </c>
      <c r="R154" s="8" t="s">
        <v>2115</v>
      </c>
      <c r="S154" s="8" t="s">
        <v>2171</v>
      </c>
      <c r="T154" s="8" t="s">
        <v>2172</v>
      </c>
      <c r="U154" s="8" t="s">
        <v>2173</v>
      </c>
      <c r="V154" s="8" t="s">
        <v>307</v>
      </c>
      <c r="W154" s="8">
        <f>ROUNDUP(MONTH(V154)/3,0)</f>
        <v>4</v>
      </c>
      <c r="X154" s="8">
        <f>K154*L154*N154</f>
        <v>17272.7</v>
      </c>
    </row>
    <row r="155" spans="1:24" s="8" customFormat="1" ht="41.5" customHeight="1">
      <c r="A155" s="8" t="s">
        <v>2281</v>
      </c>
      <c r="B155" s="8" t="s">
        <v>305</v>
      </c>
      <c r="C155" s="9">
        <v>45978.7357410185</v>
      </c>
      <c r="D155" s="8" t="s">
        <v>2056</v>
      </c>
      <c r="E155" s="8" t="s">
        <v>2057</v>
      </c>
      <c r="F155" s="8">
        <v>22</v>
      </c>
      <c r="G155" s="22" t="s">
        <v>2180</v>
      </c>
      <c r="H155" s="8" t="s">
        <v>321</v>
      </c>
      <c r="I155" s="2" t="str">
        <f t="shared" si="5"/>
        <v>EDL252202 Đầu bắn vít 65mm</v>
      </c>
      <c r="J155" s="8" t="s">
        <v>55</v>
      </c>
      <c r="K155" s="10">
        <v>2</v>
      </c>
      <c r="L155" s="10">
        <v>81805.5</v>
      </c>
      <c r="M155" s="11">
        <v>163611</v>
      </c>
      <c r="N155" s="8" t="s">
        <v>16</v>
      </c>
      <c r="O155" s="8" t="s">
        <v>17</v>
      </c>
      <c r="P155" s="8" t="s">
        <v>18</v>
      </c>
      <c r="Q155" s="8" t="s">
        <v>18</v>
      </c>
      <c r="R155" s="8" t="s">
        <v>2115</v>
      </c>
      <c r="S155" s="8" t="s">
        <v>2171</v>
      </c>
      <c r="T155" s="8" t="s">
        <v>2172</v>
      </c>
      <c r="U155" s="8" t="s">
        <v>2173</v>
      </c>
      <c r="V155" s="8" t="s">
        <v>307</v>
      </c>
      <c r="W155" s="8">
        <f>ROUNDUP(MONTH(V155)/3,0)</f>
        <v>4</v>
      </c>
      <c r="X155" s="8">
        <f>K155*L155*N155</f>
        <v>13088.880000000001</v>
      </c>
    </row>
    <row r="156" spans="1:24" s="8" customFormat="1" ht="41.5" customHeight="1">
      <c r="A156" s="8" t="s">
        <v>2281</v>
      </c>
      <c r="B156" s="8" t="s">
        <v>305</v>
      </c>
      <c r="C156" s="9">
        <v>45978.7357410185</v>
      </c>
      <c r="D156" s="8" t="s">
        <v>2056</v>
      </c>
      <c r="E156" s="8" t="s">
        <v>2057</v>
      </c>
      <c r="F156" s="8">
        <v>23</v>
      </c>
      <c r="G156" s="22" t="s">
        <v>2181</v>
      </c>
      <c r="H156" s="8" t="s">
        <v>322</v>
      </c>
      <c r="I156" s="2" t="str">
        <f t="shared" si="5"/>
        <v>DL251100 Mũi vít động lực đen PH 2x100mm E</v>
      </c>
      <c r="J156" s="8" t="s">
        <v>55</v>
      </c>
      <c r="K156" s="10">
        <v>2</v>
      </c>
      <c r="L156" s="10">
        <v>105555.5</v>
      </c>
      <c r="M156" s="11">
        <v>211111</v>
      </c>
      <c r="N156" s="8" t="s">
        <v>16</v>
      </c>
      <c r="O156" s="8" t="s">
        <v>17</v>
      </c>
      <c r="P156" s="8" t="s">
        <v>18</v>
      </c>
      <c r="Q156" s="8" t="s">
        <v>18</v>
      </c>
      <c r="R156" s="8" t="s">
        <v>2115</v>
      </c>
      <c r="S156" s="8" t="s">
        <v>2171</v>
      </c>
      <c r="T156" s="8" t="s">
        <v>2172</v>
      </c>
      <c r="U156" s="8" t="s">
        <v>2173</v>
      </c>
      <c r="V156" s="8" t="s">
        <v>307</v>
      </c>
      <c r="W156" s="8">
        <f>ROUNDUP(MONTH(V156)/3,0)</f>
        <v>4</v>
      </c>
      <c r="X156" s="8">
        <f>K156*L156*N156</f>
        <v>16888.88</v>
      </c>
    </row>
    <row r="157" spans="1:24" s="8" customFormat="1" ht="41.5" customHeight="1">
      <c r="A157" s="8" t="s">
        <v>2286</v>
      </c>
      <c r="B157" s="8" t="s">
        <v>2342</v>
      </c>
      <c r="C157" s="9">
        <v>45981.460136678201</v>
      </c>
      <c r="D157" s="8" t="s">
        <v>2056</v>
      </c>
      <c r="E157" s="8" t="s">
        <v>2057</v>
      </c>
      <c r="F157" s="8">
        <v>1</v>
      </c>
      <c r="G157" s="22" t="s">
        <v>2182</v>
      </c>
      <c r="H157" s="8" t="s">
        <v>323</v>
      </c>
      <c r="I157" s="2" t="str">
        <f t="shared" si="5"/>
        <v>Majestic đẹp hoàn hảo bóng base B4.5</v>
      </c>
      <c r="J157" s="8" t="s">
        <v>56</v>
      </c>
      <c r="K157" s="10">
        <v>1</v>
      </c>
      <c r="L157" s="10">
        <v>640740.74</v>
      </c>
      <c r="M157" s="11">
        <v>640740.74</v>
      </c>
      <c r="N157" s="8" t="s">
        <v>16</v>
      </c>
      <c r="O157" s="8" t="s">
        <v>17</v>
      </c>
      <c r="P157" s="8" t="s">
        <v>18</v>
      </c>
      <c r="Q157" s="8" t="s">
        <v>18</v>
      </c>
      <c r="R157" s="8" t="s">
        <v>2110</v>
      </c>
      <c r="S157" s="8" t="s">
        <v>2120</v>
      </c>
      <c r="T157" s="8" t="s">
        <v>2121</v>
      </c>
      <c r="U157" s="8" t="s">
        <v>2122</v>
      </c>
      <c r="V157" s="8" t="s">
        <v>324</v>
      </c>
      <c r="W157" s="8">
        <f>ROUNDUP(MONTH(V157)/3,0)</f>
        <v>4</v>
      </c>
      <c r="X157" s="8">
        <f>K157*L157*N157</f>
        <v>51259.2592</v>
      </c>
    </row>
    <row r="158" spans="1:24" s="8" customFormat="1" ht="41.5" customHeight="1">
      <c r="A158" s="8" t="s">
        <v>2286</v>
      </c>
      <c r="B158" s="8" t="s">
        <v>2343</v>
      </c>
      <c r="C158" s="9">
        <v>45978.737725277802</v>
      </c>
      <c r="D158" s="8" t="s">
        <v>2056</v>
      </c>
      <c r="E158" s="8" t="s">
        <v>2057</v>
      </c>
      <c r="F158" s="8">
        <v>1</v>
      </c>
      <c r="G158" s="22" t="s">
        <v>2183</v>
      </c>
      <c r="H158" s="8" t="s">
        <v>325</v>
      </c>
      <c r="I158" s="2" t="str">
        <f t="shared" si="5"/>
        <v>Sơn Futura Ckassic Base 2 A 4.05L</v>
      </c>
      <c r="J158" s="8" t="s">
        <v>56</v>
      </c>
      <c r="K158" s="10">
        <v>1</v>
      </c>
      <c r="L158" s="10">
        <v>870370.37</v>
      </c>
      <c r="M158" s="11">
        <v>870370.37</v>
      </c>
      <c r="N158" s="8" t="s">
        <v>16</v>
      </c>
      <c r="O158" s="8" t="s">
        <v>17</v>
      </c>
      <c r="P158" s="8" t="s">
        <v>18</v>
      </c>
      <c r="Q158" s="8" t="s">
        <v>18</v>
      </c>
      <c r="R158" s="8" t="s">
        <v>2110</v>
      </c>
      <c r="S158" s="8" t="s">
        <v>2120</v>
      </c>
      <c r="T158" s="8" t="s">
        <v>2121</v>
      </c>
      <c r="U158" s="8" t="s">
        <v>2122</v>
      </c>
      <c r="V158" s="8" t="s">
        <v>307</v>
      </c>
      <c r="W158" s="8">
        <f>ROUNDUP(MONTH(V158)/3,0)</f>
        <v>4</v>
      </c>
      <c r="X158" s="8">
        <f>K158*L158*N158</f>
        <v>69629.6296</v>
      </c>
    </row>
    <row r="159" spans="1:24" s="8" customFormat="1" ht="41.5" customHeight="1">
      <c r="A159" s="8" t="s">
        <v>2280</v>
      </c>
      <c r="B159" s="8" t="s">
        <v>326</v>
      </c>
      <c r="C159" s="9">
        <v>45980.395184421301</v>
      </c>
      <c r="D159" s="8" t="s">
        <v>2056</v>
      </c>
      <c r="E159" s="8" t="s">
        <v>2057</v>
      </c>
      <c r="F159" s="8">
        <v>1</v>
      </c>
      <c r="G159" s="22" t="s">
        <v>327</v>
      </c>
      <c r="H159" s="8" t="s">
        <v>327</v>
      </c>
      <c r="I159" s="2" t="str">
        <f t="shared" si="5"/>
        <v>Chất làm cứng PU 405</v>
      </c>
      <c r="J159" s="8" t="s">
        <v>35</v>
      </c>
      <c r="K159" s="10">
        <v>64</v>
      </c>
      <c r="L159" s="10">
        <v>46500</v>
      </c>
      <c r="M159" s="11">
        <v>2976000</v>
      </c>
      <c r="N159" s="8" t="s">
        <v>16</v>
      </c>
      <c r="O159" s="8" t="s">
        <v>17</v>
      </c>
      <c r="P159" s="8" t="s">
        <v>18</v>
      </c>
      <c r="Q159" s="8" t="s">
        <v>18</v>
      </c>
      <c r="R159" s="8" t="s">
        <v>2110</v>
      </c>
      <c r="S159" s="8" t="s">
        <v>2292</v>
      </c>
      <c r="T159" s="8" t="s">
        <v>2293</v>
      </c>
      <c r="U159" s="8" t="s">
        <v>2294</v>
      </c>
      <c r="V159" s="8" t="s">
        <v>328</v>
      </c>
      <c r="W159" s="8">
        <f>ROUNDUP(MONTH(V159)/3,0)</f>
        <v>4</v>
      </c>
      <c r="X159" s="8">
        <f>K159*L159*N159</f>
        <v>238080</v>
      </c>
    </row>
    <row r="160" spans="1:24" s="8" customFormat="1" ht="41.5" customHeight="1">
      <c r="A160" s="8" t="s">
        <v>2280</v>
      </c>
      <c r="B160" s="8" t="s">
        <v>326</v>
      </c>
      <c r="C160" s="9">
        <v>45980.395184421301</v>
      </c>
      <c r="D160" s="8" t="s">
        <v>2056</v>
      </c>
      <c r="E160" s="8" t="s">
        <v>2057</v>
      </c>
      <c r="F160" s="8">
        <v>2</v>
      </c>
      <c r="G160" s="22" t="s">
        <v>329</v>
      </c>
      <c r="H160" s="8" t="s">
        <v>329</v>
      </c>
      <c r="I160" s="2" t="str">
        <f t="shared" si="5"/>
        <v>Sơn bóng PU G8.103</v>
      </c>
      <c r="J160" s="8" t="s">
        <v>35</v>
      </c>
      <c r="K160" s="10">
        <v>27</v>
      </c>
      <c r="L160" s="10">
        <v>48500</v>
      </c>
      <c r="M160" s="11">
        <v>1309500</v>
      </c>
      <c r="N160" s="8" t="s">
        <v>16</v>
      </c>
      <c r="O160" s="8" t="s">
        <v>17</v>
      </c>
      <c r="P160" s="8" t="s">
        <v>18</v>
      </c>
      <c r="Q160" s="8" t="s">
        <v>18</v>
      </c>
      <c r="R160" s="8" t="s">
        <v>2110</v>
      </c>
      <c r="S160" s="8" t="s">
        <v>2292</v>
      </c>
      <c r="T160" s="8" t="s">
        <v>2293</v>
      </c>
      <c r="U160" s="8" t="s">
        <v>2294</v>
      </c>
      <c r="V160" s="8" t="s">
        <v>328</v>
      </c>
      <c r="W160" s="8">
        <f>ROUNDUP(MONTH(V160)/3,0)</f>
        <v>4</v>
      </c>
      <c r="X160" s="8">
        <f>K160*L160*N160</f>
        <v>104760</v>
      </c>
    </row>
    <row r="161" spans="1:24" s="8" customFormat="1" ht="41.5" customHeight="1">
      <c r="A161" s="8" t="s">
        <v>2280</v>
      </c>
      <c r="B161" s="8" t="s">
        <v>326</v>
      </c>
      <c r="C161" s="9">
        <v>45980.395184421301</v>
      </c>
      <c r="D161" s="8" t="s">
        <v>2056</v>
      </c>
      <c r="E161" s="8" t="s">
        <v>2057</v>
      </c>
      <c r="F161" s="8">
        <v>3</v>
      </c>
      <c r="G161" s="22" t="s">
        <v>330</v>
      </c>
      <c r="H161" s="8" t="s">
        <v>330</v>
      </c>
      <c r="I161" s="2" t="str">
        <f t="shared" si="5"/>
        <v>Sơn mờ PU G8.215</v>
      </c>
      <c r="J161" s="8" t="s">
        <v>35</v>
      </c>
      <c r="K161" s="10">
        <v>27</v>
      </c>
      <c r="L161" s="10">
        <v>47500</v>
      </c>
      <c r="M161" s="11">
        <v>1282500</v>
      </c>
      <c r="N161" s="8" t="s">
        <v>16</v>
      </c>
      <c r="O161" s="8" t="s">
        <v>17</v>
      </c>
      <c r="P161" s="8" t="s">
        <v>18</v>
      </c>
      <c r="Q161" s="8" t="s">
        <v>18</v>
      </c>
      <c r="R161" s="8" t="s">
        <v>2110</v>
      </c>
      <c r="S161" s="8" t="s">
        <v>2292</v>
      </c>
      <c r="T161" s="8" t="s">
        <v>2293</v>
      </c>
      <c r="U161" s="8" t="s">
        <v>2294</v>
      </c>
      <c r="V161" s="8" t="s">
        <v>328</v>
      </c>
      <c r="W161" s="8">
        <f>ROUNDUP(MONTH(V161)/3,0)</f>
        <v>4</v>
      </c>
      <c r="X161" s="8">
        <f>K161*L161*N161</f>
        <v>102600</v>
      </c>
    </row>
    <row r="162" spans="1:24" s="8" customFormat="1" ht="41.5" customHeight="1">
      <c r="A162" s="8" t="s">
        <v>2280</v>
      </c>
      <c r="B162" s="8" t="s">
        <v>326</v>
      </c>
      <c r="C162" s="9">
        <v>45980.395184421301</v>
      </c>
      <c r="D162" s="8" t="s">
        <v>2056</v>
      </c>
      <c r="E162" s="8" t="s">
        <v>2057</v>
      </c>
      <c r="F162" s="8">
        <v>4</v>
      </c>
      <c r="G162" s="22" t="s">
        <v>331</v>
      </c>
      <c r="H162" s="8" t="s">
        <v>331</v>
      </c>
      <c r="I162" s="2" t="str">
        <f t="shared" si="5"/>
        <v>Sơn lót PU G8.301</v>
      </c>
      <c r="J162" s="8" t="s">
        <v>35</v>
      </c>
      <c r="K162" s="10">
        <v>12</v>
      </c>
      <c r="L162" s="10">
        <v>46000</v>
      </c>
      <c r="M162" s="11">
        <v>552000</v>
      </c>
      <c r="N162" s="8" t="s">
        <v>16</v>
      </c>
      <c r="O162" s="8" t="s">
        <v>17</v>
      </c>
      <c r="P162" s="8" t="s">
        <v>18</v>
      </c>
      <c r="Q162" s="8" t="s">
        <v>18</v>
      </c>
      <c r="R162" s="8" t="s">
        <v>2110</v>
      </c>
      <c r="S162" s="8" t="s">
        <v>2292</v>
      </c>
      <c r="T162" s="8" t="s">
        <v>2293</v>
      </c>
      <c r="U162" s="8" t="s">
        <v>2294</v>
      </c>
      <c r="V162" s="8" t="s">
        <v>328</v>
      </c>
      <c r="W162" s="8">
        <f>ROUNDUP(MONTH(V162)/3,0)</f>
        <v>4</v>
      </c>
      <c r="X162" s="8">
        <f>K162*L162*N162</f>
        <v>44160</v>
      </c>
    </row>
    <row r="163" spans="1:24" s="8" customFormat="1" ht="41.5" customHeight="1">
      <c r="A163" s="8" t="s">
        <v>2280</v>
      </c>
      <c r="B163" s="8" t="s">
        <v>326</v>
      </c>
      <c r="C163" s="9">
        <v>45980.395184421301</v>
      </c>
      <c r="D163" s="8" t="s">
        <v>2056</v>
      </c>
      <c r="E163" s="8" t="s">
        <v>2057</v>
      </c>
      <c r="F163" s="8">
        <v>5</v>
      </c>
      <c r="G163" s="27" t="s">
        <v>776</v>
      </c>
      <c r="H163" s="8" t="s">
        <v>332</v>
      </c>
      <c r="I163" s="2" t="str">
        <f t="shared" si="5"/>
        <v>Que hàn sắt Kim Tín KT421 D2.5 20kg/thùng</v>
      </c>
      <c r="J163" s="8" t="s">
        <v>35</v>
      </c>
      <c r="K163" s="10">
        <v>300</v>
      </c>
      <c r="L163" s="10">
        <v>25500</v>
      </c>
      <c r="M163" s="11">
        <v>7650000</v>
      </c>
      <c r="N163" s="8" t="s">
        <v>16</v>
      </c>
      <c r="O163" s="8" t="s">
        <v>17</v>
      </c>
      <c r="P163" s="8" t="s">
        <v>18</v>
      </c>
      <c r="Q163" s="8" t="s">
        <v>18</v>
      </c>
      <c r="R163" s="8" t="s">
        <v>2110</v>
      </c>
      <c r="S163" s="8" t="s">
        <v>2292</v>
      </c>
      <c r="T163" s="8" t="s">
        <v>2293</v>
      </c>
      <c r="U163" s="8" t="s">
        <v>2294</v>
      </c>
      <c r="V163" s="8" t="s">
        <v>328</v>
      </c>
      <c r="W163" s="8">
        <f>ROUNDUP(MONTH(V163)/3,0)</f>
        <v>4</v>
      </c>
      <c r="X163" s="8">
        <f>K163*L163*N163</f>
        <v>612000</v>
      </c>
    </row>
    <row r="164" spans="1:24" s="8" customFormat="1" ht="41.5" customHeight="1">
      <c r="A164" s="8" t="s">
        <v>2280</v>
      </c>
      <c r="B164" s="8" t="s">
        <v>326</v>
      </c>
      <c r="C164" s="9">
        <v>45980.395184421301</v>
      </c>
      <c r="D164" s="8" t="s">
        <v>2056</v>
      </c>
      <c r="E164" s="8" t="s">
        <v>2057</v>
      </c>
      <c r="F164" s="8">
        <v>6</v>
      </c>
      <c r="G164" s="19" t="s">
        <v>333</v>
      </c>
      <c r="H164" s="8" t="s">
        <v>333</v>
      </c>
      <c r="I164" s="2" t="str">
        <f t="shared" si="5"/>
        <v>Que hàn sắt KT421 D4.0 20kg/thùng</v>
      </c>
      <c r="J164" s="8" t="s">
        <v>35</v>
      </c>
      <c r="K164" s="10">
        <v>100</v>
      </c>
      <c r="L164" s="10">
        <v>24000</v>
      </c>
      <c r="M164" s="11">
        <v>2400000</v>
      </c>
      <c r="N164" s="8" t="s">
        <v>16</v>
      </c>
      <c r="O164" s="8" t="s">
        <v>17</v>
      </c>
      <c r="P164" s="8" t="s">
        <v>18</v>
      </c>
      <c r="Q164" s="8" t="s">
        <v>18</v>
      </c>
      <c r="R164" s="8" t="s">
        <v>2110</v>
      </c>
      <c r="S164" s="8" t="s">
        <v>2292</v>
      </c>
      <c r="T164" s="8" t="s">
        <v>2293</v>
      </c>
      <c r="U164" s="8" t="s">
        <v>2294</v>
      </c>
      <c r="V164" s="8" t="s">
        <v>328</v>
      </c>
      <c r="W164" s="8">
        <f>ROUNDUP(MONTH(V164)/3,0)</f>
        <v>4</v>
      </c>
      <c r="X164" s="8">
        <f>K164*L164*N164</f>
        <v>192000</v>
      </c>
    </row>
    <row r="165" spans="1:24" s="8" customFormat="1" ht="41.5" customHeight="1">
      <c r="A165" s="8" t="s">
        <v>2280</v>
      </c>
      <c r="B165" s="8" t="s">
        <v>326</v>
      </c>
      <c r="C165" s="9">
        <v>45980.395184421301</v>
      </c>
      <c r="D165" s="8" t="s">
        <v>2056</v>
      </c>
      <c r="E165" s="8" t="s">
        <v>2057</v>
      </c>
      <c r="F165" s="8">
        <v>7</v>
      </c>
      <c r="G165" s="22" t="s">
        <v>1332</v>
      </c>
      <c r="H165" s="8" t="s">
        <v>334</v>
      </c>
      <c r="I165" s="2" t="str">
        <f t="shared" si="5"/>
        <v>Đá cắt kim loại COROLLA 107*1.2*16mm (xanh)</v>
      </c>
      <c r="J165" s="8" t="s">
        <v>99</v>
      </c>
      <c r="K165" s="10">
        <v>4000</v>
      </c>
      <c r="L165" s="10">
        <v>2000</v>
      </c>
      <c r="M165" s="11">
        <v>8000000</v>
      </c>
      <c r="N165" s="8" t="s">
        <v>16</v>
      </c>
      <c r="O165" s="8" t="s">
        <v>17</v>
      </c>
      <c r="P165" s="8" t="s">
        <v>18</v>
      </c>
      <c r="Q165" s="8" t="s">
        <v>18</v>
      </c>
      <c r="R165" s="8" t="s">
        <v>2110</v>
      </c>
      <c r="S165" s="8" t="s">
        <v>2292</v>
      </c>
      <c r="T165" s="8" t="s">
        <v>2293</v>
      </c>
      <c r="U165" s="8" t="s">
        <v>2294</v>
      </c>
      <c r="V165" s="8" t="s">
        <v>328</v>
      </c>
      <c r="W165" s="8">
        <f>ROUNDUP(MONTH(V165)/3,0)</f>
        <v>4</v>
      </c>
      <c r="X165" s="8">
        <f>K165*L165*N165</f>
        <v>640000</v>
      </c>
    </row>
    <row r="166" spans="1:24" s="8" customFormat="1" ht="41.5" customHeight="1">
      <c r="A166" s="8" t="s">
        <v>2280</v>
      </c>
      <c r="B166" s="8" t="s">
        <v>326</v>
      </c>
      <c r="C166" s="9">
        <v>45980.395184421301</v>
      </c>
      <c r="D166" s="8" t="s">
        <v>2056</v>
      </c>
      <c r="E166" s="8" t="s">
        <v>2057</v>
      </c>
      <c r="F166" s="8">
        <v>8</v>
      </c>
      <c r="G166" s="27" t="s">
        <v>382</v>
      </c>
      <c r="H166" s="8" t="s">
        <v>335</v>
      </c>
      <c r="I166" s="2" t="str">
        <f t="shared" si="5"/>
        <v>Đá cắt kim loại COROLLA 125*1.2*22.23mm (xanh)</v>
      </c>
      <c r="J166" s="8" t="s">
        <v>99</v>
      </c>
      <c r="K166" s="10">
        <v>1200</v>
      </c>
      <c r="L166" s="10">
        <v>3200</v>
      </c>
      <c r="M166" s="11">
        <v>3840000</v>
      </c>
      <c r="N166" s="8" t="s">
        <v>16</v>
      </c>
      <c r="O166" s="8" t="s">
        <v>17</v>
      </c>
      <c r="P166" s="8" t="s">
        <v>18</v>
      </c>
      <c r="Q166" s="8" t="s">
        <v>18</v>
      </c>
      <c r="R166" s="8" t="s">
        <v>2110</v>
      </c>
      <c r="S166" s="8" t="s">
        <v>2292</v>
      </c>
      <c r="T166" s="8" t="s">
        <v>2293</v>
      </c>
      <c r="U166" s="8" t="s">
        <v>2294</v>
      </c>
      <c r="V166" s="8" t="s">
        <v>328</v>
      </c>
      <c r="W166" s="8">
        <f t="shared" ref="W166:W229" si="6">ROUNDUP(MONTH(V166)/3,0)</f>
        <v>4</v>
      </c>
      <c r="X166" s="8">
        <f>K166*L166*N166</f>
        <v>307200</v>
      </c>
    </row>
    <row r="167" spans="1:24" s="8" customFormat="1" ht="41.5" customHeight="1">
      <c r="A167" s="8" t="s">
        <v>2280</v>
      </c>
      <c r="B167" s="8" t="s">
        <v>326</v>
      </c>
      <c r="C167" s="9">
        <v>45980.395184421301</v>
      </c>
      <c r="D167" s="8" t="s">
        <v>2056</v>
      </c>
      <c r="E167" s="8" t="s">
        <v>2057</v>
      </c>
      <c r="F167" s="8">
        <v>9</v>
      </c>
      <c r="G167" s="27" t="s">
        <v>383</v>
      </c>
      <c r="H167" s="8" t="s">
        <v>336</v>
      </c>
      <c r="I167" s="2" t="str">
        <f t="shared" si="5"/>
        <v>Đá cắt kim loại COROLLA 355*2.5*25.4mm (xanh)</v>
      </c>
      <c r="J167" s="8" t="s">
        <v>99</v>
      </c>
      <c r="K167" s="10">
        <v>150</v>
      </c>
      <c r="L167" s="10">
        <v>23200</v>
      </c>
      <c r="M167" s="11">
        <v>3480000</v>
      </c>
      <c r="N167" s="8" t="s">
        <v>16</v>
      </c>
      <c r="O167" s="8" t="s">
        <v>17</v>
      </c>
      <c r="P167" s="8" t="s">
        <v>18</v>
      </c>
      <c r="Q167" s="8" t="s">
        <v>18</v>
      </c>
      <c r="R167" s="8" t="s">
        <v>2110</v>
      </c>
      <c r="S167" s="8" t="s">
        <v>2292</v>
      </c>
      <c r="T167" s="8" t="s">
        <v>2293</v>
      </c>
      <c r="U167" s="8" t="s">
        <v>2294</v>
      </c>
      <c r="V167" s="8" t="s">
        <v>328</v>
      </c>
      <c r="W167" s="8">
        <f t="shared" si="6"/>
        <v>4</v>
      </c>
      <c r="X167" s="8">
        <f>K167*L167*N167</f>
        <v>278400</v>
      </c>
    </row>
    <row r="168" spans="1:24" s="8" customFormat="1" ht="41.5" customHeight="1">
      <c r="A168" s="8" t="s">
        <v>2280</v>
      </c>
      <c r="B168" s="8" t="s">
        <v>326</v>
      </c>
      <c r="C168" s="9">
        <v>45980.395184421301</v>
      </c>
      <c r="D168" s="8" t="s">
        <v>2056</v>
      </c>
      <c r="E168" s="8" t="s">
        <v>2057</v>
      </c>
      <c r="F168" s="8">
        <v>10</v>
      </c>
      <c r="G168" s="22" t="s">
        <v>337</v>
      </c>
      <c r="H168" s="8" t="s">
        <v>337</v>
      </c>
      <c r="I168" s="2" t="str">
        <f t="shared" si="5"/>
        <v>Lưỡi dao dọc giấy COROLLA 100*18mm</v>
      </c>
      <c r="J168" s="8" t="s">
        <v>130</v>
      </c>
      <c r="K168" s="10">
        <v>223</v>
      </c>
      <c r="L168" s="10">
        <v>550</v>
      </c>
      <c r="M168" s="11">
        <v>122650</v>
      </c>
      <c r="N168" s="8" t="s">
        <v>16</v>
      </c>
      <c r="O168" s="8" t="s">
        <v>17</v>
      </c>
      <c r="P168" s="8" t="s">
        <v>18</v>
      </c>
      <c r="Q168" s="8" t="s">
        <v>18</v>
      </c>
      <c r="R168" s="8" t="s">
        <v>2110</v>
      </c>
      <c r="S168" s="8" t="s">
        <v>2292</v>
      </c>
      <c r="T168" s="8" t="s">
        <v>2293</v>
      </c>
      <c r="U168" s="8" t="s">
        <v>2294</v>
      </c>
      <c r="V168" s="8" t="s">
        <v>328</v>
      </c>
      <c r="W168" s="8">
        <f t="shared" si="6"/>
        <v>4</v>
      </c>
      <c r="X168" s="8">
        <f>K168*L168*N168</f>
        <v>9812</v>
      </c>
    </row>
    <row r="169" spans="1:24" s="8" customFormat="1" ht="41.5" customHeight="1">
      <c r="A169" s="8" t="s">
        <v>2280</v>
      </c>
      <c r="B169" s="8" t="s">
        <v>326</v>
      </c>
      <c r="C169" s="9">
        <v>45980.395184421301</v>
      </c>
      <c r="D169" s="8" t="s">
        <v>2056</v>
      </c>
      <c r="E169" s="8" t="s">
        <v>2057</v>
      </c>
      <c r="F169" s="8">
        <v>11</v>
      </c>
      <c r="G169" s="22" t="s">
        <v>1497</v>
      </c>
      <c r="H169" s="8" t="s">
        <v>338</v>
      </c>
      <c r="I169" s="2" t="str">
        <f t="shared" si="5"/>
        <v>Đĩa chà nhám bằng vật liệu mài trên nền</v>
      </c>
      <c r="J169" s="8" t="s">
        <v>339</v>
      </c>
      <c r="K169" s="10">
        <v>400</v>
      </c>
      <c r="L169" s="10">
        <v>1200</v>
      </c>
      <c r="M169" s="11">
        <v>480000</v>
      </c>
      <c r="N169" s="8" t="s">
        <v>16</v>
      </c>
      <c r="O169" s="8" t="s">
        <v>17</v>
      </c>
      <c r="P169" s="8" t="s">
        <v>18</v>
      </c>
      <c r="Q169" s="8" t="s">
        <v>18</v>
      </c>
      <c r="R169" s="8" t="s">
        <v>2110</v>
      </c>
      <c r="S169" s="8" t="s">
        <v>2292</v>
      </c>
      <c r="T169" s="8" t="s">
        <v>2293</v>
      </c>
      <c r="U169" s="8" t="s">
        <v>2294</v>
      </c>
      <c r="V169" s="8" t="s">
        <v>328</v>
      </c>
      <c r="W169" s="8">
        <f t="shared" si="6"/>
        <v>4</v>
      </c>
      <c r="X169" s="8">
        <f>K169*L169*N169</f>
        <v>38400</v>
      </c>
    </row>
    <row r="170" spans="1:24" s="8" customFormat="1" ht="41.5" customHeight="1">
      <c r="A170" s="8" t="s">
        <v>2280</v>
      </c>
      <c r="B170" s="8" t="s">
        <v>326</v>
      </c>
      <c r="C170" s="9">
        <v>45980.395184421301</v>
      </c>
      <c r="D170" s="8" t="s">
        <v>2056</v>
      </c>
      <c r="E170" s="8" t="s">
        <v>2057</v>
      </c>
      <c r="F170" s="8">
        <v>12</v>
      </c>
      <c r="G170" s="22" t="s">
        <v>1353</v>
      </c>
      <c r="H170" s="8" t="s">
        <v>340</v>
      </c>
      <c r="I170" s="2" t="str">
        <f t="shared" si="5"/>
        <v>Nỉ đánh bóng sắt inox, làm từ vật liệu mài</v>
      </c>
      <c r="J170" s="8" t="s">
        <v>339</v>
      </c>
      <c r="K170" s="10">
        <v>500</v>
      </c>
      <c r="L170" s="10">
        <v>1500</v>
      </c>
      <c r="M170" s="11">
        <v>750000</v>
      </c>
      <c r="N170" s="8" t="s">
        <v>16</v>
      </c>
      <c r="O170" s="8" t="s">
        <v>17</v>
      </c>
      <c r="P170" s="8" t="s">
        <v>18</v>
      </c>
      <c r="Q170" s="8" t="s">
        <v>18</v>
      </c>
      <c r="R170" s="8" t="s">
        <v>2110</v>
      </c>
      <c r="S170" s="8" t="s">
        <v>2292</v>
      </c>
      <c r="T170" s="8" t="s">
        <v>2293</v>
      </c>
      <c r="U170" s="8" t="s">
        <v>2294</v>
      </c>
      <c r="V170" s="8" t="s">
        <v>328</v>
      </c>
      <c r="W170" s="8">
        <f t="shared" si="6"/>
        <v>4</v>
      </c>
      <c r="X170" s="8">
        <f>K170*L170*N170</f>
        <v>60000</v>
      </c>
    </row>
    <row r="171" spans="1:24" s="8" customFormat="1" ht="41.5" customHeight="1">
      <c r="A171" s="8" t="s">
        <v>2280</v>
      </c>
      <c r="B171" s="8" t="s">
        <v>326</v>
      </c>
      <c r="C171" s="9">
        <v>45980.395184421301</v>
      </c>
      <c r="D171" s="8" t="s">
        <v>2056</v>
      </c>
      <c r="E171" s="8" t="s">
        <v>2057</v>
      </c>
      <c r="F171" s="8">
        <v>13</v>
      </c>
      <c r="G171" s="22" t="s">
        <v>1354</v>
      </c>
      <c r="H171" s="8" t="s">
        <v>341</v>
      </c>
      <c r="I171" s="2" t="str">
        <f t="shared" si="5"/>
        <v>Chổi (bát) đánh gỉ sắt bộ phận máy đánh gỉ</v>
      </c>
      <c r="J171" s="8" t="s">
        <v>339</v>
      </c>
      <c r="K171" s="10">
        <v>960</v>
      </c>
      <c r="L171" s="10">
        <v>1700</v>
      </c>
      <c r="M171" s="11">
        <v>1632000</v>
      </c>
      <c r="N171" s="8" t="s">
        <v>16</v>
      </c>
      <c r="O171" s="8" t="s">
        <v>17</v>
      </c>
      <c r="P171" s="8" t="s">
        <v>18</v>
      </c>
      <c r="Q171" s="8" t="s">
        <v>18</v>
      </c>
      <c r="R171" s="8" t="s">
        <v>2110</v>
      </c>
      <c r="S171" s="8" t="s">
        <v>2292</v>
      </c>
      <c r="T171" s="8" t="s">
        <v>2293</v>
      </c>
      <c r="U171" s="8" t="s">
        <v>2294</v>
      </c>
      <c r="V171" s="8" t="s">
        <v>328</v>
      </c>
      <c r="W171" s="8">
        <f t="shared" si="6"/>
        <v>4</v>
      </c>
      <c r="X171" s="8">
        <f>K171*L171*N171</f>
        <v>130560</v>
      </c>
    </row>
    <row r="172" spans="1:24" s="8" customFormat="1" ht="41.5" customHeight="1">
      <c r="A172" s="8" t="s">
        <v>2280</v>
      </c>
      <c r="B172" s="8" t="s">
        <v>326</v>
      </c>
      <c r="C172" s="9">
        <v>45980.395184421301</v>
      </c>
      <c r="D172" s="8" t="s">
        <v>2056</v>
      </c>
      <c r="E172" s="8" t="s">
        <v>2057</v>
      </c>
      <c r="F172" s="8">
        <v>14</v>
      </c>
      <c r="G172" s="22" t="s">
        <v>1352</v>
      </c>
      <c r="H172" s="8" t="s">
        <v>342</v>
      </c>
      <c r="I172" s="2" t="str">
        <f t="shared" si="5"/>
        <v>Bánh đẩy xe đường kính cả lốp 3 inch</v>
      </c>
      <c r="J172" s="8" t="s">
        <v>339</v>
      </c>
      <c r="K172" s="10">
        <v>160</v>
      </c>
      <c r="L172" s="10">
        <v>4200</v>
      </c>
      <c r="M172" s="11">
        <v>672000</v>
      </c>
      <c r="N172" s="8" t="s">
        <v>16</v>
      </c>
      <c r="O172" s="8" t="s">
        <v>17</v>
      </c>
      <c r="P172" s="8" t="s">
        <v>18</v>
      </c>
      <c r="Q172" s="8" t="s">
        <v>18</v>
      </c>
      <c r="R172" s="8" t="s">
        <v>2110</v>
      </c>
      <c r="S172" s="8" t="s">
        <v>2292</v>
      </c>
      <c r="T172" s="8" t="s">
        <v>2293</v>
      </c>
      <c r="U172" s="8" t="s">
        <v>2294</v>
      </c>
      <c r="V172" s="8" t="s">
        <v>328</v>
      </c>
      <c r="W172" s="8">
        <f t="shared" si="6"/>
        <v>4</v>
      </c>
      <c r="X172" s="8">
        <f>K172*L172*N172</f>
        <v>53760</v>
      </c>
    </row>
    <row r="173" spans="1:24" s="8" customFormat="1" ht="41.5" customHeight="1">
      <c r="A173" s="8" t="s">
        <v>2280</v>
      </c>
      <c r="B173" s="8" t="s">
        <v>326</v>
      </c>
      <c r="C173" s="9">
        <v>45980.395184421301</v>
      </c>
      <c r="D173" s="8" t="s">
        <v>2056</v>
      </c>
      <c r="E173" s="8" t="s">
        <v>2057</v>
      </c>
      <c r="F173" s="8">
        <v>15</v>
      </c>
      <c r="G173" s="22" t="s">
        <v>1328</v>
      </c>
      <c r="H173" s="8" t="s">
        <v>343</v>
      </c>
      <c r="I173" s="2" t="str">
        <f t="shared" si="5"/>
        <v>Bánh đẩy xe đường kính cả lốp 1.5 inch</v>
      </c>
      <c r="J173" s="8" t="s">
        <v>339</v>
      </c>
      <c r="K173" s="10">
        <v>720</v>
      </c>
      <c r="L173" s="10">
        <v>2800</v>
      </c>
      <c r="M173" s="11">
        <v>2016000</v>
      </c>
      <c r="N173" s="8" t="s">
        <v>16</v>
      </c>
      <c r="O173" s="8" t="s">
        <v>17</v>
      </c>
      <c r="P173" s="8" t="s">
        <v>18</v>
      </c>
      <c r="Q173" s="8" t="s">
        <v>18</v>
      </c>
      <c r="R173" s="8" t="s">
        <v>2110</v>
      </c>
      <c r="S173" s="8" t="s">
        <v>2292</v>
      </c>
      <c r="T173" s="8" t="s">
        <v>2293</v>
      </c>
      <c r="U173" s="8" t="s">
        <v>2294</v>
      </c>
      <c r="V173" s="8" t="s">
        <v>328</v>
      </c>
      <c r="W173" s="8">
        <f t="shared" si="6"/>
        <v>4</v>
      </c>
      <c r="X173" s="8">
        <f>K173*L173*N173</f>
        <v>161280</v>
      </c>
    </row>
    <row r="174" spans="1:24" s="8" customFormat="1" ht="41.5" customHeight="1">
      <c r="A174" s="8" t="s">
        <v>2280</v>
      </c>
      <c r="B174" s="8" t="s">
        <v>326</v>
      </c>
      <c r="C174" s="9">
        <v>45980.395184421301</v>
      </c>
      <c r="D174" s="8" t="s">
        <v>2056</v>
      </c>
      <c r="E174" s="8" t="s">
        <v>2057</v>
      </c>
      <c r="F174" s="8">
        <v>16</v>
      </c>
      <c r="G174" s="22" t="s">
        <v>2184</v>
      </c>
      <c r="H174" s="8" t="s">
        <v>344</v>
      </c>
      <c r="I174" s="2" t="str">
        <f t="shared" si="5"/>
        <v>Bánh đẩy xe đường kính cả lốp 2 inch</v>
      </c>
      <c r="J174" s="8" t="s">
        <v>339</v>
      </c>
      <c r="K174" s="10">
        <v>600</v>
      </c>
      <c r="L174" s="10">
        <v>2800</v>
      </c>
      <c r="M174" s="11">
        <v>1680000</v>
      </c>
      <c r="N174" s="8" t="s">
        <v>16</v>
      </c>
      <c r="O174" s="8" t="s">
        <v>17</v>
      </c>
      <c r="P174" s="8" t="s">
        <v>18</v>
      </c>
      <c r="Q174" s="8" t="s">
        <v>18</v>
      </c>
      <c r="R174" s="8" t="s">
        <v>2110</v>
      </c>
      <c r="S174" s="8" t="s">
        <v>2292</v>
      </c>
      <c r="T174" s="8" t="s">
        <v>2293</v>
      </c>
      <c r="U174" s="8" t="s">
        <v>2294</v>
      </c>
      <c r="V174" s="8" t="s">
        <v>328</v>
      </c>
      <c r="W174" s="8">
        <f t="shared" si="6"/>
        <v>4</v>
      </c>
      <c r="X174" s="8">
        <f>K174*L174*N174</f>
        <v>134400</v>
      </c>
    </row>
    <row r="175" spans="1:24" s="8" customFormat="1" ht="41.5" customHeight="1">
      <c r="A175" s="8" t="s">
        <v>2280</v>
      </c>
      <c r="B175" s="8" t="s">
        <v>326</v>
      </c>
      <c r="C175" s="9">
        <v>45980.395184421301</v>
      </c>
      <c r="D175" s="8" t="s">
        <v>2056</v>
      </c>
      <c r="E175" s="8" t="s">
        <v>2057</v>
      </c>
      <c r="F175" s="8">
        <v>17</v>
      </c>
      <c r="G175" s="27" t="s">
        <v>1323</v>
      </c>
      <c r="H175" s="8" t="s">
        <v>345</v>
      </c>
      <c r="I175" s="2" t="str">
        <f t="shared" si="5"/>
        <v>Lưỡi xẻng không cán (0.4-0.5) kg</v>
      </c>
      <c r="J175" s="8" t="s">
        <v>339</v>
      </c>
      <c r="K175" s="10">
        <v>240</v>
      </c>
      <c r="L175" s="10">
        <v>7000</v>
      </c>
      <c r="M175" s="11">
        <v>1680000</v>
      </c>
      <c r="N175" s="8" t="s">
        <v>16</v>
      </c>
      <c r="O175" s="8" t="s">
        <v>17</v>
      </c>
      <c r="P175" s="8" t="s">
        <v>18</v>
      </c>
      <c r="Q175" s="8" t="s">
        <v>18</v>
      </c>
      <c r="R175" s="8" t="s">
        <v>2110</v>
      </c>
      <c r="S175" s="8" t="s">
        <v>2292</v>
      </c>
      <c r="T175" s="8" t="s">
        <v>2293</v>
      </c>
      <c r="U175" s="8" t="s">
        <v>2294</v>
      </c>
      <c r="V175" s="8" t="s">
        <v>328</v>
      </c>
      <c r="W175" s="8">
        <f t="shared" si="6"/>
        <v>4</v>
      </c>
      <c r="X175" s="8">
        <f>K175*L175*N175</f>
        <v>134400</v>
      </c>
    </row>
    <row r="176" spans="1:24" s="8" customFormat="1" ht="41.5" customHeight="1">
      <c r="A176" s="8" t="s">
        <v>2280</v>
      </c>
      <c r="B176" s="8" t="s">
        <v>326</v>
      </c>
      <c r="C176" s="9">
        <v>45980.395184421301</v>
      </c>
      <c r="D176" s="8" t="s">
        <v>2056</v>
      </c>
      <c r="E176" s="8" t="s">
        <v>2057</v>
      </c>
      <c r="F176" s="8">
        <v>18</v>
      </c>
      <c r="G176" s="22" t="s">
        <v>1470</v>
      </c>
      <c r="H176" s="8" t="s">
        <v>346</v>
      </c>
      <c r="I176" s="2" t="str">
        <f t="shared" si="5"/>
        <v>Lưỡi xẻng không cán (0.6-0.7) kg</v>
      </c>
      <c r="J176" s="8" t="s">
        <v>339</v>
      </c>
      <c r="K176" s="10">
        <v>240</v>
      </c>
      <c r="L176" s="10">
        <v>8500</v>
      </c>
      <c r="M176" s="11">
        <v>2040000</v>
      </c>
      <c r="N176" s="8" t="s">
        <v>16</v>
      </c>
      <c r="O176" s="8" t="s">
        <v>17</v>
      </c>
      <c r="P176" s="8" t="s">
        <v>18</v>
      </c>
      <c r="Q176" s="8" t="s">
        <v>18</v>
      </c>
      <c r="R176" s="8" t="s">
        <v>2110</v>
      </c>
      <c r="S176" s="8" t="s">
        <v>2292</v>
      </c>
      <c r="T176" s="8" t="s">
        <v>2293</v>
      </c>
      <c r="U176" s="8" t="s">
        <v>2294</v>
      </c>
      <c r="V176" s="8" t="s">
        <v>328</v>
      </c>
      <c r="W176" s="8">
        <f t="shared" si="6"/>
        <v>4</v>
      </c>
      <c r="X176" s="8">
        <f>K176*L176*N176</f>
        <v>163200</v>
      </c>
    </row>
    <row r="177" spans="1:24" s="8" customFormat="1" ht="41.5" customHeight="1">
      <c r="A177" s="8" t="s">
        <v>2280</v>
      </c>
      <c r="B177" s="8" t="s">
        <v>326</v>
      </c>
      <c r="C177" s="9">
        <v>45980.395184421301</v>
      </c>
      <c r="D177" s="8" t="s">
        <v>2056</v>
      </c>
      <c r="E177" s="8" t="s">
        <v>2057</v>
      </c>
      <c r="F177" s="8">
        <v>19</v>
      </c>
      <c r="G177" s="22" t="s">
        <v>2185</v>
      </c>
      <c r="H177" s="8" t="s">
        <v>347</v>
      </c>
      <c r="I177" s="2" t="str">
        <f t="shared" si="5"/>
        <v>Tăng đơ M24 chất liệu thép 24*420mm</v>
      </c>
      <c r="J177" s="8" t="s">
        <v>339</v>
      </c>
      <c r="K177" s="10">
        <v>20</v>
      </c>
      <c r="L177" s="10">
        <v>18000</v>
      </c>
      <c r="M177" s="11">
        <v>360000</v>
      </c>
      <c r="N177" s="8" t="s">
        <v>16</v>
      </c>
      <c r="O177" s="8" t="s">
        <v>17</v>
      </c>
      <c r="P177" s="8" t="s">
        <v>18</v>
      </c>
      <c r="Q177" s="8" t="s">
        <v>18</v>
      </c>
      <c r="R177" s="8" t="s">
        <v>2110</v>
      </c>
      <c r="S177" s="8" t="s">
        <v>2292</v>
      </c>
      <c r="T177" s="8" t="s">
        <v>2293</v>
      </c>
      <c r="U177" s="8" t="s">
        <v>2294</v>
      </c>
      <c r="V177" s="8" t="s">
        <v>328</v>
      </c>
      <c r="W177" s="8">
        <f t="shared" si="6"/>
        <v>4</v>
      </c>
      <c r="X177" s="8">
        <f>K177*L177*N177</f>
        <v>28800</v>
      </c>
    </row>
    <row r="178" spans="1:24" s="8" customFormat="1" ht="41.5" customHeight="1">
      <c r="A178" s="8" t="s">
        <v>2280</v>
      </c>
      <c r="B178" s="8" t="s">
        <v>326</v>
      </c>
      <c r="C178" s="9">
        <v>45980.395184421301</v>
      </c>
      <c r="D178" s="8" t="s">
        <v>2056</v>
      </c>
      <c r="E178" s="8" t="s">
        <v>2057</v>
      </c>
      <c r="F178" s="8">
        <v>20</v>
      </c>
      <c r="G178" s="22" t="s">
        <v>2186</v>
      </c>
      <c r="H178" s="8" t="s">
        <v>348</v>
      </c>
      <c r="I178" s="2" t="str">
        <f t="shared" si="5"/>
        <v>Tăng đơ M20chất liệu thép 20*330mm</v>
      </c>
      <c r="J178" s="8" t="s">
        <v>339</v>
      </c>
      <c r="K178" s="10">
        <v>40</v>
      </c>
      <c r="L178" s="10">
        <v>8500</v>
      </c>
      <c r="M178" s="11">
        <v>340000</v>
      </c>
      <c r="N178" s="8" t="s">
        <v>16</v>
      </c>
      <c r="O178" s="8" t="s">
        <v>17</v>
      </c>
      <c r="P178" s="8" t="s">
        <v>18</v>
      </c>
      <c r="Q178" s="8" t="s">
        <v>18</v>
      </c>
      <c r="R178" s="8" t="s">
        <v>2110</v>
      </c>
      <c r="S178" s="8" t="s">
        <v>2292</v>
      </c>
      <c r="T178" s="8" t="s">
        <v>2293</v>
      </c>
      <c r="U178" s="8" t="s">
        <v>2294</v>
      </c>
      <c r="V178" s="8" t="s">
        <v>328</v>
      </c>
      <c r="W178" s="8">
        <f t="shared" si="6"/>
        <v>4</v>
      </c>
      <c r="X178" s="8">
        <f>K178*L178*N178</f>
        <v>27200</v>
      </c>
    </row>
    <row r="179" spans="1:24" s="8" customFormat="1" ht="41.5" customHeight="1">
      <c r="A179" s="8" t="s">
        <v>2280</v>
      </c>
      <c r="B179" s="8" t="s">
        <v>326</v>
      </c>
      <c r="C179" s="9">
        <v>45980.395184421301</v>
      </c>
      <c r="D179" s="8" t="s">
        <v>2056</v>
      </c>
      <c r="E179" s="8" t="s">
        <v>2057</v>
      </c>
      <c r="F179" s="8">
        <v>21</v>
      </c>
      <c r="G179" s="22" t="s">
        <v>2187</v>
      </c>
      <c r="H179" s="8" t="s">
        <v>349</v>
      </c>
      <c r="I179" s="2" t="str">
        <f t="shared" si="5"/>
        <v>Tăng đơ M22 chất liệu thép 22*380mm</v>
      </c>
      <c r="J179" s="8" t="s">
        <v>339</v>
      </c>
      <c r="K179" s="10">
        <v>30</v>
      </c>
      <c r="L179" s="10">
        <v>12500</v>
      </c>
      <c r="M179" s="11">
        <v>375000</v>
      </c>
      <c r="N179" s="8" t="s">
        <v>16</v>
      </c>
      <c r="O179" s="8" t="s">
        <v>17</v>
      </c>
      <c r="P179" s="8" t="s">
        <v>18</v>
      </c>
      <c r="Q179" s="8" t="s">
        <v>18</v>
      </c>
      <c r="R179" s="8" t="s">
        <v>2110</v>
      </c>
      <c r="S179" s="8" t="s">
        <v>2292</v>
      </c>
      <c r="T179" s="8" t="s">
        <v>2293</v>
      </c>
      <c r="U179" s="8" t="s">
        <v>2294</v>
      </c>
      <c r="V179" s="8" t="s">
        <v>328</v>
      </c>
      <c r="W179" s="8">
        <f t="shared" si="6"/>
        <v>4</v>
      </c>
      <c r="X179" s="8">
        <f>K179*L179*N179</f>
        <v>30000</v>
      </c>
    </row>
    <row r="180" spans="1:24" s="8" customFormat="1" ht="41.5" customHeight="1">
      <c r="A180" s="8" t="s">
        <v>2280</v>
      </c>
      <c r="B180" s="8" t="s">
        <v>326</v>
      </c>
      <c r="C180" s="9">
        <v>45980.395184421301</v>
      </c>
      <c r="D180" s="8" t="s">
        <v>2056</v>
      </c>
      <c r="E180" s="8" t="s">
        <v>2057</v>
      </c>
      <c r="F180" s="8">
        <v>22</v>
      </c>
      <c r="G180" s="22" t="s">
        <v>2188</v>
      </c>
      <c r="H180" s="8" t="s">
        <v>350</v>
      </c>
      <c r="I180" s="2" t="str">
        <f t="shared" si="5"/>
        <v>Tăng đơ M16 chất liệu thép 16*250mm</v>
      </c>
      <c r="J180" s="8" t="s">
        <v>339</v>
      </c>
      <c r="K180" s="10">
        <v>60</v>
      </c>
      <c r="L180" s="10">
        <v>5800</v>
      </c>
      <c r="M180" s="11">
        <v>348000</v>
      </c>
      <c r="N180" s="8" t="s">
        <v>16</v>
      </c>
      <c r="O180" s="8" t="s">
        <v>17</v>
      </c>
      <c r="P180" s="8" t="s">
        <v>18</v>
      </c>
      <c r="Q180" s="8" t="s">
        <v>18</v>
      </c>
      <c r="R180" s="8" t="s">
        <v>2110</v>
      </c>
      <c r="S180" s="8" t="s">
        <v>2292</v>
      </c>
      <c r="T180" s="8" t="s">
        <v>2293</v>
      </c>
      <c r="U180" s="8" t="s">
        <v>2294</v>
      </c>
      <c r="V180" s="8" t="s">
        <v>328</v>
      </c>
      <c r="W180" s="8">
        <f t="shared" si="6"/>
        <v>4</v>
      </c>
      <c r="X180" s="8">
        <f>K180*L180*N180</f>
        <v>27840</v>
      </c>
    </row>
    <row r="181" spans="1:24" s="8" customFormat="1" ht="41.5" customHeight="1">
      <c r="A181" s="8" t="s">
        <v>2280</v>
      </c>
      <c r="B181" s="8" t="s">
        <v>326</v>
      </c>
      <c r="C181" s="9">
        <v>45980.395184421301</v>
      </c>
      <c r="D181" s="8" t="s">
        <v>2056</v>
      </c>
      <c r="E181" s="8" t="s">
        <v>2057</v>
      </c>
      <c r="F181" s="8">
        <v>23</v>
      </c>
      <c r="G181" s="22" t="s">
        <v>1366</v>
      </c>
      <c r="H181" s="8" t="s">
        <v>351</v>
      </c>
      <c r="I181" s="2" t="str">
        <f t="shared" si="5"/>
        <v>Tăng đơ M6 chất liệu thép 6*100mm</v>
      </c>
      <c r="J181" s="8" t="s">
        <v>339</v>
      </c>
      <c r="K181" s="10">
        <v>800</v>
      </c>
      <c r="L181" s="10">
        <v>2600</v>
      </c>
      <c r="M181" s="11">
        <v>2080000</v>
      </c>
      <c r="N181" s="8" t="s">
        <v>16</v>
      </c>
      <c r="O181" s="8" t="s">
        <v>17</v>
      </c>
      <c r="P181" s="8" t="s">
        <v>18</v>
      </c>
      <c r="Q181" s="8" t="s">
        <v>18</v>
      </c>
      <c r="R181" s="8" t="s">
        <v>2110</v>
      </c>
      <c r="S181" s="8" t="s">
        <v>2292</v>
      </c>
      <c r="T181" s="8" t="s">
        <v>2293</v>
      </c>
      <c r="U181" s="8" t="s">
        <v>2294</v>
      </c>
      <c r="V181" s="8" t="s">
        <v>328</v>
      </c>
      <c r="W181" s="8">
        <f t="shared" si="6"/>
        <v>4</v>
      </c>
      <c r="X181" s="8">
        <f>K181*L181*N181</f>
        <v>166400</v>
      </c>
    </row>
    <row r="182" spans="1:24" s="8" customFormat="1" ht="41.5" customHeight="1">
      <c r="A182" s="8" t="s">
        <v>2280</v>
      </c>
      <c r="B182" s="8" t="s">
        <v>326</v>
      </c>
      <c r="C182" s="9">
        <v>45980.395184421301</v>
      </c>
      <c r="D182" s="8" t="s">
        <v>2056</v>
      </c>
      <c r="E182" s="8" t="s">
        <v>2057</v>
      </c>
      <c r="F182" s="8">
        <v>24</v>
      </c>
      <c r="G182" s="22" t="s">
        <v>1356</v>
      </c>
      <c r="H182" s="8" t="s">
        <v>352</v>
      </c>
      <c r="I182" s="2" t="str">
        <f t="shared" si="5"/>
        <v>Súng keo, chất liệu thép, không kèm bình keo</v>
      </c>
      <c r="J182" s="8" t="s">
        <v>339</v>
      </c>
      <c r="K182" s="10">
        <v>100</v>
      </c>
      <c r="L182" s="10">
        <v>5600</v>
      </c>
      <c r="M182" s="11">
        <v>560000</v>
      </c>
      <c r="N182" s="8" t="s">
        <v>16</v>
      </c>
      <c r="O182" s="8" t="s">
        <v>17</v>
      </c>
      <c r="P182" s="8" t="s">
        <v>18</v>
      </c>
      <c r="Q182" s="8" t="s">
        <v>18</v>
      </c>
      <c r="R182" s="8" t="s">
        <v>2110</v>
      </c>
      <c r="S182" s="8" t="s">
        <v>2292</v>
      </c>
      <c r="T182" s="8" t="s">
        <v>2293</v>
      </c>
      <c r="U182" s="8" t="s">
        <v>2294</v>
      </c>
      <c r="V182" s="8" t="s">
        <v>328</v>
      </c>
      <c r="W182" s="8">
        <f t="shared" si="6"/>
        <v>4</v>
      </c>
      <c r="X182" s="8">
        <f>K182*L182*N182</f>
        <v>44800</v>
      </c>
    </row>
    <row r="183" spans="1:24" s="8" customFormat="1" ht="41.5" customHeight="1">
      <c r="A183" s="8" t="s">
        <v>2280</v>
      </c>
      <c r="B183" s="8" t="s">
        <v>326</v>
      </c>
      <c r="C183" s="9">
        <v>45980.395184421301</v>
      </c>
      <c r="D183" s="8" t="s">
        <v>2056</v>
      </c>
      <c r="E183" s="8" t="s">
        <v>2057</v>
      </c>
      <c r="F183" s="8">
        <v>25</v>
      </c>
      <c r="G183" s="22" t="s">
        <v>1356</v>
      </c>
      <c r="H183" s="8" t="s">
        <v>353</v>
      </c>
      <c r="I183" s="2" t="str">
        <f t="shared" si="5"/>
        <v>Súng keo, chất liệu thép, không kèm bình keo</v>
      </c>
      <c r="J183" s="8" t="s">
        <v>339</v>
      </c>
      <c r="K183" s="10">
        <v>90</v>
      </c>
      <c r="L183" s="10">
        <v>5600</v>
      </c>
      <c r="M183" s="11">
        <v>504000</v>
      </c>
      <c r="N183" s="8" t="s">
        <v>16</v>
      </c>
      <c r="O183" s="8" t="s">
        <v>17</v>
      </c>
      <c r="P183" s="8" t="s">
        <v>18</v>
      </c>
      <c r="Q183" s="8" t="s">
        <v>18</v>
      </c>
      <c r="R183" s="8" t="s">
        <v>2110</v>
      </c>
      <c r="S183" s="8" t="s">
        <v>2292</v>
      </c>
      <c r="T183" s="8" t="s">
        <v>2293</v>
      </c>
      <c r="U183" s="8" t="s">
        <v>2294</v>
      </c>
      <c r="V183" s="8" t="s">
        <v>328</v>
      </c>
      <c r="W183" s="8">
        <f t="shared" si="6"/>
        <v>4</v>
      </c>
      <c r="X183" s="8">
        <f>K183*L183*N183</f>
        <v>40320</v>
      </c>
    </row>
    <row r="184" spans="1:24" s="8" customFormat="1" ht="41.5" customHeight="1">
      <c r="A184" s="8" t="s">
        <v>2280</v>
      </c>
      <c r="B184" s="8" t="s">
        <v>326</v>
      </c>
      <c r="C184" s="9">
        <v>45980.395184421301</v>
      </c>
      <c r="D184" s="8" t="s">
        <v>2056</v>
      </c>
      <c r="E184" s="8" t="s">
        <v>2057</v>
      </c>
      <c r="F184" s="8">
        <v>26</v>
      </c>
      <c r="G184" s="22" t="s">
        <v>2189</v>
      </c>
      <c r="H184" s="8" t="s">
        <v>354</v>
      </c>
      <c r="I184" s="2" t="str">
        <f t="shared" si="5"/>
        <v>Dung dịch chống rỉ sét và bôi trơn đa năngGF7</v>
      </c>
      <c r="J184" s="8" t="s">
        <v>339</v>
      </c>
      <c r="K184" s="10">
        <v>96</v>
      </c>
      <c r="L184" s="10">
        <v>4300</v>
      </c>
      <c r="M184" s="11">
        <v>412800</v>
      </c>
      <c r="N184" s="8" t="s">
        <v>16</v>
      </c>
      <c r="O184" s="8" t="s">
        <v>17</v>
      </c>
      <c r="P184" s="8" t="s">
        <v>18</v>
      </c>
      <c r="Q184" s="8" t="s">
        <v>18</v>
      </c>
      <c r="R184" s="8" t="s">
        <v>2110</v>
      </c>
      <c r="S184" s="8" t="s">
        <v>2292</v>
      </c>
      <c r="T184" s="8" t="s">
        <v>2293</v>
      </c>
      <c r="U184" s="8" t="s">
        <v>2294</v>
      </c>
      <c r="V184" s="8" t="s">
        <v>328</v>
      </c>
      <c r="W184" s="8">
        <f t="shared" si="6"/>
        <v>4</v>
      </c>
      <c r="X184" s="8">
        <f>K184*L184*N184</f>
        <v>33024</v>
      </c>
    </row>
    <row r="185" spans="1:24" s="8" customFormat="1" ht="41.5" customHeight="1">
      <c r="A185" s="8" t="s">
        <v>2280</v>
      </c>
      <c r="B185" s="8" t="s">
        <v>326</v>
      </c>
      <c r="C185" s="9">
        <v>45980.395184421301</v>
      </c>
      <c r="D185" s="8" t="s">
        <v>2056</v>
      </c>
      <c r="E185" s="8" t="s">
        <v>2057</v>
      </c>
      <c r="F185" s="8">
        <v>27</v>
      </c>
      <c r="G185" s="22" t="s">
        <v>1558</v>
      </c>
      <c r="H185" s="8" t="s">
        <v>355</v>
      </c>
      <c r="I185" s="2" t="str">
        <f t="shared" si="5"/>
        <v>Ráp xếp đánh gỉ làm từ vật liệu mài 100mm</v>
      </c>
      <c r="J185" s="8" t="s">
        <v>339</v>
      </c>
      <c r="K185" s="10">
        <v>2100</v>
      </c>
      <c r="L185" s="10">
        <v>1500</v>
      </c>
      <c r="M185" s="11">
        <v>3150000</v>
      </c>
      <c r="N185" s="8" t="s">
        <v>16</v>
      </c>
      <c r="O185" s="8" t="s">
        <v>17</v>
      </c>
      <c r="P185" s="8" t="s">
        <v>18</v>
      </c>
      <c r="Q185" s="8" t="s">
        <v>18</v>
      </c>
      <c r="R185" s="8" t="s">
        <v>2110</v>
      </c>
      <c r="S185" s="8" t="s">
        <v>2292</v>
      </c>
      <c r="T185" s="8" t="s">
        <v>2293</v>
      </c>
      <c r="U185" s="8" t="s">
        <v>2294</v>
      </c>
      <c r="V185" s="8" t="s">
        <v>328</v>
      </c>
      <c r="W185" s="8">
        <f t="shared" si="6"/>
        <v>4</v>
      </c>
      <c r="X185" s="8">
        <f>K185*L185*N185</f>
        <v>252000</v>
      </c>
    </row>
    <row r="186" spans="1:24" s="8" customFormat="1" ht="41.5" customHeight="1">
      <c r="A186" s="8" t="s">
        <v>2280</v>
      </c>
      <c r="B186" s="8" t="s">
        <v>326</v>
      </c>
      <c r="C186" s="9">
        <v>45980.395184421301</v>
      </c>
      <c r="D186" s="8" t="s">
        <v>2056</v>
      </c>
      <c r="E186" s="8" t="s">
        <v>2057</v>
      </c>
      <c r="F186" s="8">
        <v>28</v>
      </c>
      <c r="G186" s="22" t="s">
        <v>2190</v>
      </c>
      <c r="H186" s="8" t="s">
        <v>356</v>
      </c>
      <c r="I186" s="2" t="str">
        <f t="shared" si="5"/>
        <v>Tô vít chất liệu thép cán bọc nhựa, cao su</v>
      </c>
      <c r="J186" s="8" t="s">
        <v>339</v>
      </c>
      <c r="K186" s="10">
        <v>180</v>
      </c>
      <c r="L186" s="10">
        <v>3800</v>
      </c>
      <c r="M186" s="11">
        <v>684000</v>
      </c>
      <c r="N186" s="8" t="s">
        <v>16</v>
      </c>
      <c r="O186" s="8" t="s">
        <v>17</v>
      </c>
      <c r="P186" s="8" t="s">
        <v>18</v>
      </c>
      <c r="Q186" s="8" t="s">
        <v>18</v>
      </c>
      <c r="R186" s="8" t="s">
        <v>2110</v>
      </c>
      <c r="S186" s="8" t="s">
        <v>2292</v>
      </c>
      <c r="T186" s="8" t="s">
        <v>2293</v>
      </c>
      <c r="U186" s="8" t="s">
        <v>2294</v>
      </c>
      <c r="V186" s="8" t="s">
        <v>328</v>
      </c>
      <c r="W186" s="8">
        <f t="shared" si="6"/>
        <v>4</v>
      </c>
      <c r="X186" s="8">
        <f>K186*L186*N186</f>
        <v>54720</v>
      </c>
    </row>
    <row r="187" spans="1:24" s="8" customFormat="1" ht="41.5" customHeight="1">
      <c r="A187" s="8" t="s">
        <v>2280</v>
      </c>
      <c r="B187" s="8" t="s">
        <v>326</v>
      </c>
      <c r="C187" s="9">
        <v>45980.395184421301</v>
      </c>
      <c r="D187" s="8" t="s">
        <v>2056</v>
      </c>
      <c r="E187" s="8" t="s">
        <v>2057</v>
      </c>
      <c r="F187" s="8">
        <v>29</v>
      </c>
      <c r="G187" s="22" t="s">
        <v>2190</v>
      </c>
      <c r="H187" s="8" t="s">
        <v>357</v>
      </c>
      <c r="I187" s="2" t="str">
        <f t="shared" si="5"/>
        <v>Tô vít chất liệu thép cán bọc nhựa, cao su</v>
      </c>
      <c r="J187" s="8" t="s">
        <v>339</v>
      </c>
      <c r="K187" s="10">
        <v>120</v>
      </c>
      <c r="L187" s="10">
        <v>4500</v>
      </c>
      <c r="M187" s="11">
        <v>540000</v>
      </c>
      <c r="N187" s="8" t="s">
        <v>16</v>
      </c>
      <c r="O187" s="8" t="s">
        <v>17</v>
      </c>
      <c r="P187" s="8" t="s">
        <v>18</v>
      </c>
      <c r="Q187" s="8" t="s">
        <v>18</v>
      </c>
      <c r="R187" s="8" t="s">
        <v>2110</v>
      </c>
      <c r="S187" s="8" t="s">
        <v>2292</v>
      </c>
      <c r="T187" s="8" t="s">
        <v>2293</v>
      </c>
      <c r="U187" s="8" t="s">
        <v>2294</v>
      </c>
      <c r="V187" s="8" t="s">
        <v>328</v>
      </c>
      <c r="W187" s="8">
        <f t="shared" si="6"/>
        <v>4</v>
      </c>
      <c r="X187" s="8">
        <f>K187*L187*N187</f>
        <v>43200</v>
      </c>
    </row>
    <row r="188" spans="1:24" s="8" customFormat="1" ht="41.5" customHeight="1">
      <c r="A188" s="8" t="s">
        <v>2280</v>
      </c>
      <c r="B188" s="8" t="s">
        <v>326</v>
      </c>
      <c r="C188" s="9">
        <v>45980.395184421301</v>
      </c>
      <c r="D188" s="8" t="s">
        <v>2056</v>
      </c>
      <c r="E188" s="8" t="s">
        <v>2057</v>
      </c>
      <c r="F188" s="8">
        <v>30</v>
      </c>
      <c r="G188" s="22" t="s">
        <v>1374</v>
      </c>
      <c r="H188" s="8" t="s">
        <v>358</v>
      </c>
      <c r="I188" s="2" t="str">
        <f t="shared" si="5"/>
        <v>Kìm cắt dây điện, nhọn, chất liệu thép</v>
      </c>
      <c r="J188" s="8" t="s">
        <v>339</v>
      </c>
      <c r="K188" s="10">
        <v>72</v>
      </c>
      <c r="L188" s="10">
        <v>11000</v>
      </c>
      <c r="M188" s="11">
        <v>792000</v>
      </c>
      <c r="N188" s="8" t="s">
        <v>16</v>
      </c>
      <c r="O188" s="8" t="s">
        <v>17</v>
      </c>
      <c r="P188" s="8" t="s">
        <v>18</v>
      </c>
      <c r="Q188" s="8" t="s">
        <v>18</v>
      </c>
      <c r="R188" s="8" t="s">
        <v>2110</v>
      </c>
      <c r="S188" s="8" t="s">
        <v>2292</v>
      </c>
      <c r="T188" s="8" t="s">
        <v>2293</v>
      </c>
      <c r="U188" s="8" t="s">
        <v>2294</v>
      </c>
      <c r="V188" s="8" t="s">
        <v>328</v>
      </c>
      <c r="W188" s="8">
        <f t="shared" si="6"/>
        <v>4</v>
      </c>
      <c r="X188" s="8">
        <f>K188*L188*N188</f>
        <v>63360</v>
      </c>
    </row>
    <row r="189" spans="1:24" s="8" customFormat="1" ht="41.5" customHeight="1">
      <c r="A189" s="8" t="s">
        <v>2280</v>
      </c>
      <c r="B189" s="8" t="s">
        <v>326</v>
      </c>
      <c r="C189" s="9">
        <v>45980.395184421301</v>
      </c>
      <c r="D189" s="8" t="s">
        <v>2056</v>
      </c>
      <c r="E189" s="8" t="s">
        <v>2057</v>
      </c>
      <c r="F189" s="8">
        <v>31</v>
      </c>
      <c r="G189" s="22" t="s">
        <v>1374</v>
      </c>
      <c r="H189" s="8" t="s">
        <v>359</v>
      </c>
      <c r="I189" s="2" t="str">
        <f t="shared" si="5"/>
        <v>Kìm cắt dây điện, nhọn, chất liệu thép</v>
      </c>
      <c r="J189" s="8" t="s">
        <v>339</v>
      </c>
      <c r="K189" s="10">
        <v>72</v>
      </c>
      <c r="L189" s="10">
        <v>11000</v>
      </c>
      <c r="M189" s="11">
        <v>792000</v>
      </c>
      <c r="N189" s="8" t="s">
        <v>16</v>
      </c>
      <c r="O189" s="8" t="s">
        <v>17</v>
      </c>
      <c r="P189" s="8" t="s">
        <v>18</v>
      </c>
      <c r="Q189" s="8" t="s">
        <v>18</v>
      </c>
      <c r="R189" s="8" t="s">
        <v>2110</v>
      </c>
      <c r="S189" s="8" t="s">
        <v>2292</v>
      </c>
      <c r="T189" s="8" t="s">
        <v>2293</v>
      </c>
      <c r="U189" s="8" t="s">
        <v>2294</v>
      </c>
      <c r="V189" s="8" t="s">
        <v>328</v>
      </c>
      <c r="W189" s="8">
        <f t="shared" si="6"/>
        <v>4</v>
      </c>
      <c r="X189" s="8">
        <f>K189*L189*N189</f>
        <v>63360</v>
      </c>
    </row>
    <row r="190" spans="1:24" s="8" customFormat="1" ht="41.5" customHeight="1">
      <c r="A190" s="8" t="s">
        <v>2280</v>
      </c>
      <c r="B190" s="8" t="s">
        <v>326</v>
      </c>
      <c r="C190" s="9">
        <v>45980.395184421301</v>
      </c>
      <c r="D190" s="8" t="s">
        <v>2056</v>
      </c>
      <c r="E190" s="8" t="s">
        <v>2057</v>
      </c>
      <c r="F190" s="8">
        <v>32</v>
      </c>
      <c r="G190" s="22" t="s">
        <v>1374</v>
      </c>
      <c r="H190" s="8" t="s">
        <v>360</v>
      </c>
      <c r="I190" s="2" t="str">
        <f t="shared" si="5"/>
        <v>Kìm cắt dây điện, nhọn, chất liệu thép</v>
      </c>
      <c r="J190" s="8" t="s">
        <v>339</v>
      </c>
      <c r="K190" s="10">
        <v>72</v>
      </c>
      <c r="L190" s="10">
        <v>11500</v>
      </c>
      <c r="M190" s="11">
        <v>828000</v>
      </c>
      <c r="N190" s="8" t="s">
        <v>16</v>
      </c>
      <c r="O190" s="8" t="s">
        <v>17</v>
      </c>
      <c r="P190" s="8" t="s">
        <v>18</v>
      </c>
      <c r="Q190" s="8" t="s">
        <v>18</v>
      </c>
      <c r="R190" s="8" t="s">
        <v>2110</v>
      </c>
      <c r="S190" s="8" t="s">
        <v>2292</v>
      </c>
      <c r="T190" s="8" t="s">
        <v>2293</v>
      </c>
      <c r="U190" s="8" t="s">
        <v>2294</v>
      </c>
      <c r="V190" s="8" t="s">
        <v>328</v>
      </c>
      <c r="W190" s="8">
        <f t="shared" si="6"/>
        <v>4</v>
      </c>
      <c r="X190" s="8">
        <f>K190*L190*N190</f>
        <v>66240</v>
      </c>
    </row>
    <row r="191" spans="1:24" s="8" customFormat="1" ht="41.5" customHeight="1">
      <c r="A191" s="8" t="s">
        <v>2280</v>
      </c>
      <c r="B191" s="8" t="s">
        <v>326</v>
      </c>
      <c r="C191" s="9">
        <v>45980.395184421301</v>
      </c>
      <c r="D191" s="8" t="s">
        <v>2056</v>
      </c>
      <c r="E191" s="8" t="s">
        <v>2057</v>
      </c>
      <c r="F191" s="8">
        <v>33</v>
      </c>
      <c r="G191" s="22" t="s">
        <v>1357</v>
      </c>
      <c r="H191" s="8" t="s">
        <v>361</v>
      </c>
      <c r="I191" s="2" t="str">
        <f t="shared" si="5"/>
        <v>Dây xích chất liệu thép KT 3mm, dài 145 cm</v>
      </c>
      <c r="J191" s="8" t="s">
        <v>339</v>
      </c>
      <c r="K191" s="10">
        <v>150</v>
      </c>
      <c r="L191" s="10">
        <v>3000</v>
      </c>
      <c r="M191" s="11">
        <v>450000</v>
      </c>
      <c r="N191" s="8" t="s">
        <v>16</v>
      </c>
      <c r="O191" s="8" t="s">
        <v>17</v>
      </c>
      <c r="P191" s="8" t="s">
        <v>18</v>
      </c>
      <c r="Q191" s="8" t="s">
        <v>18</v>
      </c>
      <c r="R191" s="8" t="s">
        <v>2110</v>
      </c>
      <c r="S191" s="8" t="s">
        <v>2292</v>
      </c>
      <c r="T191" s="8" t="s">
        <v>2293</v>
      </c>
      <c r="U191" s="8" t="s">
        <v>2294</v>
      </c>
      <c r="V191" s="8" t="s">
        <v>328</v>
      </c>
      <c r="W191" s="8">
        <f t="shared" si="6"/>
        <v>4</v>
      </c>
      <c r="X191" s="8">
        <f>K191*L191*N191</f>
        <v>36000</v>
      </c>
    </row>
    <row r="192" spans="1:24" s="8" customFormat="1" ht="41.5" customHeight="1">
      <c r="A192" s="8" t="s">
        <v>2280</v>
      </c>
      <c r="B192" s="8" t="s">
        <v>326</v>
      </c>
      <c r="C192" s="9">
        <v>45980.395184421301</v>
      </c>
      <c r="D192" s="8" t="s">
        <v>2056</v>
      </c>
      <c r="E192" s="8" t="s">
        <v>2057</v>
      </c>
      <c r="F192" s="8">
        <v>34</v>
      </c>
      <c r="G192" s="22" t="s">
        <v>2191</v>
      </c>
      <c r="H192" s="8" t="s">
        <v>362</v>
      </c>
      <c r="I192" s="2" t="str">
        <f t="shared" si="5"/>
        <v>Dây xích chất liệu thép KT 4mm, dài 145 cm</v>
      </c>
      <c r="J192" s="8" t="s">
        <v>339</v>
      </c>
      <c r="K192" s="10">
        <v>120</v>
      </c>
      <c r="L192" s="10">
        <v>3500</v>
      </c>
      <c r="M192" s="11">
        <v>420000</v>
      </c>
      <c r="N192" s="8" t="s">
        <v>16</v>
      </c>
      <c r="O192" s="8" t="s">
        <v>17</v>
      </c>
      <c r="P192" s="8" t="s">
        <v>18</v>
      </c>
      <c r="Q192" s="8" t="s">
        <v>18</v>
      </c>
      <c r="R192" s="8" t="s">
        <v>2110</v>
      </c>
      <c r="S192" s="8" t="s">
        <v>2292</v>
      </c>
      <c r="T192" s="8" t="s">
        <v>2293</v>
      </c>
      <c r="U192" s="8" t="s">
        <v>2294</v>
      </c>
      <c r="V192" s="8" t="s">
        <v>328</v>
      </c>
      <c r="W192" s="8">
        <f t="shared" si="6"/>
        <v>4</v>
      </c>
      <c r="X192" s="8">
        <f>K192*L192*N192</f>
        <v>33600</v>
      </c>
    </row>
    <row r="193" spans="1:24" s="8" customFormat="1" ht="41.5" customHeight="1">
      <c r="A193" s="8" t="s">
        <v>2280</v>
      </c>
      <c r="B193" s="8" t="s">
        <v>326</v>
      </c>
      <c r="C193" s="9">
        <v>45980.395184421301</v>
      </c>
      <c r="D193" s="8" t="s">
        <v>2056</v>
      </c>
      <c r="E193" s="8" t="s">
        <v>2057</v>
      </c>
      <c r="F193" s="8">
        <v>35</v>
      </c>
      <c r="G193" s="22" t="s">
        <v>1486</v>
      </c>
      <c r="H193" s="8" t="s">
        <v>363</v>
      </c>
      <c r="I193" s="2" t="str">
        <f t="shared" si="5"/>
        <v>Dây xích chất liệu thép KT 5mm, dài 145 cm</v>
      </c>
      <c r="J193" s="8" t="s">
        <v>339</v>
      </c>
      <c r="K193" s="10">
        <v>100</v>
      </c>
      <c r="L193" s="10">
        <v>4600</v>
      </c>
      <c r="M193" s="11">
        <v>460000</v>
      </c>
      <c r="N193" s="8" t="s">
        <v>16</v>
      </c>
      <c r="O193" s="8" t="s">
        <v>17</v>
      </c>
      <c r="P193" s="8" t="s">
        <v>18</v>
      </c>
      <c r="Q193" s="8" t="s">
        <v>18</v>
      </c>
      <c r="R193" s="8" t="s">
        <v>2110</v>
      </c>
      <c r="S193" s="8" t="s">
        <v>2292</v>
      </c>
      <c r="T193" s="8" t="s">
        <v>2293</v>
      </c>
      <c r="U193" s="8" t="s">
        <v>2294</v>
      </c>
      <c r="V193" s="8" t="s">
        <v>328</v>
      </c>
      <c r="W193" s="8">
        <f t="shared" si="6"/>
        <v>4</v>
      </c>
      <c r="X193" s="8">
        <f>K193*L193*N193</f>
        <v>36800</v>
      </c>
    </row>
    <row r="194" spans="1:24" s="8" customFormat="1" ht="41.5" customHeight="1">
      <c r="A194" s="8" t="s">
        <v>2280</v>
      </c>
      <c r="B194" s="8" t="s">
        <v>326</v>
      </c>
      <c r="C194" s="9">
        <v>45980.395184421301</v>
      </c>
      <c r="D194" s="8" t="s">
        <v>2056</v>
      </c>
      <c r="E194" s="8" t="s">
        <v>2057</v>
      </c>
      <c r="F194" s="8">
        <v>36</v>
      </c>
      <c r="G194" s="22" t="s">
        <v>2192</v>
      </c>
      <c r="H194" s="8" t="s">
        <v>364</v>
      </c>
      <c r="I194" s="2" t="str">
        <f t="shared" si="5"/>
        <v>Kéo cắt chất liêu sắt P1, tay bọc nhựa 23cm</v>
      </c>
      <c r="J194" s="8" t="s">
        <v>339</v>
      </c>
      <c r="K194" s="10">
        <v>120</v>
      </c>
      <c r="L194" s="10">
        <v>5800</v>
      </c>
      <c r="M194" s="11">
        <v>696000</v>
      </c>
      <c r="N194" s="8" t="s">
        <v>16</v>
      </c>
      <c r="O194" s="8" t="s">
        <v>17</v>
      </c>
      <c r="P194" s="8" t="s">
        <v>18</v>
      </c>
      <c r="Q194" s="8" t="s">
        <v>18</v>
      </c>
      <c r="R194" s="8" t="s">
        <v>2110</v>
      </c>
      <c r="S194" s="8" t="s">
        <v>2292</v>
      </c>
      <c r="T194" s="8" t="s">
        <v>2293</v>
      </c>
      <c r="U194" s="8" t="s">
        <v>2294</v>
      </c>
      <c r="V194" s="8" t="s">
        <v>328</v>
      </c>
      <c r="W194" s="8">
        <f t="shared" si="6"/>
        <v>4</v>
      </c>
      <c r="X194" s="8">
        <f>K194*L194*N194</f>
        <v>55680</v>
      </c>
    </row>
    <row r="195" spans="1:24" s="8" customFormat="1" ht="41.5" customHeight="1">
      <c r="A195" s="8" t="s">
        <v>2280</v>
      </c>
      <c r="B195" s="8" t="s">
        <v>326</v>
      </c>
      <c r="C195" s="9">
        <v>45980.395184421301</v>
      </c>
      <c r="D195" s="8" t="s">
        <v>2056</v>
      </c>
      <c r="E195" s="8" t="s">
        <v>2057</v>
      </c>
      <c r="F195" s="8">
        <v>37</v>
      </c>
      <c r="G195" s="22" t="s">
        <v>1293</v>
      </c>
      <c r="H195" s="8" t="s">
        <v>365</v>
      </c>
      <c r="I195" s="2" t="str">
        <f t="shared" si="5"/>
        <v>Thước rút 5m, chất liệu thép, hiệu Gofurther</v>
      </c>
      <c r="J195" s="8" t="s">
        <v>339</v>
      </c>
      <c r="K195" s="10">
        <v>360</v>
      </c>
      <c r="L195" s="10">
        <v>4800</v>
      </c>
      <c r="M195" s="11">
        <v>1728000</v>
      </c>
      <c r="N195" s="8" t="s">
        <v>16</v>
      </c>
      <c r="O195" s="8" t="s">
        <v>17</v>
      </c>
      <c r="P195" s="8" t="s">
        <v>18</v>
      </c>
      <c r="Q195" s="8" t="s">
        <v>18</v>
      </c>
      <c r="R195" s="8" t="s">
        <v>2110</v>
      </c>
      <c r="S195" s="8" t="s">
        <v>2292</v>
      </c>
      <c r="T195" s="8" t="s">
        <v>2293</v>
      </c>
      <c r="U195" s="8" t="s">
        <v>2294</v>
      </c>
      <c r="V195" s="8" t="s">
        <v>328</v>
      </c>
      <c r="W195" s="8">
        <f t="shared" si="6"/>
        <v>4</v>
      </c>
      <c r="X195" s="8">
        <f>K195*L195*N195</f>
        <v>138240</v>
      </c>
    </row>
    <row r="196" spans="1:24" s="8" customFormat="1" ht="41.5" customHeight="1">
      <c r="A196" s="8" t="s">
        <v>2280</v>
      </c>
      <c r="B196" s="8" t="s">
        <v>326</v>
      </c>
      <c r="C196" s="9">
        <v>45980.395184421301</v>
      </c>
      <c r="D196" s="8" t="s">
        <v>2056</v>
      </c>
      <c r="E196" s="8" t="s">
        <v>2057</v>
      </c>
      <c r="F196" s="8">
        <v>38</v>
      </c>
      <c r="G196" s="22" t="s">
        <v>1325</v>
      </c>
      <c r="H196" s="8" t="s">
        <v>366</v>
      </c>
      <c r="I196" s="2" t="str">
        <f t="shared" si="5"/>
        <v>Thước rút 7.5m chất liệu thép hiệu Gofurther</v>
      </c>
      <c r="J196" s="8" t="s">
        <v>339</v>
      </c>
      <c r="K196" s="10">
        <v>480</v>
      </c>
      <c r="L196" s="10">
        <v>7200</v>
      </c>
      <c r="M196" s="11">
        <v>3456000</v>
      </c>
      <c r="N196" s="8" t="s">
        <v>16</v>
      </c>
      <c r="O196" s="8" t="s">
        <v>17</v>
      </c>
      <c r="P196" s="8" t="s">
        <v>18</v>
      </c>
      <c r="Q196" s="8" t="s">
        <v>18</v>
      </c>
      <c r="R196" s="8" t="s">
        <v>2110</v>
      </c>
      <c r="S196" s="8" t="s">
        <v>2292</v>
      </c>
      <c r="T196" s="8" t="s">
        <v>2293</v>
      </c>
      <c r="U196" s="8" t="s">
        <v>2294</v>
      </c>
      <c r="V196" s="8" t="s">
        <v>328</v>
      </c>
      <c r="W196" s="8">
        <f t="shared" si="6"/>
        <v>4</v>
      </c>
      <c r="X196" s="8">
        <f>K196*L196*N196</f>
        <v>276480</v>
      </c>
    </row>
    <row r="197" spans="1:24" s="8" customFormat="1" ht="41.5" customHeight="1">
      <c r="A197" s="8" t="s">
        <v>2280</v>
      </c>
      <c r="B197" s="8" t="s">
        <v>326</v>
      </c>
      <c r="C197" s="9">
        <v>45980.395184421301</v>
      </c>
      <c r="D197" s="8" t="s">
        <v>2056</v>
      </c>
      <c r="E197" s="8" t="s">
        <v>2057</v>
      </c>
      <c r="F197" s="8">
        <v>39</v>
      </c>
      <c r="G197" s="27" t="s">
        <v>1358</v>
      </c>
      <c r="H197" s="8" t="s">
        <v>367</v>
      </c>
      <c r="I197" s="2" t="str">
        <f t="shared" si="5"/>
        <v>Mũi đục bê tông phi 17*250mm, hiệu Gofurther</v>
      </c>
      <c r="J197" s="8" t="s">
        <v>339</v>
      </c>
      <c r="K197" s="10">
        <v>200</v>
      </c>
      <c r="L197" s="10">
        <v>4800</v>
      </c>
      <c r="M197" s="11">
        <v>960000</v>
      </c>
      <c r="N197" s="8" t="s">
        <v>16</v>
      </c>
      <c r="O197" s="8" t="s">
        <v>17</v>
      </c>
      <c r="P197" s="8" t="s">
        <v>18</v>
      </c>
      <c r="Q197" s="8" t="s">
        <v>18</v>
      </c>
      <c r="R197" s="8" t="s">
        <v>2110</v>
      </c>
      <c r="S197" s="8" t="s">
        <v>2292</v>
      </c>
      <c r="T197" s="8" t="s">
        <v>2293</v>
      </c>
      <c r="U197" s="8" t="s">
        <v>2294</v>
      </c>
      <c r="V197" s="8" t="s">
        <v>328</v>
      </c>
      <c r="W197" s="8">
        <f t="shared" si="6"/>
        <v>4</v>
      </c>
      <c r="X197" s="8">
        <f>K197*L197*N197</f>
        <v>76800</v>
      </c>
    </row>
    <row r="198" spans="1:24" s="8" customFormat="1" ht="41.5" customHeight="1">
      <c r="A198" s="8" t="s">
        <v>2280</v>
      </c>
      <c r="B198" s="8" t="s">
        <v>326</v>
      </c>
      <c r="C198" s="9">
        <v>45980.395184421301</v>
      </c>
      <c r="D198" s="8" t="s">
        <v>2056</v>
      </c>
      <c r="E198" s="8" t="s">
        <v>2057</v>
      </c>
      <c r="F198" s="8">
        <v>40</v>
      </c>
      <c r="G198" s="22" t="s">
        <v>1540</v>
      </c>
      <c r="H198" s="8" t="s">
        <v>368</v>
      </c>
      <c r="I198" s="2" t="str">
        <f t="shared" ref="I198:I261" si="7">G198</f>
        <v>Mũi đục bê tông phi 14*210mm, hiệu HD</v>
      </c>
      <c r="J198" s="8" t="s">
        <v>339</v>
      </c>
      <c r="K198" s="10">
        <v>150</v>
      </c>
      <c r="L198" s="10">
        <v>3200</v>
      </c>
      <c r="M198" s="11">
        <v>480000</v>
      </c>
      <c r="N198" s="8" t="s">
        <v>16</v>
      </c>
      <c r="O198" s="8" t="s">
        <v>17</v>
      </c>
      <c r="P198" s="8" t="s">
        <v>18</v>
      </c>
      <c r="Q198" s="8" t="s">
        <v>18</v>
      </c>
      <c r="R198" s="8" t="s">
        <v>2110</v>
      </c>
      <c r="S198" s="8" t="s">
        <v>2292</v>
      </c>
      <c r="T198" s="8" t="s">
        <v>2293</v>
      </c>
      <c r="U198" s="8" t="s">
        <v>2294</v>
      </c>
      <c r="V198" s="8" t="s">
        <v>328</v>
      </c>
      <c r="W198" s="8">
        <f t="shared" si="6"/>
        <v>4</v>
      </c>
      <c r="X198" s="8">
        <f>K198*L198*N198</f>
        <v>38400</v>
      </c>
    </row>
    <row r="199" spans="1:24" s="8" customFormat="1" ht="41.5" customHeight="1">
      <c r="A199" s="8" t="s">
        <v>2280</v>
      </c>
      <c r="B199" s="8" t="s">
        <v>326</v>
      </c>
      <c r="C199" s="9">
        <v>45980.395184421301</v>
      </c>
      <c r="D199" s="8" t="s">
        <v>2056</v>
      </c>
      <c r="E199" s="8" t="s">
        <v>2057</v>
      </c>
      <c r="F199" s="8">
        <v>41</v>
      </c>
      <c r="G199" s="2"/>
      <c r="H199" s="8" t="s">
        <v>369</v>
      </c>
      <c r="I199" s="2">
        <f t="shared" si="7"/>
        <v>0</v>
      </c>
      <c r="J199" s="8" t="s">
        <v>339</v>
      </c>
      <c r="K199" s="10">
        <v>120</v>
      </c>
      <c r="L199" s="10">
        <v>4800</v>
      </c>
      <c r="M199" s="11">
        <v>576000</v>
      </c>
      <c r="N199" s="8" t="s">
        <v>16</v>
      </c>
      <c r="O199" s="8" t="s">
        <v>17</v>
      </c>
      <c r="P199" s="8" t="s">
        <v>18</v>
      </c>
      <c r="Q199" s="8" t="s">
        <v>18</v>
      </c>
      <c r="R199" s="8" t="s">
        <v>2110</v>
      </c>
      <c r="S199" s="8" t="s">
        <v>2292</v>
      </c>
      <c r="T199" s="8" t="s">
        <v>2293</v>
      </c>
      <c r="U199" s="8" t="s">
        <v>2294</v>
      </c>
      <c r="V199" s="8" t="s">
        <v>328</v>
      </c>
      <c r="W199" s="8">
        <f t="shared" si="6"/>
        <v>4</v>
      </c>
      <c r="X199" s="8">
        <f>K199*L199*N199</f>
        <v>46080</v>
      </c>
    </row>
    <row r="200" spans="1:24" s="8" customFormat="1" ht="41.5" customHeight="1">
      <c r="A200" s="8" t="s">
        <v>2280</v>
      </c>
      <c r="B200" s="8" t="s">
        <v>326</v>
      </c>
      <c r="C200" s="9">
        <v>45980.395184421301</v>
      </c>
      <c r="D200" s="8" t="s">
        <v>2056</v>
      </c>
      <c r="E200" s="8" t="s">
        <v>2057</v>
      </c>
      <c r="F200" s="8">
        <v>42</v>
      </c>
      <c r="G200" s="22" t="s">
        <v>1390</v>
      </c>
      <c r="H200" s="8" t="s">
        <v>370</v>
      </c>
      <c r="I200" s="2" t="str">
        <f t="shared" si="7"/>
        <v>Đầu khò ga mini không kèm bình KT 17.5cm</v>
      </c>
      <c r="J200" s="8" t="s">
        <v>339</v>
      </c>
      <c r="K200" s="10">
        <v>100</v>
      </c>
      <c r="L200" s="10">
        <v>8500</v>
      </c>
      <c r="M200" s="11">
        <v>850000</v>
      </c>
      <c r="N200" s="8" t="s">
        <v>16</v>
      </c>
      <c r="O200" s="8" t="s">
        <v>17</v>
      </c>
      <c r="P200" s="8" t="s">
        <v>18</v>
      </c>
      <c r="Q200" s="8" t="s">
        <v>18</v>
      </c>
      <c r="R200" s="8" t="s">
        <v>2110</v>
      </c>
      <c r="S200" s="8" t="s">
        <v>2292</v>
      </c>
      <c r="T200" s="8" t="s">
        <v>2293</v>
      </c>
      <c r="U200" s="8" t="s">
        <v>2294</v>
      </c>
      <c r="V200" s="8" t="s">
        <v>328</v>
      </c>
      <c r="W200" s="8">
        <f t="shared" si="6"/>
        <v>4</v>
      </c>
      <c r="X200" s="8">
        <f>K200*L200*N200</f>
        <v>68000</v>
      </c>
    </row>
    <row r="201" spans="1:24" s="8" customFormat="1" ht="41.5" customHeight="1">
      <c r="A201" s="8" t="s">
        <v>2280</v>
      </c>
      <c r="B201" s="8" t="s">
        <v>326</v>
      </c>
      <c r="C201" s="9">
        <v>45980.395184421301</v>
      </c>
      <c r="D201" s="8" t="s">
        <v>2056</v>
      </c>
      <c r="E201" s="8" t="s">
        <v>2057</v>
      </c>
      <c r="F201" s="8">
        <v>43</v>
      </c>
      <c r="G201" s="22" t="s">
        <v>2194</v>
      </c>
      <c r="H201" s="8" t="s">
        <v>371</v>
      </c>
      <c r="I201" s="2" t="str">
        <f t="shared" si="7"/>
        <v>Dây hơi khí nén phi 10mm dài 100m hiệu Gofurth</v>
      </c>
      <c r="J201" s="8" t="s">
        <v>372</v>
      </c>
      <c r="K201" s="10">
        <v>10</v>
      </c>
      <c r="L201" s="10">
        <v>54000</v>
      </c>
      <c r="M201" s="11">
        <v>540000</v>
      </c>
      <c r="N201" s="8" t="s">
        <v>16</v>
      </c>
      <c r="O201" s="8" t="s">
        <v>17</v>
      </c>
      <c r="P201" s="8" t="s">
        <v>18</v>
      </c>
      <c r="Q201" s="8" t="s">
        <v>18</v>
      </c>
      <c r="R201" s="8" t="s">
        <v>2110</v>
      </c>
      <c r="S201" s="8" t="s">
        <v>2292</v>
      </c>
      <c r="T201" s="8" t="s">
        <v>2293</v>
      </c>
      <c r="U201" s="8" t="s">
        <v>2294</v>
      </c>
      <c r="V201" s="8" t="s">
        <v>328</v>
      </c>
      <c r="W201" s="8">
        <f t="shared" si="6"/>
        <v>4</v>
      </c>
      <c r="X201" s="8">
        <f>K201*L201*N201</f>
        <v>43200</v>
      </c>
    </row>
    <row r="202" spans="1:24" s="8" customFormat="1" ht="41.5" customHeight="1">
      <c r="A202" s="8" t="s">
        <v>2280</v>
      </c>
      <c r="B202" s="8" t="s">
        <v>326</v>
      </c>
      <c r="C202" s="9">
        <v>45980.395184421301</v>
      </c>
      <c r="D202" s="8" t="s">
        <v>2056</v>
      </c>
      <c r="E202" s="8" t="s">
        <v>2057</v>
      </c>
      <c r="F202" s="8">
        <v>44</v>
      </c>
      <c r="G202" s="22" t="s">
        <v>1338</v>
      </c>
      <c r="H202" s="8" t="s">
        <v>373</v>
      </c>
      <c r="I202" s="2" t="str">
        <f t="shared" si="7"/>
        <v>Vít đầu bằng chất liệu thép mạ Inox 4.2mm</v>
      </c>
      <c r="J202" s="8" t="s">
        <v>374</v>
      </c>
      <c r="K202" s="10">
        <v>54</v>
      </c>
      <c r="L202" s="10">
        <v>19000</v>
      </c>
      <c r="M202" s="11">
        <v>1026000</v>
      </c>
      <c r="N202" s="8" t="s">
        <v>16</v>
      </c>
      <c r="O202" s="8" t="s">
        <v>17</v>
      </c>
      <c r="P202" s="8" t="s">
        <v>18</v>
      </c>
      <c r="Q202" s="8" t="s">
        <v>18</v>
      </c>
      <c r="R202" s="8" t="s">
        <v>2110</v>
      </c>
      <c r="S202" s="8" t="s">
        <v>2292</v>
      </c>
      <c r="T202" s="8" t="s">
        <v>2293</v>
      </c>
      <c r="U202" s="8" t="s">
        <v>2294</v>
      </c>
      <c r="V202" s="8" t="s">
        <v>328</v>
      </c>
      <c r="W202" s="8">
        <f t="shared" si="6"/>
        <v>4</v>
      </c>
      <c r="X202" s="8">
        <f>K202*L202*N202</f>
        <v>82080</v>
      </c>
    </row>
    <row r="203" spans="1:24" s="8" customFormat="1" ht="41.5" customHeight="1">
      <c r="A203" s="8" t="s">
        <v>2280</v>
      </c>
      <c r="B203" s="8" t="s">
        <v>326</v>
      </c>
      <c r="C203" s="9">
        <v>45980.395184421301</v>
      </c>
      <c r="D203" s="8" t="s">
        <v>2056</v>
      </c>
      <c r="E203" s="8" t="s">
        <v>2057</v>
      </c>
      <c r="F203" s="8">
        <v>45</v>
      </c>
      <c r="G203" s="22" t="s">
        <v>2195</v>
      </c>
      <c r="H203" s="8" t="s">
        <v>375</v>
      </c>
      <c r="I203" s="2" t="str">
        <f t="shared" si="7"/>
        <v>Khóa dây chất liệu lõi sắt bọc nhưạ 20*80</v>
      </c>
      <c r="J203" s="8" t="s">
        <v>339</v>
      </c>
      <c r="K203" s="10">
        <v>100</v>
      </c>
      <c r="L203" s="10">
        <v>5800</v>
      </c>
      <c r="M203" s="11">
        <v>580000</v>
      </c>
      <c r="N203" s="8" t="s">
        <v>16</v>
      </c>
      <c r="O203" s="8" t="s">
        <v>17</v>
      </c>
      <c r="P203" s="8" t="s">
        <v>18</v>
      </c>
      <c r="Q203" s="8" t="s">
        <v>18</v>
      </c>
      <c r="R203" s="8" t="s">
        <v>2110</v>
      </c>
      <c r="S203" s="8" t="s">
        <v>2292</v>
      </c>
      <c r="T203" s="8" t="s">
        <v>2293</v>
      </c>
      <c r="U203" s="8" t="s">
        <v>2294</v>
      </c>
      <c r="V203" s="8" t="s">
        <v>328</v>
      </c>
      <c r="W203" s="8">
        <f t="shared" si="6"/>
        <v>4</v>
      </c>
      <c r="X203" s="8">
        <f>K203*L203*N203</f>
        <v>46400</v>
      </c>
    </row>
    <row r="204" spans="1:24" s="8" customFormat="1" ht="41.5" customHeight="1">
      <c r="A204" s="8" t="s">
        <v>2280</v>
      </c>
      <c r="B204" s="8" t="s">
        <v>326</v>
      </c>
      <c r="C204" s="9">
        <v>45980.395184421301</v>
      </c>
      <c r="D204" s="8" t="s">
        <v>2056</v>
      </c>
      <c r="E204" s="8" t="s">
        <v>2057</v>
      </c>
      <c r="F204" s="8">
        <v>46</v>
      </c>
      <c r="G204" s="22" t="s">
        <v>2196</v>
      </c>
      <c r="H204" s="8" t="s">
        <v>376</v>
      </c>
      <c r="I204" s="2" t="str">
        <f t="shared" si="7"/>
        <v>dây hơi khí nén phi 8mm dài 100m hiệu Gofurthe</v>
      </c>
      <c r="J204" s="8" t="s">
        <v>377</v>
      </c>
      <c r="K204" s="10">
        <v>12</v>
      </c>
      <c r="L204" s="10">
        <v>81000</v>
      </c>
      <c r="M204" s="11">
        <v>972000</v>
      </c>
      <c r="N204" s="8" t="s">
        <v>16</v>
      </c>
      <c r="O204" s="8" t="s">
        <v>17</v>
      </c>
      <c r="P204" s="8" t="s">
        <v>18</v>
      </c>
      <c r="Q204" s="8" t="s">
        <v>18</v>
      </c>
      <c r="R204" s="8" t="s">
        <v>2110</v>
      </c>
      <c r="S204" s="8" t="s">
        <v>2292</v>
      </c>
      <c r="T204" s="8" t="s">
        <v>2293</v>
      </c>
      <c r="U204" s="8" t="s">
        <v>2294</v>
      </c>
      <c r="V204" s="8" t="s">
        <v>328</v>
      </c>
      <c r="W204" s="8">
        <f t="shared" si="6"/>
        <v>4</v>
      </c>
      <c r="X204" s="8">
        <f>K204*L204*N204</f>
        <v>77760</v>
      </c>
    </row>
    <row r="205" spans="1:24" s="8" customFormat="1" ht="41.5" customHeight="1">
      <c r="A205" s="8" t="s">
        <v>2280</v>
      </c>
      <c r="B205" s="8" t="s">
        <v>326</v>
      </c>
      <c r="C205" s="9">
        <v>45980.395184421301</v>
      </c>
      <c r="D205" s="8" t="s">
        <v>2056</v>
      </c>
      <c r="E205" s="8" t="s">
        <v>2057</v>
      </c>
      <c r="F205" s="8">
        <v>47</v>
      </c>
      <c r="G205" s="22" t="s">
        <v>378</v>
      </c>
      <c r="H205" s="8" t="s">
        <v>378</v>
      </c>
      <c r="I205" s="2" t="str">
        <f t="shared" si="7"/>
        <v>Sơn xịt Kobe mã 300</v>
      </c>
      <c r="J205" s="8" t="s">
        <v>55</v>
      </c>
      <c r="K205" s="10">
        <v>20</v>
      </c>
      <c r="L205" s="10">
        <v>305000</v>
      </c>
      <c r="M205" s="11">
        <v>6100000</v>
      </c>
      <c r="N205" s="8" t="s">
        <v>16</v>
      </c>
      <c r="O205" s="8" t="s">
        <v>17</v>
      </c>
      <c r="P205" s="8" t="s">
        <v>18</v>
      </c>
      <c r="Q205" s="8" t="s">
        <v>18</v>
      </c>
      <c r="R205" s="8" t="s">
        <v>2110</v>
      </c>
      <c r="S205" s="8" t="s">
        <v>2292</v>
      </c>
      <c r="T205" s="8" t="s">
        <v>2293</v>
      </c>
      <c r="U205" s="8" t="s">
        <v>2294</v>
      </c>
      <c r="V205" s="8" t="s">
        <v>328</v>
      </c>
      <c r="W205" s="8">
        <f t="shared" si="6"/>
        <v>4</v>
      </c>
      <c r="X205" s="8">
        <f>K205*L205*N205</f>
        <v>488000</v>
      </c>
    </row>
    <row r="206" spans="1:24" s="8" customFormat="1" ht="41.5" customHeight="1">
      <c r="A206" s="8" t="s">
        <v>2280</v>
      </c>
      <c r="B206" s="8" t="s">
        <v>379</v>
      </c>
      <c r="C206" s="9">
        <v>45973.364478287003</v>
      </c>
      <c r="D206" s="8" t="s">
        <v>2056</v>
      </c>
      <c r="E206" s="8" t="s">
        <v>2057</v>
      </c>
      <c r="F206" s="8">
        <v>1</v>
      </c>
      <c r="G206" s="27" t="s">
        <v>1332</v>
      </c>
      <c r="H206" s="8" t="s">
        <v>380</v>
      </c>
      <c r="I206" s="2" t="str">
        <f t="shared" si="7"/>
        <v>Đá cắt kim loại COROLLA 107*1.2*16mm (xanh)</v>
      </c>
      <c r="J206" s="8" t="s">
        <v>99</v>
      </c>
      <c r="K206" s="10">
        <v>2224</v>
      </c>
      <c r="L206" s="10">
        <v>2000</v>
      </c>
      <c r="M206" s="11">
        <v>4448000</v>
      </c>
      <c r="N206" s="8" t="s">
        <v>16</v>
      </c>
      <c r="O206" s="8" t="s">
        <v>17</v>
      </c>
      <c r="P206" s="8" t="s">
        <v>18</v>
      </c>
      <c r="Q206" s="8" t="s">
        <v>18</v>
      </c>
      <c r="R206" s="8" t="s">
        <v>2110</v>
      </c>
      <c r="S206" s="8" t="s">
        <v>2292</v>
      </c>
      <c r="T206" s="8" t="s">
        <v>2293</v>
      </c>
      <c r="U206" s="8" t="s">
        <v>2294</v>
      </c>
      <c r="V206" s="8" t="s">
        <v>381</v>
      </c>
      <c r="W206" s="8">
        <f t="shared" si="6"/>
        <v>4</v>
      </c>
      <c r="X206" s="8">
        <f>K206*L206*N206</f>
        <v>355840</v>
      </c>
    </row>
    <row r="207" spans="1:24" s="8" customFormat="1" ht="41.5" customHeight="1">
      <c r="A207" s="8" t="s">
        <v>2280</v>
      </c>
      <c r="B207" s="8" t="s">
        <v>379</v>
      </c>
      <c r="C207" s="9">
        <v>45973.364478287003</v>
      </c>
      <c r="D207" s="8" t="s">
        <v>2056</v>
      </c>
      <c r="E207" s="8" t="s">
        <v>2057</v>
      </c>
      <c r="F207" s="8">
        <v>2</v>
      </c>
      <c r="G207" s="22" t="s">
        <v>382</v>
      </c>
      <c r="H207" s="8" t="s">
        <v>382</v>
      </c>
      <c r="I207" s="2" t="str">
        <f t="shared" si="7"/>
        <v>Đá cắt kim loại COROLLA 125*1.2*22.23mm (xanh)</v>
      </c>
      <c r="J207" s="8" t="s">
        <v>99</v>
      </c>
      <c r="K207" s="10">
        <v>800</v>
      </c>
      <c r="L207" s="10">
        <v>3200</v>
      </c>
      <c r="M207" s="11">
        <v>2560000</v>
      </c>
      <c r="N207" s="8" t="s">
        <v>16</v>
      </c>
      <c r="O207" s="8" t="s">
        <v>17</v>
      </c>
      <c r="P207" s="8" t="s">
        <v>18</v>
      </c>
      <c r="Q207" s="8" t="s">
        <v>18</v>
      </c>
      <c r="R207" s="8" t="s">
        <v>2110</v>
      </c>
      <c r="S207" s="8" t="s">
        <v>2292</v>
      </c>
      <c r="T207" s="8" t="s">
        <v>2293</v>
      </c>
      <c r="U207" s="8" t="s">
        <v>2294</v>
      </c>
      <c r="V207" s="8" t="s">
        <v>381</v>
      </c>
      <c r="W207" s="8">
        <f t="shared" si="6"/>
        <v>4</v>
      </c>
      <c r="X207" s="8">
        <f>K207*L207*N207</f>
        <v>204800</v>
      </c>
    </row>
    <row r="208" spans="1:24" s="8" customFormat="1" ht="41.5" customHeight="1">
      <c r="A208" s="8" t="s">
        <v>2280</v>
      </c>
      <c r="B208" s="8" t="s">
        <v>379</v>
      </c>
      <c r="C208" s="9">
        <v>45973.364478287003</v>
      </c>
      <c r="D208" s="8" t="s">
        <v>2056</v>
      </c>
      <c r="E208" s="8" t="s">
        <v>2057</v>
      </c>
      <c r="F208" s="8">
        <v>3</v>
      </c>
      <c r="G208" s="22" t="s">
        <v>383</v>
      </c>
      <c r="H208" s="8" t="s">
        <v>383</v>
      </c>
      <c r="I208" s="2" t="str">
        <f t="shared" si="7"/>
        <v>Đá cắt kim loại COROLLA 355*2.5*25.4mm (xanh)</v>
      </c>
      <c r="J208" s="8" t="s">
        <v>99</v>
      </c>
      <c r="K208" s="10">
        <v>150</v>
      </c>
      <c r="L208" s="10">
        <v>23200</v>
      </c>
      <c r="M208" s="11">
        <v>3480000</v>
      </c>
      <c r="N208" s="8" t="s">
        <v>16</v>
      </c>
      <c r="O208" s="8" t="s">
        <v>17</v>
      </c>
      <c r="P208" s="8" t="s">
        <v>18</v>
      </c>
      <c r="Q208" s="8" t="s">
        <v>18</v>
      </c>
      <c r="R208" s="8" t="s">
        <v>2110</v>
      </c>
      <c r="S208" s="8" t="s">
        <v>2292</v>
      </c>
      <c r="T208" s="8" t="s">
        <v>2293</v>
      </c>
      <c r="U208" s="8" t="s">
        <v>2294</v>
      </c>
      <c r="V208" s="8" t="s">
        <v>381</v>
      </c>
      <c r="W208" s="8">
        <f t="shared" si="6"/>
        <v>4</v>
      </c>
      <c r="X208" s="8">
        <f>K208*L208*N208</f>
        <v>278400</v>
      </c>
    </row>
    <row r="209" spans="1:24" s="8" customFormat="1" ht="41.5" customHeight="1">
      <c r="A209" s="8" t="s">
        <v>2280</v>
      </c>
      <c r="B209" s="8" t="s">
        <v>379</v>
      </c>
      <c r="C209" s="9">
        <v>45973.364478287003</v>
      </c>
      <c r="D209" s="8" t="s">
        <v>2056</v>
      </c>
      <c r="E209" s="8" t="s">
        <v>2057</v>
      </c>
      <c r="F209" s="8">
        <v>4</v>
      </c>
      <c r="G209" s="22" t="s">
        <v>1319</v>
      </c>
      <c r="H209" s="8" t="s">
        <v>384</v>
      </c>
      <c r="I209" s="2" t="str">
        <f t="shared" si="7"/>
        <v>Thước mét (thước cuốn) COROLLA 5m*25mm</v>
      </c>
      <c r="J209" s="8" t="s">
        <v>15</v>
      </c>
      <c r="K209" s="10">
        <v>120</v>
      </c>
      <c r="L209" s="10">
        <v>15500</v>
      </c>
      <c r="M209" s="11">
        <v>1860000</v>
      </c>
      <c r="N209" s="8" t="s">
        <v>16</v>
      </c>
      <c r="O209" s="8" t="s">
        <v>17</v>
      </c>
      <c r="P209" s="8" t="s">
        <v>18</v>
      </c>
      <c r="Q209" s="8" t="s">
        <v>18</v>
      </c>
      <c r="R209" s="8" t="s">
        <v>2110</v>
      </c>
      <c r="S209" s="8" t="s">
        <v>2292</v>
      </c>
      <c r="T209" s="8" t="s">
        <v>2293</v>
      </c>
      <c r="U209" s="8" t="s">
        <v>2294</v>
      </c>
      <c r="V209" s="8" t="s">
        <v>381</v>
      </c>
      <c r="W209" s="8">
        <f t="shared" si="6"/>
        <v>4</v>
      </c>
      <c r="X209" s="8">
        <f>K209*L209*N209</f>
        <v>148800</v>
      </c>
    </row>
    <row r="210" spans="1:24" s="8" customFormat="1" ht="41.5" customHeight="1">
      <c r="A210" s="8" t="s">
        <v>2280</v>
      </c>
      <c r="B210" s="8" t="s">
        <v>379</v>
      </c>
      <c r="C210" s="9">
        <v>45973.364478287003</v>
      </c>
      <c r="D210" s="8" t="s">
        <v>2056</v>
      </c>
      <c r="E210" s="8" t="s">
        <v>2057</v>
      </c>
      <c r="F210" s="8">
        <v>5</v>
      </c>
      <c r="G210" s="22" t="s">
        <v>1349</v>
      </c>
      <c r="H210" s="8" t="s">
        <v>385</v>
      </c>
      <c r="I210" s="2" t="str">
        <f t="shared" si="7"/>
        <v>Thước mét (thước cuốn) COROLLA 7.5m*25mm</v>
      </c>
      <c r="J210" s="8" t="s">
        <v>15</v>
      </c>
      <c r="K210" s="10">
        <v>72</v>
      </c>
      <c r="L210" s="10">
        <v>27400</v>
      </c>
      <c r="M210" s="11">
        <v>1972800</v>
      </c>
      <c r="N210" s="8" t="s">
        <v>16</v>
      </c>
      <c r="O210" s="8" t="s">
        <v>17</v>
      </c>
      <c r="P210" s="8" t="s">
        <v>18</v>
      </c>
      <c r="Q210" s="8" t="s">
        <v>18</v>
      </c>
      <c r="R210" s="8" t="s">
        <v>2110</v>
      </c>
      <c r="S210" s="8" t="s">
        <v>2292</v>
      </c>
      <c r="T210" s="8" t="s">
        <v>2293</v>
      </c>
      <c r="U210" s="8" t="s">
        <v>2294</v>
      </c>
      <c r="V210" s="8" t="s">
        <v>381</v>
      </c>
      <c r="W210" s="8">
        <f t="shared" si="6"/>
        <v>4</v>
      </c>
      <c r="X210" s="8">
        <f>K210*L210*N210</f>
        <v>157824</v>
      </c>
    </row>
    <row r="211" spans="1:24" s="8" customFormat="1" ht="41.5" customHeight="1">
      <c r="A211" s="8" t="s">
        <v>2280</v>
      </c>
      <c r="B211" s="8" t="s">
        <v>379</v>
      </c>
      <c r="C211" s="9">
        <v>45973.364478287003</v>
      </c>
      <c r="D211" s="8" t="s">
        <v>2056</v>
      </c>
      <c r="E211" s="8" t="s">
        <v>2057</v>
      </c>
      <c r="F211" s="8">
        <v>6</v>
      </c>
      <c r="G211" s="22" t="s">
        <v>1331</v>
      </c>
      <c r="H211" s="8" t="s">
        <v>386</v>
      </c>
      <c r="I211" s="2" t="str">
        <f t="shared" si="7"/>
        <v>Thước mét (thước cuốn) COROLLA 10m*25mm</v>
      </c>
      <c r="J211" s="8" t="s">
        <v>15</v>
      </c>
      <c r="K211" s="10">
        <v>72</v>
      </c>
      <c r="L211" s="10">
        <v>44800</v>
      </c>
      <c r="M211" s="11">
        <v>3225600</v>
      </c>
      <c r="N211" s="8" t="s">
        <v>16</v>
      </c>
      <c r="O211" s="8" t="s">
        <v>17</v>
      </c>
      <c r="P211" s="8" t="s">
        <v>18</v>
      </c>
      <c r="Q211" s="8" t="s">
        <v>18</v>
      </c>
      <c r="R211" s="8" t="s">
        <v>2110</v>
      </c>
      <c r="S211" s="8" t="s">
        <v>2292</v>
      </c>
      <c r="T211" s="8" t="s">
        <v>2293</v>
      </c>
      <c r="U211" s="8" t="s">
        <v>2294</v>
      </c>
      <c r="V211" s="8" t="s">
        <v>381</v>
      </c>
      <c r="W211" s="8">
        <f t="shared" si="6"/>
        <v>4</v>
      </c>
      <c r="X211" s="8">
        <f>K211*L211*N211</f>
        <v>258048</v>
      </c>
    </row>
    <row r="212" spans="1:24" s="8" customFormat="1" ht="41.5" customHeight="1">
      <c r="A212" s="8" t="s">
        <v>2280</v>
      </c>
      <c r="B212" s="8" t="s">
        <v>379</v>
      </c>
      <c r="C212" s="9">
        <v>45973.364478287003</v>
      </c>
      <c r="D212" s="8" t="s">
        <v>2056</v>
      </c>
      <c r="E212" s="8" t="s">
        <v>2057</v>
      </c>
      <c r="F212" s="8">
        <v>7</v>
      </c>
      <c r="G212" s="22" t="s">
        <v>1329</v>
      </c>
      <c r="H212" s="8" t="s">
        <v>387</v>
      </c>
      <c r="I212" s="2" t="str">
        <f t="shared" si="7"/>
        <v>Bát mài bê tông, đá hoa cương COROLLA.KT 4</v>
      </c>
      <c r="J212" s="8" t="s">
        <v>15</v>
      </c>
      <c r="K212" s="10">
        <v>200</v>
      </c>
      <c r="L212" s="10">
        <v>28500</v>
      </c>
      <c r="M212" s="11">
        <v>5700000</v>
      </c>
      <c r="N212" s="8" t="s">
        <v>16</v>
      </c>
      <c r="O212" s="8" t="s">
        <v>17</v>
      </c>
      <c r="P212" s="8" t="s">
        <v>18</v>
      </c>
      <c r="Q212" s="8" t="s">
        <v>18</v>
      </c>
      <c r="R212" s="8" t="s">
        <v>2110</v>
      </c>
      <c r="S212" s="8" t="s">
        <v>2292</v>
      </c>
      <c r="T212" s="8" t="s">
        <v>2293</v>
      </c>
      <c r="U212" s="8" t="s">
        <v>2294</v>
      </c>
      <c r="V212" s="8" t="s">
        <v>381</v>
      </c>
      <c r="W212" s="8">
        <f t="shared" si="6"/>
        <v>4</v>
      </c>
      <c r="X212" s="8">
        <f>K212*L212*N212</f>
        <v>456000</v>
      </c>
    </row>
    <row r="213" spans="1:24" s="8" customFormat="1" ht="41.5" customHeight="1">
      <c r="A213" s="8" t="s">
        <v>2280</v>
      </c>
      <c r="B213" s="8" t="s">
        <v>379</v>
      </c>
      <c r="C213" s="9">
        <v>45973.364478287003</v>
      </c>
      <c r="D213" s="8" t="s">
        <v>2056</v>
      </c>
      <c r="E213" s="8" t="s">
        <v>2057</v>
      </c>
      <c r="F213" s="8">
        <v>8</v>
      </c>
      <c r="G213" s="22" t="s">
        <v>2197</v>
      </c>
      <c r="H213" s="8" t="s">
        <v>388</v>
      </c>
      <c r="I213" s="2" t="str">
        <f t="shared" si="7"/>
        <v>Đá mài kim loại, mài inox COROLLA 100*6mm (đỏ</v>
      </c>
      <c r="J213" s="8" t="s">
        <v>99</v>
      </c>
      <c r="K213" s="10">
        <v>200</v>
      </c>
      <c r="L213" s="10">
        <v>4400</v>
      </c>
      <c r="M213" s="11">
        <v>880000</v>
      </c>
      <c r="N213" s="8" t="s">
        <v>16</v>
      </c>
      <c r="O213" s="8" t="s">
        <v>17</v>
      </c>
      <c r="P213" s="8" t="s">
        <v>18</v>
      </c>
      <c r="Q213" s="8" t="s">
        <v>18</v>
      </c>
      <c r="R213" s="8" t="s">
        <v>2110</v>
      </c>
      <c r="S213" s="8" t="s">
        <v>2292</v>
      </c>
      <c r="T213" s="8" t="s">
        <v>2293</v>
      </c>
      <c r="U213" s="8" t="s">
        <v>2294</v>
      </c>
      <c r="V213" s="8" t="s">
        <v>381</v>
      </c>
      <c r="W213" s="8">
        <f t="shared" si="6"/>
        <v>4</v>
      </c>
      <c r="X213" s="8">
        <f>K213*L213*N213</f>
        <v>70400</v>
      </c>
    </row>
    <row r="214" spans="1:24" s="8" customFormat="1" ht="41.5" customHeight="1">
      <c r="A214" s="8" t="s">
        <v>2280</v>
      </c>
      <c r="B214" s="8" t="s">
        <v>379</v>
      </c>
      <c r="C214" s="9">
        <v>45973.364478287003</v>
      </c>
      <c r="D214" s="8" t="s">
        <v>2056</v>
      </c>
      <c r="E214" s="8" t="s">
        <v>2057</v>
      </c>
      <c r="F214" s="8">
        <v>9</v>
      </c>
      <c r="G214" s="22" t="s">
        <v>337</v>
      </c>
      <c r="H214" s="8" t="s">
        <v>337</v>
      </c>
      <c r="I214" s="2" t="str">
        <f t="shared" si="7"/>
        <v>Lưỡi dao dọc giấy COROLLA 100*18mm</v>
      </c>
      <c r="J214" s="8" t="s">
        <v>130</v>
      </c>
      <c r="K214" s="10">
        <v>4</v>
      </c>
      <c r="L214" s="10">
        <v>550</v>
      </c>
      <c r="M214" s="11">
        <v>2200</v>
      </c>
      <c r="N214" s="8" t="s">
        <v>16</v>
      </c>
      <c r="O214" s="8" t="s">
        <v>17</v>
      </c>
      <c r="P214" s="8" t="s">
        <v>18</v>
      </c>
      <c r="Q214" s="8" t="s">
        <v>18</v>
      </c>
      <c r="R214" s="8" t="s">
        <v>2110</v>
      </c>
      <c r="S214" s="8" t="s">
        <v>2292</v>
      </c>
      <c r="T214" s="8" t="s">
        <v>2293</v>
      </c>
      <c r="U214" s="8" t="s">
        <v>2294</v>
      </c>
      <c r="V214" s="8" t="s">
        <v>381</v>
      </c>
      <c r="W214" s="8">
        <f t="shared" si="6"/>
        <v>4</v>
      </c>
      <c r="X214" s="8">
        <f>K214*L214*N214</f>
        <v>176</v>
      </c>
    </row>
    <row r="215" spans="1:24" s="8" customFormat="1" ht="41.5" customHeight="1">
      <c r="A215" s="8" t="s">
        <v>2280</v>
      </c>
      <c r="B215" s="8" t="s">
        <v>379</v>
      </c>
      <c r="C215" s="9">
        <v>45973.364478287003</v>
      </c>
      <c r="D215" s="8" t="s">
        <v>2056</v>
      </c>
      <c r="E215" s="8" t="s">
        <v>2057</v>
      </c>
      <c r="F215" s="8">
        <v>10</v>
      </c>
      <c r="G215" s="22" t="s">
        <v>1348</v>
      </c>
      <c r="H215" s="8" t="s">
        <v>389</v>
      </c>
      <c r="I215" s="2" t="str">
        <f t="shared" si="7"/>
        <v>Kìm hàn điện, tay cầm nhựa Model 800A</v>
      </c>
      <c r="J215" s="8" t="s">
        <v>339</v>
      </c>
      <c r="K215" s="10">
        <v>100</v>
      </c>
      <c r="L215" s="10">
        <v>8500</v>
      </c>
      <c r="M215" s="11">
        <v>850000</v>
      </c>
      <c r="N215" s="8" t="s">
        <v>16</v>
      </c>
      <c r="O215" s="8" t="s">
        <v>17</v>
      </c>
      <c r="P215" s="8" t="s">
        <v>18</v>
      </c>
      <c r="Q215" s="8" t="s">
        <v>18</v>
      </c>
      <c r="R215" s="8" t="s">
        <v>2110</v>
      </c>
      <c r="S215" s="8" t="s">
        <v>2292</v>
      </c>
      <c r="T215" s="8" t="s">
        <v>2293</v>
      </c>
      <c r="U215" s="8" t="s">
        <v>2294</v>
      </c>
      <c r="V215" s="8" t="s">
        <v>381</v>
      </c>
      <c r="W215" s="8">
        <f t="shared" si="6"/>
        <v>4</v>
      </c>
      <c r="X215" s="8">
        <f>K215*L215*N215</f>
        <v>68000</v>
      </c>
    </row>
    <row r="216" spans="1:24" s="8" customFormat="1" ht="41.5" customHeight="1">
      <c r="A216" s="8" t="s">
        <v>2280</v>
      </c>
      <c r="B216" s="8" t="s">
        <v>379</v>
      </c>
      <c r="C216" s="9">
        <v>45973.364478287003</v>
      </c>
      <c r="D216" s="8" t="s">
        <v>2056</v>
      </c>
      <c r="E216" s="8" t="s">
        <v>2057</v>
      </c>
      <c r="F216" s="8">
        <v>11</v>
      </c>
      <c r="G216" s="22" t="s">
        <v>1356</v>
      </c>
      <c r="H216" s="8" t="s">
        <v>353</v>
      </c>
      <c r="I216" s="2" t="str">
        <f t="shared" si="7"/>
        <v>Súng keo, chất liệu thép, không kèm bình keo</v>
      </c>
      <c r="J216" s="8" t="s">
        <v>339</v>
      </c>
      <c r="K216" s="10">
        <v>90</v>
      </c>
      <c r="L216" s="10">
        <v>5800</v>
      </c>
      <c r="M216" s="11">
        <v>522000</v>
      </c>
      <c r="N216" s="8" t="s">
        <v>16</v>
      </c>
      <c r="O216" s="8" t="s">
        <v>17</v>
      </c>
      <c r="P216" s="8" t="s">
        <v>18</v>
      </c>
      <c r="Q216" s="8" t="s">
        <v>18</v>
      </c>
      <c r="R216" s="8" t="s">
        <v>2110</v>
      </c>
      <c r="S216" s="8" t="s">
        <v>2292</v>
      </c>
      <c r="T216" s="8" t="s">
        <v>2293</v>
      </c>
      <c r="U216" s="8" t="s">
        <v>2294</v>
      </c>
      <c r="V216" s="8" t="s">
        <v>381</v>
      </c>
      <c r="W216" s="8">
        <f t="shared" si="6"/>
        <v>4</v>
      </c>
      <c r="X216" s="8">
        <f>K216*L216*N216</f>
        <v>41760</v>
      </c>
    </row>
    <row r="217" spans="1:24" s="8" customFormat="1" ht="41.5" customHeight="1">
      <c r="A217" s="8" t="s">
        <v>2280</v>
      </c>
      <c r="B217" s="8" t="s">
        <v>379</v>
      </c>
      <c r="C217" s="9">
        <v>45973.364478287003</v>
      </c>
      <c r="D217" s="8" t="s">
        <v>2056</v>
      </c>
      <c r="E217" s="8" t="s">
        <v>2057</v>
      </c>
      <c r="F217" s="8">
        <v>12</v>
      </c>
      <c r="G217" s="22" t="s">
        <v>1293</v>
      </c>
      <c r="H217" s="8" t="s">
        <v>365</v>
      </c>
      <c r="I217" s="2" t="str">
        <f t="shared" si="7"/>
        <v>Thước rút 5m, chất liệu thép, hiệu Gofurther</v>
      </c>
      <c r="J217" s="8" t="s">
        <v>339</v>
      </c>
      <c r="K217" s="10">
        <v>240</v>
      </c>
      <c r="L217" s="10">
        <v>4800</v>
      </c>
      <c r="M217" s="11">
        <v>1152000</v>
      </c>
      <c r="N217" s="8" t="s">
        <v>16</v>
      </c>
      <c r="O217" s="8" t="s">
        <v>17</v>
      </c>
      <c r="P217" s="8" t="s">
        <v>18</v>
      </c>
      <c r="Q217" s="8" t="s">
        <v>18</v>
      </c>
      <c r="R217" s="8" t="s">
        <v>2110</v>
      </c>
      <c r="S217" s="8" t="s">
        <v>2292</v>
      </c>
      <c r="T217" s="8" t="s">
        <v>2293</v>
      </c>
      <c r="U217" s="8" t="s">
        <v>2294</v>
      </c>
      <c r="V217" s="8" t="s">
        <v>381</v>
      </c>
      <c r="W217" s="8">
        <f t="shared" si="6"/>
        <v>4</v>
      </c>
      <c r="X217" s="8">
        <f>K217*L217*N217</f>
        <v>92160</v>
      </c>
    </row>
    <row r="218" spans="1:24" s="8" customFormat="1" ht="41.5" customHeight="1">
      <c r="A218" s="8" t="s">
        <v>2280</v>
      </c>
      <c r="B218" s="8" t="s">
        <v>379</v>
      </c>
      <c r="C218" s="9">
        <v>45973.364478287003</v>
      </c>
      <c r="D218" s="8" t="s">
        <v>2056</v>
      </c>
      <c r="E218" s="8" t="s">
        <v>2057</v>
      </c>
      <c r="F218" s="8">
        <v>13</v>
      </c>
      <c r="G218" s="22" t="s">
        <v>2200</v>
      </c>
      <c r="H218" s="8" t="s">
        <v>390</v>
      </c>
      <c r="I218" s="2" t="str">
        <f t="shared" si="7"/>
        <v>Thước thủy 600, dài 60cm, chất liệu thép</v>
      </c>
      <c r="J218" s="8" t="s">
        <v>339</v>
      </c>
      <c r="K218" s="10">
        <v>60</v>
      </c>
      <c r="L218" s="10">
        <v>13500</v>
      </c>
      <c r="M218" s="11">
        <v>810000</v>
      </c>
      <c r="N218" s="8" t="s">
        <v>16</v>
      </c>
      <c r="O218" s="8" t="s">
        <v>17</v>
      </c>
      <c r="P218" s="8" t="s">
        <v>18</v>
      </c>
      <c r="Q218" s="8" t="s">
        <v>18</v>
      </c>
      <c r="R218" s="8" t="s">
        <v>2110</v>
      </c>
      <c r="S218" s="8" t="s">
        <v>2292</v>
      </c>
      <c r="T218" s="8" t="s">
        <v>2293</v>
      </c>
      <c r="U218" s="8" t="s">
        <v>2294</v>
      </c>
      <c r="V218" s="8" t="s">
        <v>381</v>
      </c>
      <c r="W218" s="8">
        <f t="shared" si="6"/>
        <v>4</v>
      </c>
      <c r="X218" s="8">
        <f>K218*L218*N218</f>
        <v>64800</v>
      </c>
    </row>
    <row r="219" spans="1:24" s="8" customFormat="1" ht="41.5" customHeight="1">
      <c r="A219" s="8" t="s">
        <v>2280</v>
      </c>
      <c r="B219" s="8" t="s">
        <v>379</v>
      </c>
      <c r="C219" s="9">
        <v>45973.364478287003</v>
      </c>
      <c r="D219" s="8" t="s">
        <v>2056</v>
      </c>
      <c r="E219" s="8" t="s">
        <v>2057</v>
      </c>
      <c r="F219" s="8">
        <v>14</v>
      </c>
      <c r="G219" s="22" t="s">
        <v>2201</v>
      </c>
      <c r="H219" s="8" t="s">
        <v>391</v>
      </c>
      <c r="I219" s="2" t="str">
        <f t="shared" si="7"/>
        <v>Thước rút 20m, dây nhựa, vỏ nhựa, Gofurther</v>
      </c>
      <c r="J219" s="8" t="s">
        <v>339</v>
      </c>
      <c r="K219" s="10">
        <v>90</v>
      </c>
      <c r="L219" s="10">
        <v>8000</v>
      </c>
      <c r="M219" s="11">
        <v>720000</v>
      </c>
      <c r="N219" s="8" t="s">
        <v>16</v>
      </c>
      <c r="O219" s="8" t="s">
        <v>17</v>
      </c>
      <c r="P219" s="8" t="s">
        <v>18</v>
      </c>
      <c r="Q219" s="8" t="s">
        <v>18</v>
      </c>
      <c r="R219" s="8" t="s">
        <v>2110</v>
      </c>
      <c r="S219" s="8" t="s">
        <v>2292</v>
      </c>
      <c r="T219" s="8" t="s">
        <v>2293</v>
      </c>
      <c r="U219" s="8" t="s">
        <v>2294</v>
      </c>
      <c r="V219" s="8" t="s">
        <v>381</v>
      </c>
      <c r="W219" s="8">
        <f t="shared" si="6"/>
        <v>4</v>
      </c>
      <c r="X219" s="8">
        <f>K219*L219*N219</f>
        <v>57600</v>
      </c>
    </row>
    <row r="220" spans="1:24" s="8" customFormat="1" ht="41.5" customHeight="1">
      <c r="A220" s="8" t="s">
        <v>2280</v>
      </c>
      <c r="B220" s="8" t="s">
        <v>379</v>
      </c>
      <c r="C220" s="9">
        <v>45973.364478287003</v>
      </c>
      <c r="D220" s="8" t="s">
        <v>2056</v>
      </c>
      <c r="E220" s="8" t="s">
        <v>2057</v>
      </c>
      <c r="F220" s="8">
        <v>15</v>
      </c>
      <c r="G220" s="22" t="s">
        <v>2202</v>
      </c>
      <c r="H220" s="8" t="s">
        <v>392</v>
      </c>
      <c r="I220" s="2" t="str">
        <f t="shared" si="7"/>
        <v>Lưỡi dao rọc giấy chất liệu thép, KT 17*94mm</v>
      </c>
      <c r="J220" s="8" t="s">
        <v>393</v>
      </c>
      <c r="K220" s="10">
        <v>12</v>
      </c>
      <c r="L220" s="10">
        <v>23500</v>
      </c>
      <c r="M220" s="11">
        <v>282000</v>
      </c>
      <c r="N220" s="8" t="s">
        <v>16</v>
      </c>
      <c r="O220" s="8" t="s">
        <v>17</v>
      </c>
      <c r="P220" s="8" t="s">
        <v>18</v>
      </c>
      <c r="Q220" s="8" t="s">
        <v>18</v>
      </c>
      <c r="R220" s="8" t="s">
        <v>2110</v>
      </c>
      <c r="S220" s="8" t="s">
        <v>2292</v>
      </c>
      <c r="T220" s="8" t="s">
        <v>2293</v>
      </c>
      <c r="U220" s="8" t="s">
        <v>2294</v>
      </c>
      <c r="V220" s="8" t="s">
        <v>381</v>
      </c>
      <c r="W220" s="8">
        <f t="shared" si="6"/>
        <v>4</v>
      </c>
      <c r="X220" s="8">
        <f>K220*L220*N220</f>
        <v>22560</v>
      </c>
    </row>
    <row r="221" spans="1:24" s="8" customFormat="1" ht="41.5" customHeight="1">
      <c r="A221" s="8" t="s">
        <v>2280</v>
      </c>
      <c r="B221" s="8" t="s">
        <v>2344</v>
      </c>
      <c r="C221" s="9">
        <v>45989.662887777798</v>
      </c>
      <c r="D221" s="8" t="s">
        <v>2056</v>
      </c>
      <c r="E221" s="8" t="s">
        <v>2057</v>
      </c>
      <c r="F221" s="8">
        <v>1</v>
      </c>
      <c r="G221" s="22" t="s">
        <v>1477</v>
      </c>
      <c r="H221" s="8" t="s">
        <v>191</v>
      </c>
      <c r="I221" s="2" t="str">
        <f t="shared" si="7"/>
        <v>Polyurethane nguyên sinh TCK - 669 (9kg/thùng)</v>
      </c>
      <c r="J221" s="8" t="s">
        <v>192</v>
      </c>
      <c r="K221" s="10">
        <v>1</v>
      </c>
      <c r="L221" s="10">
        <v>1407407.41</v>
      </c>
      <c r="M221" s="11">
        <v>1407407.41</v>
      </c>
      <c r="N221" s="8" t="s">
        <v>16</v>
      </c>
      <c r="O221" s="8" t="s">
        <v>17</v>
      </c>
      <c r="P221" s="8" t="s">
        <v>18</v>
      </c>
      <c r="Q221" s="8" t="s">
        <v>18</v>
      </c>
      <c r="R221" s="8" t="s">
        <v>2110</v>
      </c>
      <c r="S221" s="8" t="s">
        <v>2123</v>
      </c>
      <c r="T221" s="8" t="s">
        <v>2124</v>
      </c>
      <c r="U221" s="8" t="s">
        <v>2125</v>
      </c>
      <c r="V221" s="8" t="s">
        <v>394</v>
      </c>
      <c r="W221" s="8">
        <f t="shared" si="6"/>
        <v>4</v>
      </c>
      <c r="X221" s="8">
        <f>K221*L221*N221</f>
        <v>112592.5928</v>
      </c>
    </row>
    <row r="222" spans="1:24" s="8" customFormat="1" ht="41.5" customHeight="1">
      <c r="A222" s="8" t="s">
        <v>2280</v>
      </c>
      <c r="B222" s="8" t="s">
        <v>2344</v>
      </c>
      <c r="C222" s="9">
        <v>45989.662887777798</v>
      </c>
      <c r="D222" s="8" t="s">
        <v>2056</v>
      </c>
      <c r="E222" s="8" t="s">
        <v>2057</v>
      </c>
      <c r="F222" s="8">
        <v>2</v>
      </c>
      <c r="G222" s="22" t="s">
        <v>2136</v>
      </c>
      <c r="H222" s="8" t="s">
        <v>131</v>
      </c>
      <c r="I222" s="2" t="str">
        <f t="shared" si="7"/>
        <v>chất kết dính sikadur - 31CF Normal AB 1.2kg/set</v>
      </c>
      <c r="J222" s="8" t="s">
        <v>53</v>
      </c>
      <c r="K222" s="10">
        <v>2</v>
      </c>
      <c r="L222" s="10">
        <v>245370.37</v>
      </c>
      <c r="M222" s="11">
        <v>490740.74</v>
      </c>
      <c r="N222" s="8" t="s">
        <v>16</v>
      </c>
      <c r="O222" s="8" t="s">
        <v>17</v>
      </c>
      <c r="P222" s="8" t="s">
        <v>18</v>
      </c>
      <c r="Q222" s="8" t="s">
        <v>18</v>
      </c>
      <c r="R222" s="8" t="s">
        <v>2110</v>
      </c>
      <c r="S222" s="8" t="s">
        <v>2123</v>
      </c>
      <c r="T222" s="8" t="s">
        <v>2124</v>
      </c>
      <c r="U222" s="8" t="s">
        <v>2125</v>
      </c>
      <c r="V222" s="8" t="s">
        <v>394</v>
      </c>
      <c r="W222" s="8">
        <f t="shared" si="6"/>
        <v>4</v>
      </c>
      <c r="X222" s="8">
        <f>K222*L222*N222</f>
        <v>39259.2592</v>
      </c>
    </row>
    <row r="223" spans="1:24" s="8" customFormat="1" ht="41.5" customHeight="1">
      <c r="A223" s="8" t="s">
        <v>2280</v>
      </c>
      <c r="B223" s="8" t="s">
        <v>2344</v>
      </c>
      <c r="C223" s="9">
        <v>45989.662887777798</v>
      </c>
      <c r="D223" s="8" t="s">
        <v>2056</v>
      </c>
      <c r="E223" s="8" t="s">
        <v>2057</v>
      </c>
      <c r="F223" s="8">
        <v>3</v>
      </c>
      <c r="G223" s="22" t="s">
        <v>2203</v>
      </c>
      <c r="H223" s="8" t="s">
        <v>395</v>
      </c>
      <c r="I223" s="2" t="str">
        <f t="shared" si="7"/>
        <v>phụ gia cho vữa Crocodie Latex VN-5 lít</v>
      </c>
      <c r="J223" s="8" t="s">
        <v>192</v>
      </c>
      <c r="K223" s="10">
        <v>2</v>
      </c>
      <c r="L223" s="10">
        <v>231481.481</v>
      </c>
      <c r="M223" s="11">
        <v>462962.962</v>
      </c>
      <c r="N223" s="8" t="s">
        <v>16</v>
      </c>
      <c r="O223" s="8" t="s">
        <v>17</v>
      </c>
      <c r="P223" s="8" t="s">
        <v>18</v>
      </c>
      <c r="Q223" s="8" t="s">
        <v>18</v>
      </c>
      <c r="R223" s="8" t="s">
        <v>2110</v>
      </c>
      <c r="S223" s="8" t="s">
        <v>2123</v>
      </c>
      <c r="T223" s="8" t="s">
        <v>2124</v>
      </c>
      <c r="U223" s="8" t="s">
        <v>2125</v>
      </c>
      <c r="V223" s="8" t="s">
        <v>394</v>
      </c>
      <c r="W223" s="8">
        <f t="shared" si="6"/>
        <v>4</v>
      </c>
      <c r="X223" s="8">
        <f>K223*L223*N223</f>
        <v>37037.036959999998</v>
      </c>
    </row>
    <row r="224" spans="1:24" s="8" customFormat="1" ht="41.5" customHeight="1">
      <c r="A224" s="8" t="s">
        <v>2280</v>
      </c>
      <c r="B224" s="8" t="s">
        <v>2345</v>
      </c>
      <c r="C224" s="9">
        <v>45969.670455358799</v>
      </c>
      <c r="D224" s="8" t="s">
        <v>2056</v>
      </c>
      <c r="E224" s="8" t="s">
        <v>2057</v>
      </c>
      <c r="F224" s="8">
        <v>1</v>
      </c>
      <c r="G224" s="22" t="s">
        <v>128</v>
      </c>
      <c r="H224" s="8" t="s">
        <v>58</v>
      </c>
      <c r="I224" s="2" t="str">
        <f t="shared" si="7"/>
        <v>Phụ gia bê tông chống thấm Sika Latex TH 25L</v>
      </c>
      <c r="J224" s="8" t="s">
        <v>45</v>
      </c>
      <c r="K224" s="10">
        <v>25</v>
      </c>
      <c r="L224" s="10">
        <v>47777.78</v>
      </c>
      <c r="M224" s="11">
        <v>1194444.5</v>
      </c>
      <c r="N224" s="8" t="s">
        <v>16</v>
      </c>
      <c r="O224" s="8" t="s">
        <v>17</v>
      </c>
      <c r="P224" s="8" t="s">
        <v>18</v>
      </c>
      <c r="Q224" s="8" t="s">
        <v>18</v>
      </c>
      <c r="R224" s="8" t="s">
        <v>2110</v>
      </c>
      <c r="S224" s="8" t="s">
        <v>2123</v>
      </c>
      <c r="T224" s="8" t="s">
        <v>2124</v>
      </c>
      <c r="U224" s="8" t="s">
        <v>2125</v>
      </c>
      <c r="V224" s="8" t="s">
        <v>396</v>
      </c>
      <c r="W224" s="8">
        <f t="shared" si="6"/>
        <v>4</v>
      </c>
      <c r="X224" s="8">
        <f>K224*L224*N224</f>
        <v>95555.56</v>
      </c>
    </row>
    <row r="225" spans="1:24" s="8" customFormat="1" ht="41.5" customHeight="1">
      <c r="A225" s="8" t="s">
        <v>2280</v>
      </c>
      <c r="B225" s="8" t="s">
        <v>2345</v>
      </c>
      <c r="C225" s="9">
        <v>45969.670455358799</v>
      </c>
      <c r="D225" s="8" t="s">
        <v>2056</v>
      </c>
      <c r="E225" s="8" t="s">
        <v>2057</v>
      </c>
      <c r="F225" s="8">
        <v>2</v>
      </c>
      <c r="G225" s="27" t="s">
        <v>397</v>
      </c>
      <c r="H225" s="8" t="s">
        <v>397</v>
      </c>
      <c r="I225" s="2" t="str">
        <f t="shared" si="7"/>
        <v>Phụ gia bê tông chống thấm Sika Latex TH 5L</v>
      </c>
      <c r="J225" s="8" t="s">
        <v>45</v>
      </c>
      <c r="K225" s="10">
        <v>25</v>
      </c>
      <c r="L225" s="10">
        <v>48148.15</v>
      </c>
      <c r="M225" s="11">
        <v>1203703.75</v>
      </c>
      <c r="N225" s="8" t="s">
        <v>16</v>
      </c>
      <c r="O225" s="8" t="s">
        <v>17</v>
      </c>
      <c r="P225" s="8" t="s">
        <v>18</v>
      </c>
      <c r="Q225" s="8" t="s">
        <v>18</v>
      </c>
      <c r="R225" s="8" t="s">
        <v>2110</v>
      </c>
      <c r="S225" s="8" t="s">
        <v>2123</v>
      </c>
      <c r="T225" s="8" t="s">
        <v>2124</v>
      </c>
      <c r="U225" s="8" t="s">
        <v>2125</v>
      </c>
      <c r="V225" s="8" t="s">
        <v>396</v>
      </c>
      <c r="W225" s="8">
        <f t="shared" si="6"/>
        <v>4</v>
      </c>
      <c r="X225" s="8">
        <f>K225*L225*N225</f>
        <v>96296.3</v>
      </c>
    </row>
    <row r="226" spans="1:24" s="8" customFormat="1" ht="41.5" customHeight="1">
      <c r="A226" s="8" t="s">
        <v>2280</v>
      </c>
      <c r="B226" s="8" t="s">
        <v>2345</v>
      </c>
      <c r="C226" s="9">
        <v>45969.670455358799</v>
      </c>
      <c r="D226" s="8" t="s">
        <v>2056</v>
      </c>
      <c r="E226" s="8" t="s">
        <v>2057</v>
      </c>
      <c r="F226" s="8">
        <v>3</v>
      </c>
      <c r="G226" s="22" t="s">
        <v>1260</v>
      </c>
      <c r="H226" s="8" t="s">
        <v>265</v>
      </c>
      <c r="I226" s="2" t="str">
        <f t="shared" si="7"/>
        <v>Vữa rót sikagrout 214-11</v>
      </c>
      <c r="J226" s="8" t="s">
        <v>35</v>
      </c>
      <c r="K226" s="10">
        <v>325</v>
      </c>
      <c r="L226" s="10">
        <v>9629.6299999999992</v>
      </c>
      <c r="M226" s="11">
        <v>3129629.75</v>
      </c>
      <c r="N226" s="8" t="s">
        <v>16</v>
      </c>
      <c r="O226" s="8" t="s">
        <v>17</v>
      </c>
      <c r="P226" s="8" t="s">
        <v>18</v>
      </c>
      <c r="Q226" s="8" t="s">
        <v>18</v>
      </c>
      <c r="R226" s="8" t="s">
        <v>2110</v>
      </c>
      <c r="S226" s="8" t="s">
        <v>2123</v>
      </c>
      <c r="T226" s="8" t="s">
        <v>2124</v>
      </c>
      <c r="U226" s="8" t="s">
        <v>2125</v>
      </c>
      <c r="V226" s="8" t="s">
        <v>396</v>
      </c>
      <c r="W226" s="8">
        <f t="shared" si="6"/>
        <v>4</v>
      </c>
      <c r="X226" s="8">
        <f>K226*L226*N226</f>
        <v>250370.37999999998</v>
      </c>
    </row>
    <row r="227" spans="1:24" s="8" customFormat="1" ht="41.5" customHeight="1">
      <c r="A227" s="8" t="s">
        <v>2281</v>
      </c>
      <c r="B227" s="8" t="s">
        <v>2346</v>
      </c>
      <c r="C227" s="9">
        <v>45982.777899594897</v>
      </c>
      <c r="D227" s="8" t="s">
        <v>2056</v>
      </c>
      <c r="E227" s="8" t="s">
        <v>2057</v>
      </c>
      <c r="F227" s="8">
        <v>1</v>
      </c>
      <c r="G227" s="27" t="s">
        <v>2140</v>
      </c>
      <c r="H227" s="8" t="s">
        <v>267</v>
      </c>
      <c r="I227" s="2" t="str">
        <f t="shared" si="7"/>
        <v>Thép ống hộp</v>
      </c>
      <c r="J227" s="8" t="s">
        <v>35</v>
      </c>
      <c r="K227" s="10">
        <v>10180.33</v>
      </c>
      <c r="L227" s="10">
        <v>16800.007000000001</v>
      </c>
      <c r="M227" s="11">
        <v>171029618</v>
      </c>
      <c r="N227" s="8" t="s">
        <v>30</v>
      </c>
      <c r="O227" s="8" t="s">
        <v>17</v>
      </c>
      <c r="P227" s="8" t="s">
        <v>18</v>
      </c>
      <c r="Q227" s="8" t="s">
        <v>18</v>
      </c>
      <c r="R227" s="8" t="s">
        <v>2115</v>
      </c>
      <c r="S227" s="8" t="s">
        <v>2126</v>
      </c>
      <c r="T227" s="8" t="s">
        <v>2127</v>
      </c>
      <c r="U227" s="8" t="s">
        <v>2128</v>
      </c>
      <c r="V227" s="8" t="s">
        <v>398</v>
      </c>
      <c r="W227" s="8">
        <f t="shared" si="6"/>
        <v>4</v>
      </c>
      <c r="X227" s="8">
        <f>K227*L227*N227</f>
        <v>17102961.526231002</v>
      </c>
    </row>
    <row r="228" spans="1:24" s="13" customFormat="1" ht="41.5" customHeight="1">
      <c r="A228" s="8" t="s">
        <v>2281</v>
      </c>
      <c r="B228" s="13" t="s">
        <v>2347</v>
      </c>
      <c r="C228" s="14">
        <v>45980.549475277803</v>
      </c>
      <c r="D228" s="13" t="s">
        <v>2056</v>
      </c>
      <c r="E228" s="13" t="s">
        <v>2057</v>
      </c>
      <c r="F228" s="13">
        <v>1</v>
      </c>
      <c r="G228" s="28" t="s">
        <v>1363</v>
      </c>
      <c r="H228" s="13" t="s">
        <v>59</v>
      </c>
      <c r="I228" s="2" t="str">
        <f t="shared" si="7"/>
        <v>Tôn màu</v>
      </c>
      <c r="J228" s="13" t="s">
        <v>106</v>
      </c>
      <c r="K228" s="15">
        <v>1534.48</v>
      </c>
      <c r="L228" s="15">
        <v>91700.593999999997</v>
      </c>
      <c r="M228" s="16">
        <v>140712727</v>
      </c>
      <c r="N228" s="13" t="s">
        <v>30</v>
      </c>
      <c r="O228" s="13" t="s">
        <v>17</v>
      </c>
      <c r="P228" s="13" t="s">
        <v>18</v>
      </c>
      <c r="Q228" s="13" t="s">
        <v>18</v>
      </c>
      <c r="R228" s="13" t="s">
        <v>2115</v>
      </c>
      <c r="S228" s="13" t="s">
        <v>2126</v>
      </c>
      <c r="T228" s="13" t="s">
        <v>2127</v>
      </c>
      <c r="U228" s="13" t="s">
        <v>2128</v>
      </c>
      <c r="V228" s="13" t="s">
        <v>328</v>
      </c>
      <c r="W228" s="13">
        <f t="shared" si="6"/>
        <v>4</v>
      </c>
      <c r="X228" s="8">
        <f>K228*L228*N228</f>
        <v>14071272.748112001</v>
      </c>
    </row>
    <row r="229" spans="1:24" s="8" customFormat="1" ht="41.5" customHeight="1">
      <c r="A229" s="8" t="s">
        <v>2281</v>
      </c>
      <c r="B229" s="8" t="s">
        <v>2347</v>
      </c>
      <c r="C229" s="9">
        <v>45980.549475277803</v>
      </c>
      <c r="D229" s="8" t="s">
        <v>2056</v>
      </c>
      <c r="E229" s="8" t="s">
        <v>2057</v>
      </c>
      <c r="F229" s="8">
        <v>2</v>
      </c>
      <c r="G229" s="27" t="s">
        <v>2140</v>
      </c>
      <c r="H229" s="8" t="s">
        <v>267</v>
      </c>
      <c r="I229" s="2" t="str">
        <f t="shared" si="7"/>
        <v>Thép ống hộp</v>
      </c>
      <c r="J229" s="8" t="s">
        <v>35</v>
      </c>
      <c r="K229" s="10">
        <v>16676.73</v>
      </c>
      <c r="L229" s="10">
        <v>16800.002</v>
      </c>
      <c r="M229" s="11">
        <v>280169091</v>
      </c>
      <c r="N229" s="8" t="s">
        <v>30</v>
      </c>
      <c r="O229" s="8" t="s">
        <v>17</v>
      </c>
      <c r="P229" s="8" t="s">
        <v>18</v>
      </c>
      <c r="Q229" s="8" t="s">
        <v>18</v>
      </c>
      <c r="R229" s="8" t="s">
        <v>2115</v>
      </c>
      <c r="S229" s="8" t="s">
        <v>2126</v>
      </c>
      <c r="T229" s="8" t="s">
        <v>2127</v>
      </c>
      <c r="U229" s="8" t="s">
        <v>2128</v>
      </c>
      <c r="V229" s="8" t="s">
        <v>328</v>
      </c>
      <c r="W229" s="8">
        <f t="shared" si="6"/>
        <v>4</v>
      </c>
      <c r="X229" s="8">
        <f>K229*L229*N229</f>
        <v>28016909.735346004</v>
      </c>
    </row>
    <row r="230" spans="1:24" s="8" customFormat="1" ht="41.5" customHeight="1">
      <c r="A230" s="8" t="s">
        <v>2281</v>
      </c>
      <c r="B230" s="8" t="s">
        <v>2347</v>
      </c>
      <c r="C230" s="9">
        <v>45980.549475277803</v>
      </c>
      <c r="D230" s="8" t="s">
        <v>2056</v>
      </c>
      <c r="E230" s="8" t="s">
        <v>2057</v>
      </c>
      <c r="F230" s="8">
        <v>3</v>
      </c>
      <c r="G230" s="27" t="s">
        <v>2140</v>
      </c>
      <c r="H230" s="8" t="s">
        <v>268</v>
      </c>
      <c r="I230" s="2" t="str">
        <f t="shared" si="7"/>
        <v>Thép ống hộp</v>
      </c>
      <c r="J230" s="8" t="s">
        <v>35</v>
      </c>
      <c r="K230" s="10">
        <v>700.48</v>
      </c>
      <c r="L230" s="10">
        <v>16800.168000000001</v>
      </c>
      <c r="M230" s="11">
        <v>11768182</v>
      </c>
      <c r="N230" s="8" t="s">
        <v>30</v>
      </c>
      <c r="O230" s="8" t="s">
        <v>17</v>
      </c>
      <c r="P230" s="8" t="s">
        <v>18</v>
      </c>
      <c r="Q230" s="8" t="s">
        <v>18</v>
      </c>
      <c r="R230" s="8" t="s">
        <v>2115</v>
      </c>
      <c r="S230" s="8" t="s">
        <v>2126</v>
      </c>
      <c r="T230" s="8" t="s">
        <v>2127</v>
      </c>
      <c r="U230" s="8" t="s">
        <v>2128</v>
      </c>
      <c r="V230" s="8" t="s">
        <v>328</v>
      </c>
      <c r="W230" s="8">
        <f t="shared" ref="W230:W293" si="8">ROUNDUP(MONTH(V230)/3,0)</f>
        <v>4</v>
      </c>
      <c r="X230" s="8">
        <f>K230*L230*N230</f>
        <v>1176818.1680640001</v>
      </c>
    </row>
    <row r="231" spans="1:24" s="8" customFormat="1" ht="41.5" customHeight="1">
      <c r="A231" s="8" t="s">
        <v>2281</v>
      </c>
      <c r="B231" s="8" t="s">
        <v>2348</v>
      </c>
      <c r="C231" s="9">
        <v>45966.707047314798</v>
      </c>
      <c r="D231" s="8" t="s">
        <v>2056</v>
      </c>
      <c r="E231" s="8" t="s">
        <v>2057</v>
      </c>
      <c r="F231" s="8">
        <v>1</v>
      </c>
      <c r="G231" s="27" t="s">
        <v>2140</v>
      </c>
      <c r="H231" s="8" t="s">
        <v>399</v>
      </c>
      <c r="I231" s="2" t="str">
        <f t="shared" si="7"/>
        <v>Thép ống hộp</v>
      </c>
      <c r="J231" s="8" t="s">
        <v>35</v>
      </c>
      <c r="K231" s="10">
        <v>9463.69</v>
      </c>
      <c r="L231" s="10">
        <v>16900</v>
      </c>
      <c r="M231" s="11">
        <v>159936361</v>
      </c>
      <c r="N231" s="8" t="s">
        <v>30</v>
      </c>
      <c r="O231" s="8" t="s">
        <v>17</v>
      </c>
      <c r="P231" s="8" t="s">
        <v>18</v>
      </c>
      <c r="Q231" s="8" t="s">
        <v>18</v>
      </c>
      <c r="R231" s="8" t="s">
        <v>2115</v>
      </c>
      <c r="S231" s="8" t="s">
        <v>2126</v>
      </c>
      <c r="T231" s="8" t="s">
        <v>2127</v>
      </c>
      <c r="U231" s="8" t="s">
        <v>2128</v>
      </c>
      <c r="V231" s="8" t="s">
        <v>400</v>
      </c>
      <c r="W231" s="8">
        <f t="shared" si="8"/>
        <v>4</v>
      </c>
      <c r="X231" s="8">
        <f>K231*L231*N231</f>
        <v>15993636.100000001</v>
      </c>
    </row>
    <row r="232" spans="1:24" s="8" customFormat="1" ht="41.5" customHeight="1">
      <c r="A232" s="8" t="s">
        <v>2281</v>
      </c>
      <c r="B232" s="8" t="s">
        <v>2349</v>
      </c>
      <c r="C232" s="9">
        <v>45979.751976909698</v>
      </c>
      <c r="D232" s="8" t="s">
        <v>2056</v>
      </c>
      <c r="E232" s="8" t="s">
        <v>2057</v>
      </c>
      <c r="F232" s="8">
        <v>1</v>
      </c>
      <c r="G232" s="22" t="s">
        <v>401</v>
      </c>
      <c r="H232" s="8" t="s">
        <v>401</v>
      </c>
      <c r="I232" s="2" t="str">
        <f t="shared" si="7"/>
        <v>Ray cài át RAY/980</v>
      </c>
      <c r="J232" s="8" t="s">
        <v>15</v>
      </c>
      <c r="K232" s="10">
        <v>5</v>
      </c>
      <c r="L232" s="10">
        <v>45000</v>
      </c>
      <c r="M232" s="11">
        <v>225000</v>
      </c>
      <c r="N232" s="8" t="s">
        <v>16</v>
      </c>
      <c r="O232" s="8" t="s">
        <v>17</v>
      </c>
      <c r="P232" s="8" t="s">
        <v>18</v>
      </c>
      <c r="Q232" s="8" t="s">
        <v>18</v>
      </c>
      <c r="R232" s="8" t="s">
        <v>2115</v>
      </c>
      <c r="S232" s="8" t="s">
        <v>2236</v>
      </c>
      <c r="T232" s="8" t="s">
        <v>2237</v>
      </c>
      <c r="U232" s="8" t="s">
        <v>2238</v>
      </c>
      <c r="V232" s="8" t="s">
        <v>402</v>
      </c>
      <c r="W232" s="8">
        <f t="shared" si="8"/>
        <v>4</v>
      </c>
      <c r="X232" s="8">
        <f>K232*L232*N232</f>
        <v>18000</v>
      </c>
    </row>
    <row r="233" spans="1:24" s="8" customFormat="1" ht="41.5" customHeight="1">
      <c r="A233" s="8" t="s">
        <v>2281</v>
      </c>
      <c r="B233" s="8" t="s">
        <v>2349</v>
      </c>
      <c r="C233" s="9">
        <v>45979.751976909698</v>
      </c>
      <c r="D233" s="8" t="s">
        <v>2056</v>
      </c>
      <c r="E233" s="8" t="s">
        <v>2057</v>
      </c>
      <c r="F233" s="8">
        <v>2</v>
      </c>
      <c r="G233" s="22" t="s">
        <v>403</v>
      </c>
      <c r="H233" s="8" t="s">
        <v>403</v>
      </c>
      <c r="I233" s="2" t="str">
        <f t="shared" si="7"/>
        <v>Đèn báo đỏ, Wide</v>
      </c>
      <c r="J233" s="8" t="s">
        <v>15</v>
      </c>
      <c r="K233" s="10">
        <v>16</v>
      </c>
      <c r="L233" s="10">
        <v>13888</v>
      </c>
      <c r="M233" s="11">
        <v>222208</v>
      </c>
      <c r="N233" s="8" t="s">
        <v>16</v>
      </c>
      <c r="O233" s="8" t="s">
        <v>17</v>
      </c>
      <c r="P233" s="8" t="s">
        <v>18</v>
      </c>
      <c r="Q233" s="8" t="s">
        <v>18</v>
      </c>
      <c r="R233" s="8" t="s">
        <v>2115</v>
      </c>
      <c r="S233" s="8" t="s">
        <v>2236</v>
      </c>
      <c r="T233" s="8" t="s">
        <v>2237</v>
      </c>
      <c r="U233" s="8" t="s">
        <v>2238</v>
      </c>
      <c r="V233" s="8" t="s">
        <v>402</v>
      </c>
      <c r="W233" s="8">
        <f t="shared" si="8"/>
        <v>4</v>
      </c>
      <c r="X233" s="8">
        <f>K233*L233*N233</f>
        <v>17776.64</v>
      </c>
    </row>
    <row r="234" spans="1:24" s="8" customFormat="1" ht="41.5" customHeight="1">
      <c r="A234" s="8" t="s">
        <v>2281</v>
      </c>
      <c r="B234" s="8" t="s">
        <v>2349</v>
      </c>
      <c r="C234" s="9">
        <v>45979.751976909698</v>
      </c>
      <c r="D234" s="8" t="s">
        <v>2056</v>
      </c>
      <c r="E234" s="8" t="s">
        <v>2057</v>
      </c>
      <c r="F234" s="8">
        <v>3</v>
      </c>
      <c r="G234" s="22" t="s">
        <v>1815</v>
      </c>
      <c r="H234" s="8" t="s">
        <v>404</v>
      </c>
      <c r="I234" s="2" t="str">
        <f t="shared" si="7"/>
        <v>Dây điện 1x25 CU/PVC cadisun</v>
      </c>
      <c r="J234" s="8" t="s">
        <v>71</v>
      </c>
      <c r="K234" s="10">
        <v>200</v>
      </c>
      <c r="L234" s="10">
        <v>6960</v>
      </c>
      <c r="M234" s="11">
        <v>1392000</v>
      </c>
      <c r="N234" s="8" t="s">
        <v>16</v>
      </c>
      <c r="O234" s="8" t="s">
        <v>17</v>
      </c>
      <c r="P234" s="8" t="s">
        <v>18</v>
      </c>
      <c r="Q234" s="8" t="s">
        <v>18</v>
      </c>
      <c r="R234" s="8" t="s">
        <v>2115</v>
      </c>
      <c r="S234" s="8" t="s">
        <v>2236</v>
      </c>
      <c r="T234" s="8" t="s">
        <v>2237</v>
      </c>
      <c r="U234" s="8" t="s">
        <v>2238</v>
      </c>
      <c r="V234" s="8" t="s">
        <v>402</v>
      </c>
      <c r="W234" s="8">
        <f t="shared" si="8"/>
        <v>4</v>
      </c>
      <c r="X234" s="8">
        <f>K234*L234*N234</f>
        <v>111360</v>
      </c>
    </row>
    <row r="235" spans="1:24" s="8" customFormat="1" ht="41.5" customHeight="1">
      <c r="A235" s="8" t="s">
        <v>2281</v>
      </c>
      <c r="B235" s="8" t="s">
        <v>2349</v>
      </c>
      <c r="C235" s="9">
        <v>45979.751976909698</v>
      </c>
      <c r="D235" s="8" t="s">
        <v>2056</v>
      </c>
      <c r="E235" s="8" t="s">
        <v>2057</v>
      </c>
      <c r="F235" s="8">
        <v>4</v>
      </c>
      <c r="G235" s="22" t="s">
        <v>405</v>
      </c>
      <c r="H235" s="8" t="s">
        <v>405</v>
      </c>
      <c r="I235" s="2" t="str">
        <f t="shared" si="7"/>
        <v>Ống đàn hồi-SP20-SP9020CM</v>
      </c>
      <c r="J235" s="8" t="s">
        <v>71</v>
      </c>
      <c r="K235" s="10">
        <v>100</v>
      </c>
      <c r="L235" s="10">
        <v>1852</v>
      </c>
      <c r="M235" s="11">
        <v>185200</v>
      </c>
      <c r="N235" s="8" t="s">
        <v>16</v>
      </c>
      <c r="O235" s="8" t="s">
        <v>17</v>
      </c>
      <c r="P235" s="8" t="s">
        <v>18</v>
      </c>
      <c r="Q235" s="8" t="s">
        <v>18</v>
      </c>
      <c r="R235" s="8" t="s">
        <v>2115</v>
      </c>
      <c r="S235" s="8" t="s">
        <v>2236</v>
      </c>
      <c r="T235" s="8" t="s">
        <v>2237</v>
      </c>
      <c r="U235" s="8" t="s">
        <v>2238</v>
      </c>
      <c r="V235" s="8" t="s">
        <v>402</v>
      </c>
      <c r="W235" s="8">
        <f t="shared" si="8"/>
        <v>4</v>
      </c>
      <c r="X235" s="8">
        <f>K235*L235*N235</f>
        <v>14816</v>
      </c>
    </row>
    <row r="236" spans="1:24" s="8" customFormat="1" ht="41.5" customHeight="1">
      <c r="A236" s="8" t="s">
        <v>2281</v>
      </c>
      <c r="B236" s="8" t="s">
        <v>2349</v>
      </c>
      <c r="C236" s="9">
        <v>45979.751976909698</v>
      </c>
      <c r="D236" s="8" t="s">
        <v>2056</v>
      </c>
      <c r="E236" s="8" t="s">
        <v>2057</v>
      </c>
      <c r="F236" s="8">
        <v>5</v>
      </c>
      <c r="G236" s="22" t="s">
        <v>2204</v>
      </c>
      <c r="H236" s="8" t="s">
        <v>406</v>
      </c>
      <c r="I236" s="2" t="str">
        <f t="shared" si="7"/>
        <v>Tủ điện mặt nhựa, đế sắt chưa 14-18 Module</v>
      </c>
      <c r="J236" s="8" t="s">
        <v>15</v>
      </c>
      <c r="K236" s="10">
        <v>5</v>
      </c>
      <c r="L236" s="10">
        <v>330000</v>
      </c>
      <c r="M236" s="11">
        <v>1650000</v>
      </c>
      <c r="N236" s="8" t="s">
        <v>16</v>
      </c>
      <c r="O236" s="8" t="s">
        <v>17</v>
      </c>
      <c r="P236" s="8" t="s">
        <v>18</v>
      </c>
      <c r="Q236" s="8" t="s">
        <v>18</v>
      </c>
      <c r="R236" s="8" t="s">
        <v>2115</v>
      </c>
      <c r="S236" s="8" t="s">
        <v>2236</v>
      </c>
      <c r="T236" s="8" t="s">
        <v>2237</v>
      </c>
      <c r="U236" s="8" t="s">
        <v>2238</v>
      </c>
      <c r="V236" s="8" t="s">
        <v>402</v>
      </c>
      <c r="W236" s="8">
        <f t="shared" si="8"/>
        <v>4</v>
      </c>
      <c r="X236" s="8">
        <f>K236*L236*N236</f>
        <v>132000</v>
      </c>
    </row>
    <row r="237" spans="1:24" s="8" customFormat="1" ht="41.5" customHeight="1">
      <c r="A237" s="8" t="s">
        <v>2281</v>
      </c>
      <c r="B237" s="8" t="s">
        <v>2349</v>
      </c>
      <c r="C237" s="9">
        <v>45979.751976909698</v>
      </c>
      <c r="D237" s="8" t="s">
        <v>2056</v>
      </c>
      <c r="E237" s="8" t="s">
        <v>2057</v>
      </c>
      <c r="F237" s="8">
        <v>6</v>
      </c>
      <c r="G237" s="22" t="s">
        <v>1435</v>
      </c>
      <c r="H237" s="8" t="s">
        <v>407</v>
      </c>
      <c r="I237" s="2" t="str">
        <f t="shared" si="7"/>
        <v>Dây điện 2x1.5</v>
      </c>
      <c r="J237" s="8" t="s">
        <v>71</v>
      </c>
      <c r="K237" s="10">
        <v>400</v>
      </c>
      <c r="L237" s="10">
        <v>10436</v>
      </c>
      <c r="M237" s="11">
        <v>4174400</v>
      </c>
      <c r="N237" s="8" t="s">
        <v>16</v>
      </c>
      <c r="O237" s="8" t="s">
        <v>17</v>
      </c>
      <c r="P237" s="8" t="s">
        <v>18</v>
      </c>
      <c r="Q237" s="8" t="s">
        <v>18</v>
      </c>
      <c r="R237" s="8" t="s">
        <v>2115</v>
      </c>
      <c r="S237" s="8" t="s">
        <v>2236</v>
      </c>
      <c r="T237" s="8" t="s">
        <v>2237</v>
      </c>
      <c r="U237" s="8" t="s">
        <v>2238</v>
      </c>
      <c r="V237" s="8" t="s">
        <v>402</v>
      </c>
      <c r="W237" s="8">
        <f t="shared" si="8"/>
        <v>4</v>
      </c>
      <c r="X237" s="8">
        <f>K237*L237*N237</f>
        <v>333952</v>
      </c>
    </row>
    <row r="238" spans="1:24" s="8" customFormat="1" ht="41.5" customHeight="1">
      <c r="A238" s="8" t="s">
        <v>2281</v>
      </c>
      <c r="B238" s="8" t="s">
        <v>2349</v>
      </c>
      <c r="C238" s="9">
        <v>45979.751976909698</v>
      </c>
      <c r="D238" s="8" t="s">
        <v>2056</v>
      </c>
      <c r="E238" s="8" t="s">
        <v>2057</v>
      </c>
      <c r="F238" s="8">
        <v>7</v>
      </c>
      <c r="G238" s="22" t="s">
        <v>1548</v>
      </c>
      <c r="H238" s="8" t="s">
        <v>408</v>
      </c>
      <c r="I238" s="2" t="str">
        <f t="shared" si="7"/>
        <v>Dây điện Cu/pvc/pvc3x2.5</v>
      </c>
      <c r="J238" s="8" t="s">
        <v>71</v>
      </c>
      <c r="K238" s="10">
        <v>200</v>
      </c>
      <c r="L238" s="10">
        <v>24806.77</v>
      </c>
      <c r="M238" s="11">
        <v>4961353</v>
      </c>
      <c r="N238" s="8" t="s">
        <v>16</v>
      </c>
      <c r="O238" s="8" t="s">
        <v>17</v>
      </c>
      <c r="P238" s="8" t="s">
        <v>18</v>
      </c>
      <c r="Q238" s="8" t="s">
        <v>18</v>
      </c>
      <c r="R238" s="8" t="s">
        <v>2115</v>
      </c>
      <c r="S238" s="8" t="s">
        <v>2236</v>
      </c>
      <c r="T238" s="8" t="s">
        <v>2237</v>
      </c>
      <c r="U238" s="8" t="s">
        <v>2238</v>
      </c>
      <c r="V238" s="8" t="s">
        <v>402</v>
      </c>
      <c r="W238" s="8">
        <f t="shared" si="8"/>
        <v>4</v>
      </c>
      <c r="X238" s="8">
        <f>K238*L238*N238</f>
        <v>396908.32</v>
      </c>
    </row>
    <row r="239" spans="1:24" s="8" customFormat="1" ht="41.5" customHeight="1">
      <c r="A239" s="8" t="s">
        <v>2281</v>
      </c>
      <c r="B239" s="8" t="s">
        <v>2349</v>
      </c>
      <c r="C239" s="9">
        <v>45979.751976909698</v>
      </c>
      <c r="D239" s="8" t="s">
        <v>2056</v>
      </c>
      <c r="E239" s="8" t="s">
        <v>2057</v>
      </c>
      <c r="F239" s="8">
        <v>8</v>
      </c>
      <c r="G239" s="2"/>
      <c r="H239" s="8" t="s">
        <v>409</v>
      </c>
      <c r="I239" s="2">
        <f t="shared" si="7"/>
        <v>0</v>
      </c>
      <c r="J239" s="8" t="s">
        <v>71</v>
      </c>
      <c r="K239" s="10">
        <v>200</v>
      </c>
      <c r="L239" s="10">
        <v>14166</v>
      </c>
      <c r="M239" s="11">
        <v>2833200</v>
      </c>
      <c r="N239" s="8" t="s">
        <v>16</v>
      </c>
      <c r="O239" s="8" t="s">
        <v>17</v>
      </c>
      <c r="P239" s="8" t="s">
        <v>18</v>
      </c>
      <c r="Q239" s="8" t="s">
        <v>18</v>
      </c>
      <c r="R239" s="8" t="s">
        <v>2115</v>
      </c>
      <c r="S239" s="8" t="s">
        <v>2236</v>
      </c>
      <c r="T239" s="8" t="s">
        <v>2237</v>
      </c>
      <c r="U239" s="8" t="s">
        <v>2238</v>
      </c>
      <c r="V239" s="8" t="s">
        <v>402</v>
      </c>
      <c r="W239" s="8">
        <f t="shared" si="8"/>
        <v>4</v>
      </c>
      <c r="X239" s="8">
        <f>K239*L239*N239</f>
        <v>226656</v>
      </c>
    </row>
    <row r="240" spans="1:24" s="8" customFormat="1" ht="41.5" customHeight="1">
      <c r="A240" s="8" t="s">
        <v>2281</v>
      </c>
      <c r="B240" s="8" t="s">
        <v>2349</v>
      </c>
      <c r="C240" s="9">
        <v>45979.751976909698</v>
      </c>
      <c r="D240" s="8" t="s">
        <v>2056</v>
      </c>
      <c r="E240" s="8" t="s">
        <v>2057</v>
      </c>
      <c r="F240" s="8">
        <v>9</v>
      </c>
      <c r="G240" s="22" t="s">
        <v>1482</v>
      </c>
      <c r="H240" s="8" t="s">
        <v>410</v>
      </c>
      <c r="I240" s="2" t="str">
        <f t="shared" si="7"/>
        <v>RCCB SL68N/2P32A-0.03A-SL680N/2032/030</v>
      </c>
      <c r="J240" s="8" t="s">
        <v>15</v>
      </c>
      <c r="K240" s="10">
        <v>3</v>
      </c>
      <c r="L240" s="10">
        <v>373139</v>
      </c>
      <c r="M240" s="11">
        <v>1119417</v>
      </c>
      <c r="N240" s="8" t="s">
        <v>16</v>
      </c>
      <c r="O240" s="8" t="s">
        <v>17</v>
      </c>
      <c r="P240" s="8" t="s">
        <v>18</v>
      </c>
      <c r="Q240" s="8" t="s">
        <v>18</v>
      </c>
      <c r="R240" s="8" t="s">
        <v>2115</v>
      </c>
      <c r="S240" s="8" t="s">
        <v>2236</v>
      </c>
      <c r="T240" s="8" t="s">
        <v>2237</v>
      </c>
      <c r="U240" s="8" t="s">
        <v>2238</v>
      </c>
      <c r="V240" s="8" t="s">
        <v>402</v>
      </c>
      <c r="W240" s="8">
        <f t="shared" si="8"/>
        <v>4</v>
      </c>
      <c r="X240" s="8">
        <f>K240*L240*N240</f>
        <v>89553.36</v>
      </c>
    </row>
    <row r="241" spans="1:24" s="8" customFormat="1" ht="41.5" customHeight="1">
      <c r="A241" s="8" t="s">
        <v>2281</v>
      </c>
      <c r="B241" s="8" t="s">
        <v>2349</v>
      </c>
      <c r="C241" s="9">
        <v>45979.751976909698</v>
      </c>
      <c r="D241" s="8" t="s">
        <v>2056</v>
      </c>
      <c r="E241" s="8" t="s">
        <v>2057</v>
      </c>
      <c r="F241" s="8">
        <v>10</v>
      </c>
      <c r="G241" s="22" t="s">
        <v>411</v>
      </c>
      <c r="H241" s="8" t="s">
        <v>411</v>
      </c>
      <c r="I241" s="2" t="str">
        <f t="shared" si="7"/>
        <v>Ổ cắm chịu tải 4</v>
      </c>
      <c r="J241" s="8" t="s">
        <v>15</v>
      </c>
      <c r="K241" s="10">
        <v>80</v>
      </c>
      <c r="L241" s="10">
        <v>23000</v>
      </c>
      <c r="M241" s="11">
        <v>1840000</v>
      </c>
      <c r="N241" s="8" t="s">
        <v>16</v>
      </c>
      <c r="O241" s="8" t="s">
        <v>17</v>
      </c>
      <c r="P241" s="8" t="s">
        <v>18</v>
      </c>
      <c r="Q241" s="8" t="s">
        <v>18</v>
      </c>
      <c r="R241" s="8" t="s">
        <v>2115</v>
      </c>
      <c r="S241" s="8" t="s">
        <v>2236</v>
      </c>
      <c r="T241" s="8" t="s">
        <v>2237</v>
      </c>
      <c r="U241" s="8" t="s">
        <v>2238</v>
      </c>
      <c r="V241" s="8" t="s">
        <v>402</v>
      </c>
      <c r="W241" s="8">
        <f t="shared" si="8"/>
        <v>4</v>
      </c>
      <c r="X241" s="8">
        <f>K241*L241*N241</f>
        <v>147200</v>
      </c>
    </row>
    <row r="242" spans="1:24" s="8" customFormat="1" ht="41.5" customHeight="1">
      <c r="A242" s="8" t="s">
        <v>2281</v>
      </c>
      <c r="B242" s="8" t="s">
        <v>2349</v>
      </c>
      <c r="C242" s="9">
        <v>45979.751976909698</v>
      </c>
      <c r="D242" s="8" t="s">
        <v>2056</v>
      </c>
      <c r="E242" s="8" t="s">
        <v>2057</v>
      </c>
      <c r="F242" s="8">
        <v>11</v>
      </c>
      <c r="G242" s="22" t="s">
        <v>412</v>
      </c>
      <c r="H242" s="8" t="s">
        <v>412</v>
      </c>
      <c r="I242" s="2" t="str">
        <f t="shared" si="7"/>
        <v>Ổ cắm chịu tải 3</v>
      </c>
      <c r="J242" s="8" t="s">
        <v>15</v>
      </c>
      <c r="K242" s="10">
        <v>125</v>
      </c>
      <c r="L242" s="10">
        <v>19000</v>
      </c>
      <c r="M242" s="11">
        <v>2375000</v>
      </c>
      <c r="N242" s="8" t="s">
        <v>16</v>
      </c>
      <c r="O242" s="8" t="s">
        <v>17</v>
      </c>
      <c r="P242" s="8" t="s">
        <v>18</v>
      </c>
      <c r="Q242" s="8" t="s">
        <v>18</v>
      </c>
      <c r="R242" s="8" t="s">
        <v>2115</v>
      </c>
      <c r="S242" s="8" t="s">
        <v>2236</v>
      </c>
      <c r="T242" s="8" t="s">
        <v>2237</v>
      </c>
      <c r="U242" s="8" t="s">
        <v>2238</v>
      </c>
      <c r="V242" s="8" t="s">
        <v>402</v>
      </c>
      <c r="W242" s="8">
        <f t="shared" si="8"/>
        <v>4</v>
      </c>
      <c r="X242" s="8">
        <f>K242*L242*N242</f>
        <v>190000</v>
      </c>
    </row>
    <row r="243" spans="1:24" s="8" customFormat="1" ht="41.5" customHeight="1">
      <c r="A243" s="8" t="s">
        <v>2302</v>
      </c>
      <c r="B243" s="8" t="s">
        <v>2350</v>
      </c>
      <c r="C243" s="9">
        <v>45991.681716250001</v>
      </c>
      <c r="D243" s="8" t="s">
        <v>2056</v>
      </c>
      <c r="E243" s="8" t="s">
        <v>2057</v>
      </c>
      <c r="F243" s="8">
        <v>1</v>
      </c>
      <c r="G243" s="22" t="s">
        <v>1346</v>
      </c>
      <c r="H243" s="8" t="s">
        <v>413</v>
      </c>
      <c r="I243" s="2" t="str">
        <f t="shared" si="7"/>
        <v>Tôn xốp</v>
      </c>
      <c r="J243" s="8" t="s">
        <v>71</v>
      </c>
      <c r="K243" s="10">
        <v>46</v>
      </c>
      <c r="L243" s="10">
        <v>156000</v>
      </c>
      <c r="M243" s="11">
        <v>7176000</v>
      </c>
      <c r="N243" s="8" t="s">
        <v>30</v>
      </c>
      <c r="O243" s="8" t="s">
        <v>17</v>
      </c>
      <c r="P243" s="8" t="s">
        <v>18</v>
      </c>
      <c r="Q243" s="8" t="s">
        <v>18</v>
      </c>
      <c r="R243" s="8" t="s">
        <v>2115</v>
      </c>
      <c r="S243" s="8" t="s">
        <v>2137</v>
      </c>
      <c r="T243" s="8" t="s">
        <v>2138</v>
      </c>
      <c r="U243" s="8" t="s">
        <v>2139</v>
      </c>
      <c r="V243" s="8" t="s">
        <v>414</v>
      </c>
      <c r="W243" s="8">
        <f t="shared" si="8"/>
        <v>4</v>
      </c>
      <c r="X243" s="8">
        <f>K243*L243*N243</f>
        <v>717600</v>
      </c>
    </row>
    <row r="244" spans="1:24" s="8" customFormat="1" ht="41.5" customHeight="1">
      <c r="A244" s="8" t="s">
        <v>2302</v>
      </c>
      <c r="B244" s="8" t="s">
        <v>2351</v>
      </c>
      <c r="C244" s="9">
        <v>45988.6214421759</v>
      </c>
      <c r="D244" s="8" t="s">
        <v>2056</v>
      </c>
      <c r="E244" s="8" t="s">
        <v>2057</v>
      </c>
      <c r="F244" s="8">
        <v>1</v>
      </c>
      <c r="G244" s="27" t="s">
        <v>159</v>
      </c>
      <c r="H244" s="8" t="s">
        <v>415</v>
      </c>
      <c r="I244" s="2" t="str">
        <f t="shared" si="7"/>
        <v>Hộp Inox 304</v>
      </c>
      <c r="J244" s="8" t="s">
        <v>62</v>
      </c>
      <c r="K244" s="10">
        <v>54.8</v>
      </c>
      <c r="L244" s="10">
        <v>56000</v>
      </c>
      <c r="M244" s="11">
        <v>3068800</v>
      </c>
      <c r="N244" s="8" t="s">
        <v>30</v>
      </c>
      <c r="O244" s="8" t="s">
        <v>17</v>
      </c>
      <c r="P244" s="8" t="s">
        <v>18</v>
      </c>
      <c r="Q244" s="8" t="s">
        <v>18</v>
      </c>
      <c r="R244" s="8" t="s">
        <v>2115</v>
      </c>
      <c r="S244" s="8" t="s">
        <v>2137</v>
      </c>
      <c r="T244" s="8" t="s">
        <v>2138</v>
      </c>
      <c r="U244" s="8" t="s">
        <v>2139</v>
      </c>
      <c r="V244" s="8" t="s">
        <v>416</v>
      </c>
      <c r="W244" s="8">
        <f t="shared" si="8"/>
        <v>4</v>
      </c>
      <c r="X244" s="8">
        <f>K244*L244*N244</f>
        <v>306880</v>
      </c>
    </row>
    <row r="245" spans="1:24" s="8" customFormat="1" ht="41.5" customHeight="1">
      <c r="A245" s="8" t="s">
        <v>2302</v>
      </c>
      <c r="B245" s="8" t="s">
        <v>2351</v>
      </c>
      <c r="C245" s="9">
        <v>45988.6214421759</v>
      </c>
      <c r="D245" s="8" t="s">
        <v>2056</v>
      </c>
      <c r="E245" s="8" t="s">
        <v>2057</v>
      </c>
      <c r="F245" s="8">
        <v>2</v>
      </c>
      <c r="G245" s="27" t="s">
        <v>2140</v>
      </c>
      <c r="H245" s="8" t="s">
        <v>68</v>
      </c>
      <c r="I245" s="2" t="str">
        <f t="shared" si="7"/>
        <v>Thép ống hộp</v>
      </c>
      <c r="J245" s="8" t="s">
        <v>62</v>
      </c>
      <c r="K245" s="10">
        <v>571.5</v>
      </c>
      <c r="L245" s="10">
        <v>16909.09</v>
      </c>
      <c r="M245" s="11">
        <v>9663545</v>
      </c>
      <c r="N245" s="8" t="s">
        <v>30</v>
      </c>
      <c r="O245" s="8" t="s">
        <v>17</v>
      </c>
      <c r="P245" s="8" t="s">
        <v>18</v>
      </c>
      <c r="Q245" s="8" t="s">
        <v>18</v>
      </c>
      <c r="R245" s="8" t="s">
        <v>2115</v>
      </c>
      <c r="S245" s="8" t="s">
        <v>2137</v>
      </c>
      <c r="T245" s="8" t="s">
        <v>2138</v>
      </c>
      <c r="U245" s="8" t="s">
        <v>2139</v>
      </c>
      <c r="V245" s="8" t="s">
        <v>416</v>
      </c>
      <c r="W245" s="8">
        <f t="shared" si="8"/>
        <v>4</v>
      </c>
      <c r="X245" s="8">
        <f>K245*L245*N245</f>
        <v>966354.4935000001</v>
      </c>
    </row>
    <row r="246" spans="1:24" s="8" customFormat="1" ht="41.5" customHeight="1">
      <c r="A246" s="8" t="s">
        <v>2302</v>
      </c>
      <c r="B246" s="8" t="s">
        <v>2351</v>
      </c>
      <c r="C246" s="9">
        <v>45988.6214421759</v>
      </c>
      <c r="D246" s="8" t="s">
        <v>2056</v>
      </c>
      <c r="E246" s="8" t="s">
        <v>2057</v>
      </c>
      <c r="F246" s="8">
        <v>3</v>
      </c>
      <c r="G246" s="27" t="s">
        <v>2140</v>
      </c>
      <c r="H246" s="8" t="s">
        <v>279</v>
      </c>
      <c r="I246" s="2" t="str">
        <f t="shared" si="7"/>
        <v>Thép ống hộp</v>
      </c>
      <c r="J246" s="8" t="s">
        <v>62</v>
      </c>
      <c r="K246" s="10">
        <v>82.25</v>
      </c>
      <c r="L246" s="10">
        <v>16909.09</v>
      </c>
      <c r="M246" s="11">
        <v>1390773</v>
      </c>
      <c r="N246" s="8" t="s">
        <v>30</v>
      </c>
      <c r="O246" s="8" t="s">
        <v>17</v>
      </c>
      <c r="P246" s="8" t="s">
        <v>18</v>
      </c>
      <c r="Q246" s="8" t="s">
        <v>18</v>
      </c>
      <c r="R246" s="8" t="s">
        <v>2115</v>
      </c>
      <c r="S246" s="8" t="s">
        <v>2137</v>
      </c>
      <c r="T246" s="8" t="s">
        <v>2138</v>
      </c>
      <c r="U246" s="8" t="s">
        <v>2139</v>
      </c>
      <c r="V246" s="8" t="s">
        <v>416</v>
      </c>
      <c r="W246" s="8">
        <f t="shared" si="8"/>
        <v>4</v>
      </c>
      <c r="X246" s="8">
        <f>K246*L246*N246</f>
        <v>139077.26525000003</v>
      </c>
    </row>
    <row r="247" spans="1:24" s="8" customFormat="1" ht="41.5" customHeight="1">
      <c r="A247" s="8" t="s">
        <v>2302</v>
      </c>
      <c r="B247" s="8" t="s">
        <v>2351</v>
      </c>
      <c r="C247" s="9">
        <v>45988.6214421759</v>
      </c>
      <c r="D247" s="8" t="s">
        <v>2056</v>
      </c>
      <c r="E247" s="8" t="s">
        <v>2057</v>
      </c>
      <c r="F247" s="8">
        <v>4</v>
      </c>
      <c r="G247" s="22" t="s">
        <v>1346</v>
      </c>
      <c r="H247" s="8" t="s">
        <v>70</v>
      </c>
      <c r="I247" s="2" t="str">
        <f t="shared" si="7"/>
        <v>Tôn xốp</v>
      </c>
      <c r="J247" s="8" t="s">
        <v>71</v>
      </c>
      <c r="K247" s="10">
        <v>54.2</v>
      </c>
      <c r="L247" s="10">
        <v>142727.26999999999</v>
      </c>
      <c r="M247" s="11">
        <v>7735818</v>
      </c>
      <c r="N247" s="8" t="s">
        <v>30</v>
      </c>
      <c r="O247" s="8" t="s">
        <v>17</v>
      </c>
      <c r="P247" s="8" t="s">
        <v>18</v>
      </c>
      <c r="Q247" s="8" t="s">
        <v>18</v>
      </c>
      <c r="R247" s="8" t="s">
        <v>2115</v>
      </c>
      <c r="S247" s="8" t="s">
        <v>2137</v>
      </c>
      <c r="T247" s="8" t="s">
        <v>2138</v>
      </c>
      <c r="U247" s="8" t="s">
        <v>2139</v>
      </c>
      <c r="V247" s="8" t="s">
        <v>416</v>
      </c>
      <c r="W247" s="8">
        <f t="shared" si="8"/>
        <v>4</v>
      </c>
      <c r="X247" s="8">
        <f>K247*L247*N247</f>
        <v>773581.80340000009</v>
      </c>
    </row>
    <row r="248" spans="1:24" s="8" customFormat="1" ht="41.5" customHeight="1">
      <c r="A248" s="8" t="s">
        <v>2302</v>
      </c>
      <c r="B248" s="8" t="s">
        <v>2352</v>
      </c>
      <c r="C248" s="9">
        <v>45985.659468495403</v>
      </c>
      <c r="D248" s="8" t="s">
        <v>2056</v>
      </c>
      <c r="E248" s="8" t="s">
        <v>2057</v>
      </c>
      <c r="F248" s="8">
        <v>1</v>
      </c>
      <c r="G248" s="27" t="s">
        <v>2140</v>
      </c>
      <c r="H248" s="8" t="s">
        <v>417</v>
      </c>
      <c r="I248" s="2" t="str">
        <f t="shared" si="7"/>
        <v>Thép ống hộp</v>
      </c>
      <c r="J248" s="8" t="s">
        <v>62</v>
      </c>
      <c r="K248" s="10">
        <v>53.6</v>
      </c>
      <c r="L248" s="10">
        <v>24363.64</v>
      </c>
      <c r="M248" s="11">
        <v>1305891</v>
      </c>
      <c r="N248" s="8" t="s">
        <v>30</v>
      </c>
      <c r="O248" s="8" t="s">
        <v>17</v>
      </c>
      <c r="P248" s="8" t="s">
        <v>18</v>
      </c>
      <c r="Q248" s="8" t="s">
        <v>18</v>
      </c>
      <c r="R248" s="8" t="s">
        <v>2115</v>
      </c>
      <c r="S248" s="8" t="s">
        <v>2137</v>
      </c>
      <c r="T248" s="8" t="s">
        <v>2138</v>
      </c>
      <c r="U248" s="8" t="s">
        <v>2139</v>
      </c>
      <c r="V248" s="8" t="s">
        <v>418</v>
      </c>
      <c r="W248" s="8">
        <f t="shared" si="8"/>
        <v>4</v>
      </c>
      <c r="X248" s="8">
        <f>K248*L248*N248</f>
        <v>130589.11040000001</v>
      </c>
    </row>
    <row r="249" spans="1:24" s="8" customFormat="1" ht="41.5" customHeight="1">
      <c r="A249" s="8" t="s">
        <v>2302</v>
      </c>
      <c r="B249" s="8" t="s">
        <v>2352</v>
      </c>
      <c r="C249" s="9">
        <v>45985.659468495403</v>
      </c>
      <c r="D249" s="8" t="s">
        <v>2056</v>
      </c>
      <c r="E249" s="8" t="s">
        <v>2057</v>
      </c>
      <c r="F249" s="8">
        <v>2</v>
      </c>
      <c r="G249" s="27" t="s">
        <v>2140</v>
      </c>
      <c r="H249" s="8" t="s">
        <v>68</v>
      </c>
      <c r="I249" s="2" t="str">
        <f t="shared" si="7"/>
        <v>Thép ống hộp</v>
      </c>
      <c r="J249" s="8" t="s">
        <v>62</v>
      </c>
      <c r="K249" s="10">
        <v>571.5</v>
      </c>
      <c r="L249" s="10">
        <v>16909.09</v>
      </c>
      <c r="M249" s="11">
        <v>9663545</v>
      </c>
      <c r="N249" s="8" t="s">
        <v>30</v>
      </c>
      <c r="O249" s="8" t="s">
        <v>17</v>
      </c>
      <c r="P249" s="8" t="s">
        <v>18</v>
      </c>
      <c r="Q249" s="8" t="s">
        <v>18</v>
      </c>
      <c r="R249" s="8" t="s">
        <v>2115</v>
      </c>
      <c r="S249" s="8" t="s">
        <v>2137</v>
      </c>
      <c r="T249" s="8" t="s">
        <v>2138</v>
      </c>
      <c r="U249" s="8" t="s">
        <v>2139</v>
      </c>
      <c r="V249" s="8" t="s">
        <v>418</v>
      </c>
      <c r="W249" s="8">
        <f t="shared" si="8"/>
        <v>4</v>
      </c>
      <c r="X249" s="8">
        <f>K249*L249*N249</f>
        <v>966354.4935000001</v>
      </c>
    </row>
    <row r="250" spans="1:24" s="8" customFormat="1" ht="41.5" customHeight="1">
      <c r="A250" s="8" t="s">
        <v>2302</v>
      </c>
      <c r="B250" s="8" t="s">
        <v>2352</v>
      </c>
      <c r="C250" s="9">
        <v>45985.659468495403</v>
      </c>
      <c r="D250" s="8" t="s">
        <v>2056</v>
      </c>
      <c r="E250" s="8" t="s">
        <v>2057</v>
      </c>
      <c r="F250" s="8">
        <v>3</v>
      </c>
      <c r="G250" s="27" t="s">
        <v>2140</v>
      </c>
      <c r="H250" s="8" t="s">
        <v>419</v>
      </c>
      <c r="I250" s="2" t="str">
        <f t="shared" si="7"/>
        <v>Thép ống hộp</v>
      </c>
      <c r="J250" s="8" t="s">
        <v>62</v>
      </c>
      <c r="K250" s="10">
        <v>90.72</v>
      </c>
      <c r="L250" s="10">
        <v>16909.09</v>
      </c>
      <c r="M250" s="11">
        <v>1533993</v>
      </c>
      <c r="N250" s="8" t="s">
        <v>30</v>
      </c>
      <c r="O250" s="8" t="s">
        <v>17</v>
      </c>
      <c r="P250" s="8" t="s">
        <v>18</v>
      </c>
      <c r="Q250" s="8" t="s">
        <v>18</v>
      </c>
      <c r="R250" s="8" t="s">
        <v>2115</v>
      </c>
      <c r="S250" s="8" t="s">
        <v>2137</v>
      </c>
      <c r="T250" s="8" t="s">
        <v>2138</v>
      </c>
      <c r="U250" s="8" t="s">
        <v>2139</v>
      </c>
      <c r="V250" s="8" t="s">
        <v>418</v>
      </c>
      <c r="W250" s="8">
        <f t="shared" si="8"/>
        <v>4</v>
      </c>
      <c r="X250" s="8">
        <f>K250*L250*N250</f>
        <v>153399.26447999998</v>
      </c>
    </row>
    <row r="251" spans="1:24" s="8" customFormat="1" ht="41.5" customHeight="1">
      <c r="A251" s="8" t="s">
        <v>2302</v>
      </c>
      <c r="B251" s="8" t="s">
        <v>2352</v>
      </c>
      <c r="C251" s="9">
        <v>45985.659468495403</v>
      </c>
      <c r="D251" s="8" t="s">
        <v>2056</v>
      </c>
      <c r="E251" s="8" t="s">
        <v>2057</v>
      </c>
      <c r="F251" s="8">
        <v>4</v>
      </c>
      <c r="G251" s="22" t="s">
        <v>159</v>
      </c>
      <c r="H251" s="8" t="s">
        <v>159</v>
      </c>
      <c r="I251" s="2" t="str">
        <f t="shared" si="7"/>
        <v>Hộp Inox 304</v>
      </c>
      <c r="J251" s="8" t="s">
        <v>62</v>
      </c>
      <c r="K251" s="10">
        <v>198.4</v>
      </c>
      <c r="L251" s="10">
        <v>57000</v>
      </c>
      <c r="M251" s="11">
        <v>11308800</v>
      </c>
      <c r="N251" s="8" t="s">
        <v>30</v>
      </c>
      <c r="O251" s="8" t="s">
        <v>17</v>
      </c>
      <c r="P251" s="8" t="s">
        <v>18</v>
      </c>
      <c r="Q251" s="8" t="s">
        <v>18</v>
      </c>
      <c r="R251" s="8" t="s">
        <v>2115</v>
      </c>
      <c r="S251" s="8" t="s">
        <v>2137</v>
      </c>
      <c r="T251" s="8" t="s">
        <v>2138</v>
      </c>
      <c r="U251" s="8" t="s">
        <v>2139</v>
      </c>
      <c r="V251" s="8" t="s">
        <v>418</v>
      </c>
      <c r="W251" s="8">
        <f t="shared" si="8"/>
        <v>4</v>
      </c>
      <c r="X251" s="8">
        <f>K251*L251*N251</f>
        <v>1130880</v>
      </c>
    </row>
    <row r="252" spans="1:24" s="8" customFormat="1" ht="41.5" customHeight="1">
      <c r="A252" s="8" t="s">
        <v>2302</v>
      </c>
      <c r="B252" s="8" t="s">
        <v>2352</v>
      </c>
      <c r="C252" s="9">
        <v>45985.659468495403</v>
      </c>
      <c r="D252" s="8" t="s">
        <v>2056</v>
      </c>
      <c r="E252" s="8" t="s">
        <v>2057</v>
      </c>
      <c r="F252" s="8">
        <v>5</v>
      </c>
      <c r="G252" s="22" t="s">
        <v>420</v>
      </c>
      <c r="H252" s="8" t="s">
        <v>420</v>
      </c>
      <c r="I252" s="2" t="str">
        <f t="shared" si="7"/>
        <v>Thép hình U100</v>
      </c>
      <c r="J252" s="8" t="s">
        <v>62</v>
      </c>
      <c r="K252" s="10">
        <v>273</v>
      </c>
      <c r="L252" s="10">
        <v>15090.91</v>
      </c>
      <c r="M252" s="11">
        <v>4119818</v>
      </c>
      <c r="N252" s="8" t="s">
        <v>30</v>
      </c>
      <c r="O252" s="8" t="s">
        <v>17</v>
      </c>
      <c r="P252" s="8" t="s">
        <v>18</v>
      </c>
      <c r="Q252" s="8" t="s">
        <v>18</v>
      </c>
      <c r="R252" s="8" t="s">
        <v>2115</v>
      </c>
      <c r="S252" s="8" t="s">
        <v>2137</v>
      </c>
      <c r="T252" s="8" t="s">
        <v>2138</v>
      </c>
      <c r="U252" s="8" t="s">
        <v>2139</v>
      </c>
      <c r="V252" s="8" t="s">
        <v>418</v>
      </c>
      <c r="W252" s="8">
        <f t="shared" si="8"/>
        <v>4</v>
      </c>
      <c r="X252" s="8">
        <f>K252*L252*N252</f>
        <v>411981.84300000005</v>
      </c>
    </row>
    <row r="253" spans="1:24" s="8" customFormat="1" ht="41.5" customHeight="1">
      <c r="A253" s="8" t="s">
        <v>2302</v>
      </c>
      <c r="B253" s="8" t="s">
        <v>2352</v>
      </c>
      <c r="C253" s="9">
        <v>45985.659468495403</v>
      </c>
      <c r="D253" s="8" t="s">
        <v>2056</v>
      </c>
      <c r="E253" s="8" t="s">
        <v>2057</v>
      </c>
      <c r="F253" s="8">
        <v>6</v>
      </c>
      <c r="G253" s="22" t="s">
        <v>421</v>
      </c>
      <c r="H253" s="8" t="s">
        <v>421</v>
      </c>
      <c r="I253" s="2" t="str">
        <f t="shared" si="7"/>
        <v>Thép góc L60</v>
      </c>
      <c r="J253" s="8" t="s">
        <v>62</v>
      </c>
      <c r="K253" s="10">
        <v>263</v>
      </c>
      <c r="L253" s="10">
        <v>15090.91</v>
      </c>
      <c r="M253" s="11">
        <v>3968909</v>
      </c>
      <c r="N253" s="8" t="s">
        <v>30</v>
      </c>
      <c r="O253" s="8" t="s">
        <v>17</v>
      </c>
      <c r="P253" s="8" t="s">
        <v>18</v>
      </c>
      <c r="Q253" s="8" t="s">
        <v>18</v>
      </c>
      <c r="R253" s="8" t="s">
        <v>2115</v>
      </c>
      <c r="S253" s="8" t="s">
        <v>2137</v>
      </c>
      <c r="T253" s="8" t="s">
        <v>2138</v>
      </c>
      <c r="U253" s="8" t="s">
        <v>2139</v>
      </c>
      <c r="V253" s="8" t="s">
        <v>418</v>
      </c>
      <c r="W253" s="8">
        <f t="shared" si="8"/>
        <v>4</v>
      </c>
      <c r="X253" s="8">
        <f>K253*L253*N253</f>
        <v>396890.93300000002</v>
      </c>
    </row>
    <row r="254" spans="1:24" s="8" customFormat="1" ht="41.5" customHeight="1">
      <c r="A254" s="8" t="s">
        <v>2302</v>
      </c>
      <c r="B254" s="8" t="s">
        <v>2352</v>
      </c>
      <c r="C254" s="9">
        <v>45985.659468495403</v>
      </c>
      <c r="D254" s="8" t="s">
        <v>2056</v>
      </c>
      <c r="E254" s="8" t="s">
        <v>2057</v>
      </c>
      <c r="F254" s="8">
        <v>7</v>
      </c>
      <c r="G254" s="27" t="s">
        <v>2140</v>
      </c>
      <c r="H254" s="8" t="s">
        <v>69</v>
      </c>
      <c r="I254" s="2" t="str">
        <f t="shared" si="7"/>
        <v>Thép ống hộp</v>
      </c>
      <c r="J254" s="8" t="s">
        <v>62</v>
      </c>
      <c r="K254" s="10">
        <v>76.900000000000006</v>
      </c>
      <c r="L254" s="10">
        <v>16909.09</v>
      </c>
      <c r="M254" s="11">
        <v>1300309</v>
      </c>
      <c r="N254" s="8" t="s">
        <v>30</v>
      </c>
      <c r="O254" s="8" t="s">
        <v>17</v>
      </c>
      <c r="P254" s="8" t="s">
        <v>18</v>
      </c>
      <c r="Q254" s="8" t="s">
        <v>18</v>
      </c>
      <c r="R254" s="8" t="s">
        <v>2115</v>
      </c>
      <c r="S254" s="8" t="s">
        <v>2137</v>
      </c>
      <c r="T254" s="8" t="s">
        <v>2138</v>
      </c>
      <c r="U254" s="8" t="s">
        <v>2139</v>
      </c>
      <c r="V254" s="8" t="s">
        <v>418</v>
      </c>
      <c r="W254" s="8">
        <f t="shared" si="8"/>
        <v>4</v>
      </c>
      <c r="X254" s="8">
        <f>K254*L254*N254</f>
        <v>130030.90210000002</v>
      </c>
    </row>
    <row r="255" spans="1:24" s="13" customFormat="1" ht="41.5" customHeight="1">
      <c r="A255" s="8" t="s">
        <v>2302</v>
      </c>
      <c r="B255" s="13" t="s">
        <v>2352</v>
      </c>
      <c r="C255" s="14">
        <v>45985.659468495403</v>
      </c>
      <c r="D255" s="13" t="s">
        <v>2056</v>
      </c>
      <c r="E255" s="13" t="s">
        <v>2057</v>
      </c>
      <c r="F255" s="13">
        <v>8</v>
      </c>
      <c r="G255" s="28" t="s">
        <v>1363</v>
      </c>
      <c r="H255" s="13" t="s">
        <v>59</v>
      </c>
      <c r="I255" s="2" t="str">
        <f t="shared" si="7"/>
        <v>Tôn màu</v>
      </c>
      <c r="J255" s="13" t="s">
        <v>62</v>
      </c>
      <c r="K255" s="15">
        <v>182.4</v>
      </c>
      <c r="L255" s="15">
        <v>22272.73</v>
      </c>
      <c r="M255" s="16">
        <v>4062546</v>
      </c>
      <c r="N255" s="13" t="s">
        <v>30</v>
      </c>
      <c r="O255" s="13" t="s">
        <v>17</v>
      </c>
      <c r="P255" s="13" t="s">
        <v>18</v>
      </c>
      <c r="Q255" s="13" t="s">
        <v>18</v>
      </c>
      <c r="R255" s="13" t="s">
        <v>2115</v>
      </c>
      <c r="S255" s="13" t="s">
        <v>2137</v>
      </c>
      <c r="T255" s="13" t="s">
        <v>2138</v>
      </c>
      <c r="U255" s="13" t="s">
        <v>2139</v>
      </c>
      <c r="V255" s="13" t="s">
        <v>418</v>
      </c>
      <c r="W255" s="13">
        <f t="shared" si="8"/>
        <v>4</v>
      </c>
      <c r="X255" s="8">
        <f>K255*L255*N255</f>
        <v>406254.59520000004</v>
      </c>
    </row>
    <row r="256" spans="1:24" s="8" customFormat="1" ht="41.5" customHeight="1">
      <c r="A256" s="8" t="s">
        <v>2302</v>
      </c>
      <c r="B256" s="8" t="s">
        <v>2353</v>
      </c>
      <c r="C256" s="9">
        <v>45976.722162083301</v>
      </c>
      <c r="D256" s="8" t="s">
        <v>2056</v>
      </c>
      <c r="E256" s="8" t="s">
        <v>2057</v>
      </c>
      <c r="F256" s="8">
        <v>1</v>
      </c>
      <c r="G256" s="22" t="s">
        <v>159</v>
      </c>
      <c r="H256" s="8" t="s">
        <v>159</v>
      </c>
      <c r="I256" s="2" t="str">
        <f t="shared" si="7"/>
        <v>Hộp Inox 304</v>
      </c>
      <c r="J256" s="8" t="s">
        <v>62</v>
      </c>
      <c r="K256" s="10">
        <v>67</v>
      </c>
      <c r="L256" s="10">
        <v>57000</v>
      </c>
      <c r="M256" s="11">
        <v>3819000</v>
      </c>
      <c r="N256" s="8" t="s">
        <v>30</v>
      </c>
      <c r="O256" s="8" t="s">
        <v>17</v>
      </c>
      <c r="P256" s="8" t="s">
        <v>18</v>
      </c>
      <c r="Q256" s="8" t="s">
        <v>18</v>
      </c>
      <c r="R256" s="8" t="s">
        <v>2115</v>
      </c>
      <c r="S256" s="8" t="s">
        <v>2137</v>
      </c>
      <c r="T256" s="8" t="s">
        <v>2138</v>
      </c>
      <c r="U256" s="8" t="s">
        <v>2139</v>
      </c>
      <c r="V256" s="8" t="s">
        <v>422</v>
      </c>
      <c r="W256" s="8">
        <f t="shared" si="8"/>
        <v>4</v>
      </c>
      <c r="X256" s="8">
        <f>K256*L256*N256</f>
        <v>381900</v>
      </c>
    </row>
    <row r="257" spans="1:24" s="8" customFormat="1" ht="41.5" customHeight="1">
      <c r="A257" s="8" t="s">
        <v>2302</v>
      </c>
      <c r="B257" s="8" t="s">
        <v>2353</v>
      </c>
      <c r="C257" s="9">
        <v>45976.722162083301</v>
      </c>
      <c r="D257" s="8" t="s">
        <v>2056</v>
      </c>
      <c r="E257" s="8" t="s">
        <v>2057</v>
      </c>
      <c r="F257" s="8">
        <v>2</v>
      </c>
      <c r="G257" s="27" t="s">
        <v>2140</v>
      </c>
      <c r="H257" s="8" t="s">
        <v>68</v>
      </c>
      <c r="I257" s="2" t="str">
        <f t="shared" si="7"/>
        <v>Thép ống hộp</v>
      </c>
      <c r="J257" s="8" t="s">
        <v>62</v>
      </c>
      <c r="K257" s="10">
        <v>571.5</v>
      </c>
      <c r="L257" s="10">
        <v>16909.09</v>
      </c>
      <c r="M257" s="11">
        <v>9663545</v>
      </c>
      <c r="N257" s="8" t="s">
        <v>30</v>
      </c>
      <c r="O257" s="8" t="s">
        <v>17</v>
      </c>
      <c r="P257" s="8" t="s">
        <v>18</v>
      </c>
      <c r="Q257" s="8" t="s">
        <v>18</v>
      </c>
      <c r="R257" s="8" t="s">
        <v>2115</v>
      </c>
      <c r="S257" s="8" t="s">
        <v>2137</v>
      </c>
      <c r="T257" s="8" t="s">
        <v>2138</v>
      </c>
      <c r="U257" s="8" t="s">
        <v>2139</v>
      </c>
      <c r="V257" s="8" t="s">
        <v>422</v>
      </c>
      <c r="W257" s="8">
        <f t="shared" si="8"/>
        <v>4</v>
      </c>
      <c r="X257" s="8">
        <f>K257*L257*N257</f>
        <v>966354.4935000001</v>
      </c>
    </row>
    <row r="258" spans="1:24" s="8" customFormat="1" ht="41.5" customHeight="1">
      <c r="A258" s="8" t="s">
        <v>2302</v>
      </c>
      <c r="B258" s="8" t="s">
        <v>2353</v>
      </c>
      <c r="C258" s="9">
        <v>45976.722162083301</v>
      </c>
      <c r="D258" s="8" t="s">
        <v>2056</v>
      </c>
      <c r="E258" s="8" t="s">
        <v>2057</v>
      </c>
      <c r="F258" s="8">
        <v>3</v>
      </c>
      <c r="G258" s="22" t="s">
        <v>1346</v>
      </c>
      <c r="H258" s="8" t="s">
        <v>70</v>
      </c>
      <c r="I258" s="2" t="str">
        <f t="shared" si="7"/>
        <v>Tôn xốp</v>
      </c>
      <c r="J258" s="8" t="s">
        <v>71</v>
      </c>
      <c r="K258" s="10">
        <v>142</v>
      </c>
      <c r="L258" s="10">
        <v>122000</v>
      </c>
      <c r="M258" s="11">
        <v>17324000</v>
      </c>
      <c r="N258" s="8" t="s">
        <v>30</v>
      </c>
      <c r="O258" s="8" t="s">
        <v>17</v>
      </c>
      <c r="P258" s="8" t="s">
        <v>18</v>
      </c>
      <c r="Q258" s="8" t="s">
        <v>18</v>
      </c>
      <c r="R258" s="8" t="s">
        <v>2115</v>
      </c>
      <c r="S258" s="8" t="s">
        <v>2137</v>
      </c>
      <c r="T258" s="8" t="s">
        <v>2138</v>
      </c>
      <c r="U258" s="8" t="s">
        <v>2139</v>
      </c>
      <c r="V258" s="8" t="s">
        <v>422</v>
      </c>
      <c r="W258" s="8">
        <f t="shared" si="8"/>
        <v>4</v>
      </c>
      <c r="X258" s="8">
        <f>K258*L258*N258</f>
        <v>1732400</v>
      </c>
    </row>
    <row r="259" spans="1:24" s="13" customFormat="1" ht="41.5" customHeight="1">
      <c r="A259" s="8" t="s">
        <v>2302</v>
      </c>
      <c r="B259" s="13" t="s">
        <v>2353</v>
      </c>
      <c r="C259" s="14">
        <v>45976.722162083301</v>
      </c>
      <c r="D259" s="13" t="s">
        <v>2056</v>
      </c>
      <c r="E259" s="13" t="s">
        <v>2057</v>
      </c>
      <c r="F259" s="13">
        <v>4</v>
      </c>
      <c r="G259" s="28" t="s">
        <v>1363</v>
      </c>
      <c r="H259" s="13" t="s">
        <v>59</v>
      </c>
      <c r="I259" s="2" t="str">
        <f t="shared" si="7"/>
        <v>Tôn màu</v>
      </c>
      <c r="J259" s="13" t="s">
        <v>62</v>
      </c>
      <c r="K259" s="15">
        <v>618.5</v>
      </c>
      <c r="L259" s="15">
        <v>22272.73</v>
      </c>
      <c r="M259" s="16">
        <v>13775684</v>
      </c>
      <c r="N259" s="13" t="s">
        <v>30</v>
      </c>
      <c r="O259" s="13" t="s">
        <v>17</v>
      </c>
      <c r="P259" s="13" t="s">
        <v>18</v>
      </c>
      <c r="Q259" s="13" t="s">
        <v>18</v>
      </c>
      <c r="R259" s="13" t="s">
        <v>2115</v>
      </c>
      <c r="S259" s="13" t="s">
        <v>2137</v>
      </c>
      <c r="T259" s="13" t="s">
        <v>2138</v>
      </c>
      <c r="U259" s="13" t="s">
        <v>2139</v>
      </c>
      <c r="V259" s="13" t="s">
        <v>422</v>
      </c>
      <c r="W259" s="13">
        <f t="shared" si="8"/>
        <v>4</v>
      </c>
      <c r="X259" s="8">
        <f>K259*L259*N259</f>
        <v>1377568.3504999999</v>
      </c>
    </row>
    <row r="260" spans="1:24" s="8" customFormat="1" ht="41.5" customHeight="1">
      <c r="A260" s="8" t="s">
        <v>2302</v>
      </c>
      <c r="B260" s="8" t="s">
        <v>2354</v>
      </c>
      <c r="C260" s="9">
        <v>45973.668367685197</v>
      </c>
      <c r="D260" s="8" t="s">
        <v>2056</v>
      </c>
      <c r="E260" s="8" t="s">
        <v>2057</v>
      </c>
      <c r="F260" s="8">
        <v>1</v>
      </c>
      <c r="G260" s="22" t="s">
        <v>159</v>
      </c>
      <c r="H260" s="8" t="s">
        <v>159</v>
      </c>
      <c r="I260" s="2" t="str">
        <f t="shared" si="7"/>
        <v>Hộp Inox 304</v>
      </c>
      <c r="J260" s="8" t="s">
        <v>62</v>
      </c>
      <c r="K260" s="10">
        <v>117.8</v>
      </c>
      <c r="L260" s="10">
        <v>57000</v>
      </c>
      <c r="M260" s="11">
        <v>6714600</v>
      </c>
      <c r="N260" s="8" t="s">
        <v>30</v>
      </c>
      <c r="O260" s="8" t="s">
        <v>17</v>
      </c>
      <c r="P260" s="8" t="s">
        <v>18</v>
      </c>
      <c r="Q260" s="8" t="s">
        <v>18</v>
      </c>
      <c r="R260" s="8" t="s">
        <v>2115</v>
      </c>
      <c r="S260" s="8" t="s">
        <v>2137</v>
      </c>
      <c r="T260" s="8" t="s">
        <v>2138</v>
      </c>
      <c r="U260" s="8" t="s">
        <v>2139</v>
      </c>
      <c r="V260" s="8" t="s">
        <v>381</v>
      </c>
      <c r="W260" s="8">
        <f t="shared" si="8"/>
        <v>4</v>
      </c>
      <c r="X260" s="8">
        <f>K260*L260*N260</f>
        <v>671460</v>
      </c>
    </row>
    <row r="261" spans="1:24" s="8" customFormat="1" ht="41.5" customHeight="1">
      <c r="A261" s="8" t="s">
        <v>2302</v>
      </c>
      <c r="B261" s="8" t="s">
        <v>2354</v>
      </c>
      <c r="C261" s="9">
        <v>45973.668367685197</v>
      </c>
      <c r="D261" s="8" t="s">
        <v>2056</v>
      </c>
      <c r="E261" s="8" t="s">
        <v>2057</v>
      </c>
      <c r="F261" s="8">
        <v>2</v>
      </c>
      <c r="G261" s="27" t="s">
        <v>2140</v>
      </c>
      <c r="H261" s="8" t="s">
        <v>73</v>
      </c>
      <c r="I261" s="2" t="str">
        <f t="shared" si="7"/>
        <v>Thép ống hộp</v>
      </c>
      <c r="J261" s="8" t="s">
        <v>62</v>
      </c>
      <c r="K261" s="10">
        <v>54.84</v>
      </c>
      <c r="L261" s="10">
        <v>24909.09</v>
      </c>
      <c r="M261" s="11">
        <v>1366014</v>
      </c>
      <c r="N261" s="8" t="s">
        <v>30</v>
      </c>
      <c r="O261" s="8" t="s">
        <v>17</v>
      </c>
      <c r="P261" s="8" t="s">
        <v>18</v>
      </c>
      <c r="Q261" s="8" t="s">
        <v>18</v>
      </c>
      <c r="R261" s="8" t="s">
        <v>2115</v>
      </c>
      <c r="S261" s="8" t="s">
        <v>2137</v>
      </c>
      <c r="T261" s="8" t="s">
        <v>2138</v>
      </c>
      <c r="U261" s="8" t="s">
        <v>2139</v>
      </c>
      <c r="V261" s="8" t="s">
        <v>381</v>
      </c>
      <c r="W261" s="8">
        <f t="shared" si="8"/>
        <v>4</v>
      </c>
      <c r="X261" s="8">
        <f>K261*L261*N261</f>
        <v>136601.44956000001</v>
      </c>
    </row>
    <row r="262" spans="1:24" s="8" customFormat="1" ht="41.5" customHeight="1">
      <c r="A262" s="8" t="s">
        <v>2302</v>
      </c>
      <c r="B262" s="8" t="s">
        <v>2354</v>
      </c>
      <c r="C262" s="9">
        <v>45973.668367685197</v>
      </c>
      <c r="D262" s="8" t="s">
        <v>2056</v>
      </c>
      <c r="E262" s="8" t="s">
        <v>2057</v>
      </c>
      <c r="F262" s="8">
        <v>3</v>
      </c>
      <c r="G262" s="27" t="s">
        <v>2140</v>
      </c>
      <c r="H262" s="8" t="s">
        <v>75</v>
      </c>
      <c r="I262" s="2" t="str">
        <f t="shared" ref="I262:I325" si="9">G262</f>
        <v>Thép ống hộp</v>
      </c>
      <c r="J262" s="8" t="s">
        <v>62</v>
      </c>
      <c r="K262" s="10">
        <v>283.5</v>
      </c>
      <c r="L262" s="10">
        <v>16909.09</v>
      </c>
      <c r="M262" s="11">
        <v>4793727</v>
      </c>
      <c r="N262" s="8" t="s">
        <v>30</v>
      </c>
      <c r="O262" s="8" t="s">
        <v>17</v>
      </c>
      <c r="P262" s="8" t="s">
        <v>18</v>
      </c>
      <c r="Q262" s="8" t="s">
        <v>18</v>
      </c>
      <c r="R262" s="8" t="s">
        <v>2115</v>
      </c>
      <c r="S262" s="8" t="s">
        <v>2137</v>
      </c>
      <c r="T262" s="8" t="s">
        <v>2138</v>
      </c>
      <c r="U262" s="8" t="s">
        <v>2139</v>
      </c>
      <c r="V262" s="8" t="s">
        <v>381</v>
      </c>
      <c r="W262" s="8">
        <f t="shared" si="8"/>
        <v>4</v>
      </c>
      <c r="X262" s="8">
        <f>K262*L262*N262</f>
        <v>479372.70149999997</v>
      </c>
    </row>
    <row r="263" spans="1:24" s="8" customFormat="1" ht="41.5" customHeight="1">
      <c r="A263" s="8" t="s">
        <v>2302</v>
      </c>
      <c r="B263" s="8" t="s">
        <v>2354</v>
      </c>
      <c r="C263" s="9">
        <v>45973.668367685197</v>
      </c>
      <c r="D263" s="8" t="s">
        <v>2056</v>
      </c>
      <c r="E263" s="8" t="s">
        <v>2057</v>
      </c>
      <c r="F263" s="8">
        <v>4</v>
      </c>
      <c r="G263" s="27" t="s">
        <v>2140</v>
      </c>
      <c r="H263" s="8" t="s">
        <v>423</v>
      </c>
      <c r="I263" s="2" t="str">
        <f t="shared" si="9"/>
        <v>Thép ống hộp</v>
      </c>
      <c r="J263" s="8" t="s">
        <v>62</v>
      </c>
      <c r="K263" s="10">
        <v>90.5</v>
      </c>
      <c r="L263" s="10">
        <v>16909.09</v>
      </c>
      <c r="M263" s="11">
        <v>1530273</v>
      </c>
      <c r="N263" s="8" t="s">
        <v>30</v>
      </c>
      <c r="O263" s="8" t="s">
        <v>17</v>
      </c>
      <c r="P263" s="8" t="s">
        <v>18</v>
      </c>
      <c r="Q263" s="8" t="s">
        <v>18</v>
      </c>
      <c r="R263" s="8" t="s">
        <v>2115</v>
      </c>
      <c r="S263" s="8" t="s">
        <v>2137</v>
      </c>
      <c r="T263" s="8" t="s">
        <v>2138</v>
      </c>
      <c r="U263" s="8" t="s">
        <v>2139</v>
      </c>
      <c r="V263" s="8" t="s">
        <v>381</v>
      </c>
      <c r="W263" s="8">
        <f t="shared" si="8"/>
        <v>4</v>
      </c>
      <c r="X263" s="8">
        <f>K263*L263*N263</f>
        <v>153027.26450000002</v>
      </c>
    </row>
    <row r="264" spans="1:24" s="8" customFormat="1" ht="41.5" customHeight="1">
      <c r="A264" s="8" t="s">
        <v>2302</v>
      </c>
      <c r="B264" s="8" t="s">
        <v>2354</v>
      </c>
      <c r="C264" s="9">
        <v>45973.668367685197</v>
      </c>
      <c r="D264" s="8" t="s">
        <v>2056</v>
      </c>
      <c r="E264" s="8" t="s">
        <v>2057</v>
      </c>
      <c r="F264" s="8">
        <v>5</v>
      </c>
      <c r="G264" s="22" t="s">
        <v>1346</v>
      </c>
      <c r="H264" s="8" t="s">
        <v>413</v>
      </c>
      <c r="I264" s="2" t="str">
        <f t="shared" si="9"/>
        <v>Tôn xốp</v>
      </c>
      <c r="J264" s="8" t="s">
        <v>71</v>
      </c>
      <c r="K264" s="10">
        <v>156.1</v>
      </c>
      <c r="L264" s="10">
        <v>137000</v>
      </c>
      <c r="M264" s="11">
        <v>21385700</v>
      </c>
      <c r="N264" s="8" t="s">
        <v>30</v>
      </c>
      <c r="O264" s="8" t="s">
        <v>17</v>
      </c>
      <c r="P264" s="8" t="s">
        <v>18</v>
      </c>
      <c r="Q264" s="8" t="s">
        <v>18</v>
      </c>
      <c r="R264" s="8" t="s">
        <v>2115</v>
      </c>
      <c r="S264" s="8" t="s">
        <v>2137</v>
      </c>
      <c r="T264" s="8" t="s">
        <v>2138</v>
      </c>
      <c r="U264" s="8" t="s">
        <v>2139</v>
      </c>
      <c r="V264" s="8" t="s">
        <v>381</v>
      </c>
      <c r="W264" s="8">
        <f t="shared" si="8"/>
        <v>4</v>
      </c>
      <c r="X264" s="8">
        <f>K264*L264*N264</f>
        <v>2138570</v>
      </c>
    </row>
    <row r="265" spans="1:24" s="8" customFormat="1" ht="41.5" customHeight="1">
      <c r="A265" s="8" t="s">
        <v>2302</v>
      </c>
      <c r="B265" s="8" t="s">
        <v>2355</v>
      </c>
      <c r="C265" s="9">
        <v>45968.678722638899</v>
      </c>
      <c r="D265" s="8" t="s">
        <v>2056</v>
      </c>
      <c r="E265" s="8" t="s">
        <v>2057</v>
      </c>
      <c r="F265" s="8">
        <v>1</v>
      </c>
      <c r="G265" s="27" t="s">
        <v>2140</v>
      </c>
      <c r="H265" s="8" t="s">
        <v>424</v>
      </c>
      <c r="I265" s="2" t="str">
        <f t="shared" si="9"/>
        <v>Thép ống hộp</v>
      </c>
      <c r="J265" s="8" t="s">
        <v>62</v>
      </c>
      <c r="K265" s="10">
        <v>1751.98</v>
      </c>
      <c r="L265" s="10">
        <v>16090.91</v>
      </c>
      <c r="M265" s="11">
        <v>28190953</v>
      </c>
      <c r="N265" s="8" t="s">
        <v>30</v>
      </c>
      <c r="O265" s="8" t="s">
        <v>17</v>
      </c>
      <c r="P265" s="8" t="s">
        <v>18</v>
      </c>
      <c r="Q265" s="8" t="s">
        <v>18</v>
      </c>
      <c r="R265" s="8" t="s">
        <v>2115</v>
      </c>
      <c r="S265" s="8" t="s">
        <v>2137</v>
      </c>
      <c r="T265" s="8" t="s">
        <v>2138</v>
      </c>
      <c r="U265" s="8" t="s">
        <v>2139</v>
      </c>
      <c r="V265" s="8" t="s">
        <v>425</v>
      </c>
      <c r="W265" s="8">
        <f t="shared" si="8"/>
        <v>4</v>
      </c>
      <c r="X265" s="8">
        <f>K265*L265*N265</f>
        <v>2819095.2501800004</v>
      </c>
    </row>
    <row r="266" spans="1:24" s="8" customFormat="1" ht="41.5" customHeight="1">
      <c r="A266" s="8" t="s">
        <v>2302</v>
      </c>
      <c r="B266" s="8" t="s">
        <v>2355</v>
      </c>
      <c r="C266" s="9">
        <v>45968.678722638899</v>
      </c>
      <c r="D266" s="8" t="s">
        <v>2056</v>
      </c>
      <c r="E266" s="8" t="s">
        <v>2057</v>
      </c>
      <c r="F266" s="8">
        <v>2</v>
      </c>
      <c r="G266" s="27" t="s">
        <v>2140</v>
      </c>
      <c r="H266" s="8" t="s">
        <v>426</v>
      </c>
      <c r="I266" s="2" t="str">
        <f t="shared" si="9"/>
        <v>Thép ống hộp</v>
      </c>
      <c r="J266" s="8" t="s">
        <v>62</v>
      </c>
      <c r="K266" s="10">
        <v>740.7</v>
      </c>
      <c r="L266" s="10">
        <v>16090.91</v>
      </c>
      <c r="M266" s="11">
        <v>11918537</v>
      </c>
      <c r="N266" s="8" t="s">
        <v>30</v>
      </c>
      <c r="O266" s="8" t="s">
        <v>17</v>
      </c>
      <c r="P266" s="8" t="s">
        <v>18</v>
      </c>
      <c r="Q266" s="8" t="s">
        <v>18</v>
      </c>
      <c r="R266" s="8" t="s">
        <v>2115</v>
      </c>
      <c r="S266" s="8" t="s">
        <v>2137</v>
      </c>
      <c r="T266" s="8" t="s">
        <v>2138</v>
      </c>
      <c r="U266" s="8" t="s">
        <v>2139</v>
      </c>
      <c r="V266" s="8" t="s">
        <v>425</v>
      </c>
      <c r="W266" s="8">
        <f t="shared" si="8"/>
        <v>4</v>
      </c>
      <c r="X266" s="8">
        <f>K266*L266*N266</f>
        <v>1191853.7037000002</v>
      </c>
    </row>
    <row r="267" spans="1:24" s="8" customFormat="1" ht="41.5" customHeight="1">
      <c r="A267" s="8" t="s">
        <v>2302</v>
      </c>
      <c r="B267" s="8" t="s">
        <v>2355</v>
      </c>
      <c r="C267" s="9">
        <v>45968.678722638899</v>
      </c>
      <c r="D267" s="8" t="s">
        <v>2056</v>
      </c>
      <c r="E267" s="8" t="s">
        <v>2057</v>
      </c>
      <c r="F267" s="8">
        <v>3</v>
      </c>
      <c r="G267" s="22" t="s">
        <v>1346</v>
      </c>
      <c r="H267" s="8" t="s">
        <v>70</v>
      </c>
      <c r="I267" s="2" t="str">
        <f t="shared" si="9"/>
        <v>Tôn xốp</v>
      </c>
      <c r="J267" s="8" t="s">
        <v>71</v>
      </c>
      <c r="K267" s="10">
        <v>41</v>
      </c>
      <c r="L267" s="10">
        <v>126181.82</v>
      </c>
      <c r="M267" s="11">
        <v>5173455</v>
      </c>
      <c r="N267" s="8" t="s">
        <v>30</v>
      </c>
      <c r="O267" s="8" t="s">
        <v>17</v>
      </c>
      <c r="P267" s="8" t="s">
        <v>18</v>
      </c>
      <c r="Q267" s="8" t="s">
        <v>18</v>
      </c>
      <c r="R267" s="8" t="s">
        <v>2115</v>
      </c>
      <c r="S267" s="8" t="s">
        <v>2137</v>
      </c>
      <c r="T267" s="8" t="s">
        <v>2138</v>
      </c>
      <c r="U267" s="8" t="s">
        <v>2139</v>
      </c>
      <c r="V267" s="8" t="s">
        <v>425</v>
      </c>
      <c r="W267" s="8">
        <f t="shared" si="8"/>
        <v>4</v>
      </c>
      <c r="X267" s="8">
        <f>K267*L267*N267</f>
        <v>517345.46200000006</v>
      </c>
    </row>
    <row r="268" spans="1:24" s="8" customFormat="1" ht="41.5" customHeight="1">
      <c r="A268" s="8" t="s">
        <v>2302</v>
      </c>
      <c r="B268" s="8" t="s">
        <v>2356</v>
      </c>
      <c r="C268" s="9">
        <v>45967.705131157403</v>
      </c>
      <c r="D268" s="8" t="s">
        <v>2056</v>
      </c>
      <c r="E268" s="8" t="s">
        <v>2057</v>
      </c>
      <c r="F268" s="8">
        <v>1</v>
      </c>
      <c r="G268" s="22" t="s">
        <v>420</v>
      </c>
      <c r="H268" s="8" t="s">
        <v>420</v>
      </c>
      <c r="I268" s="2" t="str">
        <f t="shared" si="9"/>
        <v>Thép hình U100</v>
      </c>
      <c r="J268" s="8" t="s">
        <v>62</v>
      </c>
      <c r="K268" s="10">
        <v>1222</v>
      </c>
      <c r="L268" s="10">
        <v>15090.91</v>
      </c>
      <c r="M268" s="11">
        <v>18441092</v>
      </c>
      <c r="N268" s="8" t="s">
        <v>30</v>
      </c>
      <c r="O268" s="8" t="s">
        <v>17</v>
      </c>
      <c r="P268" s="8" t="s">
        <v>18</v>
      </c>
      <c r="Q268" s="8" t="s">
        <v>18</v>
      </c>
      <c r="R268" s="8" t="s">
        <v>2115</v>
      </c>
      <c r="S268" s="8" t="s">
        <v>2137</v>
      </c>
      <c r="T268" s="8" t="s">
        <v>2138</v>
      </c>
      <c r="U268" s="8" t="s">
        <v>2139</v>
      </c>
      <c r="V268" s="8" t="s">
        <v>427</v>
      </c>
      <c r="W268" s="8">
        <f t="shared" si="8"/>
        <v>4</v>
      </c>
      <c r="X268" s="8">
        <f>K268*L268*N268</f>
        <v>1844109.202</v>
      </c>
    </row>
    <row r="269" spans="1:24" s="8" customFormat="1" ht="41.5" customHeight="1">
      <c r="A269" s="8" t="s">
        <v>2302</v>
      </c>
      <c r="B269" s="8" t="s">
        <v>2356</v>
      </c>
      <c r="C269" s="9">
        <v>45967.705131157403</v>
      </c>
      <c r="D269" s="8" t="s">
        <v>2056</v>
      </c>
      <c r="E269" s="8" t="s">
        <v>2057</v>
      </c>
      <c r="F269" s="8">
        <v>2</v>
      </c>
      <c r="G269" s="27" t="s">
        <v>2140</v>
      </c>
      <c r="H269" s="8" t="s">
        <v>428</v>
      </c>
      <c r="I269" s="2" t="str">
        <f t="shared" si="9"/>
        <v>Thép ống hộp</v>
      </c>
      <c r="J269" s="8" t="s">
        <v>62</v>
      </c>
      <c r="K269" s="10">
        <v>73.56</v>
      </c>
      <c r="L269" s="10">
        <v>16909.09</v>
      </c>
      <c r="M269" s="11">
        <v>1243833</v>
      </c>
      <c r="N269" s="8" t="s">
        <v>30</v>
      </c>
      <c r="O269" s="8" t="s">
        <v>17</v>
      </c>
      <c r="P269" s="8" t="s">
        <v>18</v>
      </c>
      <c r="Q269" s="8" t="s">
        <v>18</v>
      </c>
      <c r="R269" s="8" t="s">
        <v>2115</v>
      </c>
      <c r="S269" s="8" t="s">
        <v>2137</v>
      </c>
      <c r="T269" s="8" t="s">
        <v>2138</v>
      </c>
      <c r="U269" s="8" t="s">
        <v>2139</v>
      </c>
      <c r="V269" s="8" t="s">
        <v>427</v>
      </c>
      <c r="W269" s="8">
        <f t="shared" si="8"/>
        <v>4</v>
      </c>
      <c r="X269" s="8">
        <f>K269*L269*N269</f>
        <v>124383.26604</v>
      </c>
    </row>
    <row r="270" spans="1:24" s="13" customFormat="1" ht="41.5" customHeight="1">
      <c r="A270" s="8" t="s">
        <v>2302</v>
      </c>
      <c r="B270" s="13" t="s">
        <v>2356</v>
      </c>
      <c r="C270" s="14">
        <v>45967.705131157403</v>
      </c>
      <c r="D270" s="13" t="s">
        <v>2056</v>
      </c>
      <c r="E270" s="13" t="s">
        <v>2057</v>
      </c>
      <c r="F270" s="13">
        <v>3</v>
      </c>
      <c r="G270" s="28" t="s">
        <v>1363</v>
      </c>
      <c r="H270" s="13" t="s">
        <v>429</v>
      </c>
      <c r="I270" s="2" t="str">
        <f t="shared" si="9"/>
        <v>Tôn màu</v>
      </c>
      <c r="J270" s="13" t="s">
        <v>71</v>
      </c>
      <c r="K270" s="15">
        <v>90.1</v>
      </c>
      <c r="L270" s="15">
        <v>67272.73</v>
      </c>
      <c r="M270" s="16">
        <v>6061273</v>
      </c>
      <c r="N270" s="13" t="s">
        <v>30</v>
      </c>
      <c r="O270" s="13" t="s">
        <v>17</v>
      </c>
      <c r="P270" s="13" t="s">
        <v>18</v>
      </c>
      <c r="Q270" s="13" t="s">
        <v>18</v>
      </c>
      <c r="R270" s="13" t="s">
        <v>2115</v>
      </c>
      <c r="S270" s="13" t="s">
        <v>2137</v>
      </c>
      <c r="T270" s="13" t="s">
        <v>2138</v>
      </c>
      <c r="U270" s="13" t="s">
        <v>2139</v>
      </c>
      <c r="V270" s="13" t="s">
        <v>427</v>
      </c>
      <c r="W270" s="13">
        <f t="shared" si="8"/>
        <v>4</v>
      </c>
      <c r="X270" s="8">
        <f>K270*L270*N270</f>
        <v>606127.29729999998</v>
      </c>
    </row>
    <row r="271" spans="1:24" s="8" customFormat="1" ht="41.5" customHeight="1">
      <c r="A271" s="8" t="s">
        <v>2302</v>
      </c>
      <c r="B271" s="8" t="s">
        <v>2357</v>
      </c>
      <c r="C271" s="9">
        <v>45962.749224490697</v>
      </c>
      <c r="D271" s="8" t="s">
        <v>2056</v>
      </c>
      <c r="E271" s="8" t="s">
        <v>2057</v>
      </c>
      <c r="F271" s="8">
        <v>1</v>
      </c>
      <c r="G271" s="22" t="s">
        <v>1346</v>
      </c>
      <c r="H271" s="8" t="s">
        <v>430</v>
      </c>
      <c r="I271" s="2" t="str">
        <f t="shared" si="9"/>
        <v>Tôn xốp</v>
      </c>
      <c r="J271" s="8" t="s">
        <v>71</v>
      </c>
      <c r="K271" s="10">
        <v>101</v>
      </c>
      <c r="L271" s="10">
        <v>115454.55</v>
      </c>
      <c r="M271" s="11">
        <v>11660910</v>
      </c>
      <c r="N271" s="8" t="s">
        <v>30</v>
      </c>
      <c r="O271" s="8" t="s">
        <v>17</v>
      </c>
      <c r="P271" s="8" t="s">
        <v>18</v>
      </c>
      <c r="Q271" s="8" t="s">
        <v>18</v>
      </c>
      <c r="R271" s="8" t="s">
        <v>2115</v>
      </c>
      <c r="S271" s="8" t="s">
        <v>2137</v>
      </c>
      <c r="T271" s="8" t="s">
        <v>2138</v>
      </c>
      <c r="U271" s="8" t="s">
        <v>2139</v>
      </c>
      <c r="V271" s="8" t="s">
        <v>431</v>
      </c>
      <c r="W271" s="8">
        <f t="shared" si="8"/>
        <v>4</v>
      </c>
      <c r="X271" s="8">
        <f>K271*L271*N271</f>
        <v>1166090.9550000001</v>
      </c>
    </row>
    <row r="272" spans="1:24" s="8" customFormat="1" ht="41.5" customHeight="1">
      <c r="A272" s="8" t="s">
        <v>2302</v>
      </c>
      <c r="B272" s="8" t="s">
        <v>2357</v>
      </c>
      <c r="C272" s="9">
        <v>45962.749224490697</v>
      </c>
      <c r="D272" s="8" t="s">
        <v>2056</v>
      </c>
      <c r="E272" s="8" t="s">
        <v>2057</v>
      </c>
      <c r="F272" s="8">
        <v>2</v>
      </c>
      <c r="G272" s="22" t="s">
        <v>159</v>
      </c>
      <c r="H272" s="8" t="s">
        <v>159</v>
      </c>
      <c r="I272" s="2" t="str">
        <f t="shared" si="9"/>
        <v>Hộp Inox 304</v>
      </c>
      <c r="J272" s="8" t="s">
        <v>62</v>
      </c>
      <c r="K272" s="10">
        <v>188.7</v>
      </c>
      <c r="L272" s="10">
        <v>57000</v>
      </c>
      <c r="M272" s="11">
        <v>10755900</v>
      </c>
      <c r="N272" s="8" t="s">
        <v>30</v>
      </c>
      <c r="O272" s="8" t="s">
        <v>17</v>
      </c>
      <c r="P272" s="8" t="s">
        <v>18</v>
      </c>
      <c r="Q272" s="8" t="s">
        <v>18</v>
      </c>
      <c r="R272" s="8" t="s">
        <v>2115</v>
      </c>
      <c r="S272" s="8" t="s">
        <v>2137</v>
      </c>
      <c r="T272" s="8" t="s">
        <v>2138</v>
      </c>
      <c r="U272" s="8" t="s">
        <v>2139</v>
      </c>
      <c r="V272" s="8" t="s">
        <v>431</v>
      </c>
      <c r="W272" s="8">
        <f t="shared" si="8"/>
        <v>4</v>
      </c>
      <c r="X272" s="8">
        <f>K272*L272*N272</f>
        <v>1075590</v>
      </c>
    </row>
    <row r="273" spans="1:24" s="13" customFormat="1" ht="41.5" customHeight="1">
      <c r="A273" s="8" t="s">
        <v>2302</v>
      </c>
      <c r="B273" s="13" t="s">
        <v>2357</v>
      </c>
      <c r="C273" s="14">
        <v>45962.749224490697</v>
      </c>
      <c r="D273" s="13" t="s">
        <v>2056</v>
      </c>
      <c r="E273" s="13" t="s">
        <v>2057</v>
      </c>
      <c r="F273" s="13">
        <v>3</v>
      </c>
      <c r="G273" s="28" t="s">
        <v>1363</v>
      </c>
      <c r="H273" s="13" t="s">
        <v>72</v>
      </c>
      <c r="I273" s="2" t="str">
        <f t="shared" si="9"/>
        <v>Tôn màu</v>
      </c>
      <c r="J273" s="13" t="s">
        <v>71</v>
      </c>
      <c r="K273" s="15">
        <v>133.19999999999999</v>
      </c>
      <c r="L273" s="15">
        <v>79000</v>
      </c>
      <c r="M273" s="16">
        <v>10522800</v>
      </c>
      <c r="N273" s="13" t="s">
        <v>30</v>
      </c>
      <c r="O273" s="13" t="s">
        <v>17</v>
      </c>
      <c r="P273" s="13" t="s">
        <v>18</v>
      </c>
      <c r="Q273" s="13" t="s">
        <v>18</v>
      </c>
      <c r="R273" s="13" t="s">
        <v>2115</v>
      </c>
      <c r="S273" s="13" t="s">
        <v>2137</v>
      </c>
      <c r="T273" s="13" t="s">
        <v>2138</v>
      </c>
      <c r="U273" s="13" t="s">
        <v>2139</v>
      </c>
      <c r="V273" s="13" t="s">
        <v>431</v>
      </c>
      <c r="W273" s="13">
        <f t="shared" si="8"/>
        <v>4</v>
      </c>
      <c r="X273" s="8">
        <f>K273*L273*N273</f>
        <v>1052280</v>
      </c>
    </row>
    <row r="274" spans="1:24" s="8" customFormat="1" ht="41.5" customHeight="1">
      <c r="A274" s="8" t="s">
        <v>2309</v>
      </c>
      <c r="B274" s="8" t="s">
        <v>2358</v>
      </c>
      <c r="C274" s="9">
        <v>45985.678171747699</v>
      </c>
      <c r="D274" s="8" t="s">
        <v>2056</v>
      </c>
      <c r="E274" s="8" t="s">
        <v>2057</v>
      </c>
      <c r="F274" s="8">
        <v>1</v>
      </c>
      <c r="G274" s="22" t="s">
        <v>2160</v>
      </c>
      <c r="H274" s="8" t="s">
        <v>432</v>
      </c>
      <c r="I274" s="2" t="str">
        <f t="shared" si="9"/>
        <v>Ván ép phủ phim 2 mặt Kt 2440x1220*15 mm</v>
      </c>
      <c r="J274" s="8" t="s">
        <v>114</v>
      </c>
      <c r="K274" s="10">
        <v>417</v>
      </c>
      <c r="L274" s="10">
        <v>298000</v>
      </c>
      <c r="M274" s="11">
        <v>124266000</v>
      </c>
      <c r="N274" s="8" t="s">
        <v>16</v>
      </c>
      <c r="O274" s="8" t="s">
        <v>17</v>
      </c>
      <c r="P274" s="8" t="s">
        <v>18</v>
      </c>
      <c r="Q274" s="8" t="s">
        <v>18</v>
      </c>
      <c r="R274" s="8" t="s">
        <v>2115</v>
      </c>
      <c r="S274" s="8" t="s">
        <v>2142</v>
      </c>
      <c r="T274" s="8" t="s">
        <v>2143</v>
      </c>
      <c r="U274" s="8" t="s">
        <v>2144</v>
      </c>
      <c r="V274" s="8" t="s">
        <v>418</v>
      </c>
      <c r="W274" s="8">
        <f t="shared" si="8"/>
        <v>4</v>
      </c>
      <c r="X274" s="8">
        <f>K274*L274*N274</f>
        <v>9941280</v>
      </c>
    </row>
    <row r="275" spans="1:24" s="8" customFormat="1" ht="41.5" customHeight="1">
      <c r="A275" s="8" t="s">
        <v>2280</v>
      </c>
      <c r="B275" s="8" t="s">
        <v>2359</v>
      </c>
      <c r="C275" s="9">
        <v>45984.489229803199</v>
      </c>
      <c r="D275" s="8" t="s">
        <v>2056</v>
      </c>
      <c r="E275" s="8" t="s">
        <v>2057</v>
      </c>
      <c r="F275" s="8">
        <v>1</v>
      </c>
      <c r="G275" s="22" t="s">
        <v>2214</v>
      </c>
      <c r="H275" s="8" t="s">
        <v>433</v>
      </c>
      <c r="I275" s="2" t="str">
        <f t="shared" si="9"/>
        <v>Máy trộn bê tông + mô to điện 6 (023.019.04)</v>
      </c>
      <c r="J275" s="8" t="s">
        <v>15</v>
      </c>
      <c r="K275" s="10">
        <v>1</v>
      </c>
      <c r="L275" s="10">
        <v>6111111</v>
      </c>
      <c r="M275" s="11">
        <v>6111111</v>
      </c>
      <c r="N275" s="8" t="s">
        <v>16</v>
      </c>
      <c r="O275" s="8" t="s">
        <v>17</v>
      </c>
      <c r="P275" s="8" t="s">
        <v>18</v>
      </c>
      <c r="Q275" s="8" t="s">
        <v>18</v>
      </c>
      <c r="R275" s="8" t="s">
        <v>2110</v>
      </c>
      <c r="S275" s="8" t="s">
        <v>2205</v>
      </c>
      <c r="T275" s="8" t="s">
        <v>2206</v>
      </c>
      <c r="U275" s="8" t="s">
        <v>2207</v>
      </c>
      <c r="V275" s="8" t="s">
        <v>434</v>
      </c>
      <c r="W275" s="8">
        <f t="shared" si="8"/>
        <v>4</v>
      </c>
      <c r="X275" s="8">
        <f>K275*L275*N275</f>
        <v>488888.88</v>
      </c>
    </row>
    <row r="276" spans="1:24" s="8" customFormat="1" ht="41.5" customHeight="1">
      <c r="A276" s="8" t="s">
        <v>2280</v>
      </c>
      <c r="B276" s="8" t="s">
        <v>2359</v>
      </c>
      <c r="C276" s="9">
        <v>45984.489229803199</v>
      </c>
      <c r="D276" s="8" t="s">
        <v>2056</v>
      </c>
      <c r="E276" s="8" t="s">
        <v>2057</v>
      </c>
      <c r="F276" s="8">
        <v>2</v>
      </c>
      <c r="G276" s="22" t="s">
        <v>435</v>
      </c>
      <c r="H276" s="8" t="s">
        <v>435</v>
      </c>
      <c r="I276" s="2" t="str">
        <f t="shared" si="9"/>
        <v>Máy phát điện (9700T)</v>
      </c>
      <c r="J276" s="8" t="s">
        <v>15</v>
      </c>
      <c r="K276" s="10">
        <v>1</v>
      </c>
      <c r="L276" s="10">
        <v>3425925</v>
      </c>
      <c r="M276" s="11">
        <v>3425925</v>
      </c>
      <c r="N276" s="8" t="s">
        <v>16</v>
      </c>
      <c r="O276" s="8" t="s">
        <v>17</v>
      </c>
      <c r="P276" s="8" t="s">
        <v>18</v>
      </c>
      <c r="Q276" s="8" t="s">
        <v>18</v>
      </c>
      <c r="R276" s="8" t="s">
        <v>2110</v>
      </c>
      <c r="S276" s="8" t="s">
        <v>2205</v>
      </c>
      <c r="T276" s="8" t="s">
        <v>2206</v>
      </c>
      <c r="U276" s="8" t="s">
        <v>2207</v>
      </c>
      <c r="V276" s="8" t="s">
        <v>434</v>
      </c>
      <c r="W276" s="8">
        <f t="shared" si="8"/>
        <v>4</v>
      </c>
      <c r="X276" s="8">
        <f>K276*L276*N276</f>
        <v>274074</v>
      </c>
    </row>
    <row r="277" spans="1:24" s="8" customFormat="1" ht="41.5" customHeight="1">
      <c r="A277" s="8" t="s">
        <v>2280</v>
      </c>
      <c r="B277" s="8" t="s">
        <v>2359</v>
      </c>
      <c r="C277" s="9">
        <v>45984.489229803199</v>
      </c>
      <c r="D277" s="8" t="s">
        <v>2056</v>
      </c>
      <c r="E277" s="8" t="s">
        <v>2057</v>
      </c>
      <c r="F277" s="8">
        <v>3</v>
      </c>
      <c r="G277" s="22" t="s">
        <v>436</v>
      </c>
      <c r="H277" s="8" t="s">
        <v>436</v>
      </c>
      <c r="I277" s="2" t="str">
        <f t="shared" si="9"/>
        <v>Động cơ nổ 4.0Hp cc Robin EH12 (DCNEH12)</v>
      </c>
      <c r="J277" s="8" t="s">
        <v>15</v>
      </c>
      <c r="K277" s="10">
        <v>2</v>
      </c>
      <c r="L277" s="10">
        <v>7222222</v>
      </c>
      <c r="M277" s="11">
        <v>14444444</v>
      </c>
      <c r="N277" s="8" t="s">
        <v>16</v>
      </c>
      <c r="O277" s="8" t="s">
        <v>17</v>
      </c>
      <c r="P277" s="8" t="s">
        <v>18</v>
      </c>
      <c r="Q277" s="8" t="s">
        <v>18</v>
      </c>
      <c r="R277" s="8" t="s">
        <v>2110</v>
      </c>
      <c r="S277" s="8" t="s">
        <v>2205</v>
      </c>
      <c r="T277" s="8" t="s">
        <v>2206</v>
      </c>
      <c r="U277" s="8" t="s">
        <v>2207</v>
      </c>
      <c r="V277" s="8" t="s">
        <v>434</v>
      </c>
      <c r="W277" s="8">
        <f t="shared" si="8"/>
        <v>4</v>
      </c>
      <c r="X277" s="8">
        <f>K277*L277*N277</f>
        <v>1155555.52</v>
      </c>
    </row>
    <row r="278" spans="1:24" s="8" customFormat="1" ht="41.5" customHeight="1">
      <c r="A278" s="8" t="s">
        <v>2280</v>
      </c>
      <c r="B278" s="8" t="s">
        <v>2359</v>
      </c>
      <c r="C278" s="9">
        <v>45984.489229803199</v>
      </c>
      <c r="D278" s="8" t="s">
        <v>2056</v>
      </c>
      <c r="E278" s="8" t="s">
        <v>2057</v>
      </c>
      <c r="F278" s="8">
        <v>4</v>
      </c>
      <c r="G278" s="22" t="s">
        <v>1542</v>
      </c>
      <c r="H278" s="8" t="s">
        <v>437</v>
      </c>
      <c r="I278" s="2" t="str">
        <f t="shared" si="9"/>
        <v>19729-2 - Chổi than CB-218/GA7060 (197129-2)</v>
      </c>
      <c r="J278" s="8" t="s">
        <v>15</v>
      </c>
      <c r="K278" s="10">
        <v>10</v>
      </c>
      <c r="L278" s="10">
        <v>78704</v>
      </c>
      <c r="M278" s="11">
        <v>787040</v>
      </c>
      <c r="N278" s="8" t="s">
        <v>16</v>
      </c>
      <c r="O278" s="8" t="s">
        <v>17</v>
      </c>
      <c r="P278" s="8" t="s">
        <v>18</v>
      </c>
      <c r="Q278" s="8" t="s">
        <v>18</v>
      </c>
      <c r="R278" s="8" t="s">
        <v>2110</v>
      </c>
      <c r="S278" s="8" t="s">
        <v>2205</v>
      </c>
      <c r="T278" s="8" t="s">
        <v>2206</v>
      </c>
      <c r="U278" s="8" t="s">
        <v>2207</v>
      </c>
      <c r="V278" s="8" t="s">
        <v>434</v>
      </c>
      <c r="W278" s="8">
        <f t="shared" si="8"/>
        <v>4</v>
      </c>
      <c r="X278" s="8">
        <f>K278*L278*N278</f>
        <v>62963.200000000004</v>
      </c>
    </row>
    <row r="279" spans="1:24" s="8" customFormat="1" ht="41.5" customHeight="1">
      <c r="A279" s="8" t="s">
        <v>2280</v>
      </c>
      <c r="B279" s="8" t="s">
        <v>2359</v>
      </c>
      <c r="C279" s="9">
        <v>45984.489229803199</v>
      </c>
      <c r="D279" s="8" t="s">
        <v>2056</v>
      </c>
      <c r="E279" s="8" t="s">
        <v>2057</v>
      </c>
      <c r="F279" s="8">
        <v>5</v>
      </c>
      <c r="G279" s="22" t="s">
        <v>1481</v>
      </c>
      <c r="H279" s="8" t="s">
        <v>438</v>
      </c>
      <c r="I279" s="2" t="str">
        <f t="shared" si="9"/>
        <v>Máy khoan 6413 (6413)</v>
      </c>
      <c r="J279" s="8" t="s">
        <v>15</v>
      </c>
      <c r="K279" s="10">
        <v>1</v>
      </c>
      <c r="L279" s="10">
        <v>1051850</v>
      </c>
      <c r="M279" s="11">
        <v>1051850</v>
      </c>
      <c r="N279" s="8" t="s">
        <v>16</v>
      </c>
      <c r="O279" s="8" t="s">
        <v>17</v>
      </c>
      <c r="P279" s="8" t="s">
        <v>18</v>
      </c>
      <c r="Q279" s="8" t="s">
        <v>18</v>
      </c>
      <c r="R279" s="8" t="s">
        <v>2110</v>
      </c>
      <c r="S279" s="8" t="s">
        <v>2205</v>
      </c>
      <c r="T279" s="8" t="s">
        <v>2206</v>
      </c>
      <c r="U279" s="8" t="s">
        <v>2207</v>
      </c>
      <c r="V279" s="8" t="s">
        <v>434</v>
      </c>
      <c r="W279" s="8">
        <f t="shared" si="8"/>
        <v>4</v>
      </c>
      <c r="X279" s="8">
        <f>K279*L279*N279</f>
        <v>84148</v>
      </c>
    </row>
    <row r="280" spans="1:24" s="8" customFormat="1" ht="41.5" customHeight="1">
      <c r="A280" s="8" t="s">
        <v>2312</v>
      </c>
      <c r="B280" s="8" t="s">
        <v>2360</v>
      </c>
      <c r="C280" s="9">
        <v>45962.461918460598</v>
      </c>
      <c r="D280" s="8" t="s">
        <v>2208</v>
      </c>
      <c r="E280" s="8" t="s">
        <v>2057</v>
      </c>
      <c r="F280" s="8">
        <v>1</v>
      </c>
      <c r="G280" s="2">
        <v>642</v>
      </c>
      <c r="H280" s="8" t="s">
        <v>162</v>
      </c>
      <c r="I280" s="2">
        <f t="shared" si="9"/>
        <v>642</v>
      </c>
      <c r="J280" s="8" t="s">
        <v>27</v>
      </c>
      <c r="K280" s="10">
        <v>49.975000000000001</v>
      </c>
      <c r="L280" s="10">
        <v>18527.78</v>
      </c>
      <c r="M280" s="11">
        <v>925926</v>
      </c>
      <c r="N280" s="8" t="s">
        <v>16</v>
      </c>
      <c r="O280" s="8" t="s">
        <v>17</v>
      </c>
      <c r="P280" s="8" t="s">
        <v>18</v>
      </c>
      <c r="Q280" s="8" t="s">
        <v>18</v>
      </c>
      <c r="R280" s="8" t="s">
        <v>2110</v>
      </c>
      <c r="S280" s="8" t="s">
        <v>2209</v>
      </c>
      <c r="T280" s="8" t="s">
        <v>2210</v>
      </c>
      <c r="U280" s="8" t="s">
        <v>2242</v>
      </c>
      <c r="V280" s="8" t="s">
        <v>431</v>
      </c>
      <c r="W280" s="8">
        <f t="shared" si="8"/>
        <v>4</v>
      </c>
      <c r="X280" s="8">
        <f>K280*L280*N280</f>
        <v>74074.064440000002</v>
      </c>
    </row>
    <row r="281" spans="1:24" s="8" customFormat="1" ht="41.5" customHeight="1">
      <c r="A281" s="8" t="s">
        <v>2361</v>
      </c>
      <c r="B281" s="8" t="s">
        <v>2362</v>
      </c>
      <c r="C281" s="9">
        <v>45982.423416527803</v>
      </c>
      <c r="D281" s="8" t="s">
        <v>2056</v>
      </c>
      <c r="E281" s="8" t="s">
        <v>2057</v>
      </c>
      <c r="F281" s="8">
        <v>1</v>
      </c>
      <c r="G281" s="22" t="s">
        <v>79</v>
      </c>
      <c r="H281" s="8" t="s">
        <v>79</v>
      </c>
      <c r="I281" s="2" t="str">
        <f t="shared" si="9"/>
        <v>Khẩu trang 3M 9001</v>
      </c>
      <c r="J281" s="8" t="s">
        <v>15</v>
      </c>
      <c r="K281" s="10">
        <v>1000</v>
      </c>
      <c r="L281" s="10">
        <v>7500</v>
      </c>
      <c r="M281" s="11">
        <v>7500000</v>
      </c>
      <c r="N281" s="8" t="s">
        <v>16</v>
      </c>
      <c r="O281" s="8" t="s">
        <v>17</v>
      </c>
      <c r="P281" s="8" t="s">
        <v>18</v>
      </c>
      <c r="Q281" s="8" t="s">
        <v>18</v>
      </c>
      <c r="R281" s="8" t="s">
        <v>2115</v>
      </c>
      <c r="S281" s="8" t="s">
        <v>2149</v>
      </c>
      <c r="T281" s="8" t="s">
        <v>2150</v>
      </c>
      <c r="U281" s="8" t="s">
        <v>2151</v>
      </c>
      <c r="V281" s="8" t="s">
        <v>398</v>
      </c>
      <c r="W281" s="8">
        <f t="shared" si="8"/>
        <v>4</v>
      </c>
      <c r="X281" s="8">
        <f>K281*L281*N281</f>
        <v>600000</v>
      </c>
    </row>
    <row r="282" spans="1:24" s="8" customFormat="1" ht="41.5" customHeight="1">
      <c r="A282" s="8" t="s">
        <v>2361</v>
      </c>
      <c r="B282" s="8" t="s">
        <v>2363</v>
      </c>
      <c r="C282" s="9">
        <v>45982.422719803202</v>
      </c>
      <c r="D282" s="8" t="s">
        <v>2056</v>
      </c>
      <c r="E282" s="8" t="s">
        <v>2057</v>
      </c>
      <c r="F282" s="8">
        <v>1</v>
      </c>
      <c r="G282" s="22" t="s">
        <v>2215</v>
      </c>
      <c r="H282" s="8" t="s">
        <v>439</v>
      </c>
      <c r="I282" s="2" t="str">
        <f t="shared" si="9"/>
        <v>Quần áo bảo hộ Excia T5-200 SW-LAO, size L</v>
      </c>
      <c r="J282" s="8" t="s">
        <v>53</v>
      </c>
      <c r="K282" s="10">
        <v>50</v>
      </c>
      <c r="L282" s="10">
        <v>70000</v>
      </c>
      <c r="M282" s="11">
        <v>3500000</v>
      </c>
      <c r="N282" s="8" t="s">
        <v>16</v>
      </c>
      <c r="O282" s="8" t="s">
        <v>17</v>
      </c>
      <c r="P282" s="8" t="s">
        <v>18</v>
      </c>
      <c r="Q282" s="8" t="s">
        <v>18</v>
      </c>
      <c r="R282" s="8" t="s">
        <v>2115</v>
      </c>
      <c r="S282" s="8" t="s">
        <v>2149</v>
      </c>
      <c r="T282" s="8" t="s">
        <v>2150</v>
      </c>
      <c r="U282" s="8" t="s">
        <v>2151</v>
      </c>
      <c r="V282" s="8" t="s">
        <v>398</v>
      </c>
      <c r="W282" s="8">
        <f t="shared" si="8"/>
        <v>4</v>
      </c>
      <c r="X282" s="8">
        <f>K282*L282*N282</f>
        <v>280000</v>
      </c>
    </row>
    <row r="283" spans="1:24" s="8" customFormat="1" ht="41.5" customHeight="1">
      <c r="A283" s="8" t="s">
        <v>2361</v>
      </c>
      <c r="B283" s="8" t="s">
        <v>2364</v>
      </c>
      <c r="C283" s="9">
        <v>45974.688838055597</v>
      </c>
      <c r="D283" s="8" t="s">
        <v>2056</v>
      </c>
      <c r="E283" s="8" t="s">
        <v>2057</v>
      </c>
      <c r="F283" s="8">
        <v>1</v>
      </c>
      <c r="G283" s="22" t="s">
        <v>79</v>
      </c>
      <c r="H283" s="8" t="s">
        <v>79</v>
      </c>
      <c r="I283" s="2" t="str">
        <f t="shared" si="9"/>
        <v>Khẩu trang 3M 9001</v>
      </c>
      <c r="J283" s="8" t="s">
        <v>15</v>
      </c>
      <c r="K283" s="10">
        <v>500</v>
      </c>
      <c r="L283" s="10">
        <v>7500</v>
      </c>
      <c r="M283" s="11">
        <v>3750000</v>
      </c>
      <c r="N283" s="8" t="s">
        <v>16</v>
      </c>
      <c r="O283" s="8" t="s">
        <v>17</v>
      </c>
      <c r="P283" s="8" t="s">
        <v>18</v>
      </c>
      <c r="Q283" s="8" t="s">
        <v>18</v>
      </c>
      <c r="R283" s="8" t="s">
        <v>2115</v>
      </c>
      <c r="S283" s="8" t="s">
        <v>2149</v>
      </c>
      <c r="T283" s="8" t="s">
        <v>2150</v>
      </c>
      <c r="U283" s="8" t="s">
        <v>2151</v>
      </c>
      <c r="V283" s="8" t="s">
        <v>440</v>
      </c>
      <c r="W283" s="8">
        <f t="shared" si="8"/>
        <v>4</v>
      </c>
      <c r="X283" s="8">
        <f>K283*L283*N283</f>
        <v>300000</v>
      </c>
    </row>
    <row r="284" spans="1:24" s="8" customFormat="1" ht="41.5" customHeight="1">
      <c r="A284" s="8" t="s">
        <v>2361</v>
      </c>
      <c r="B284" s="8" t="s">
        <v>2364</v>
      </c>
      <c r="C284" s="9">
        <v>45974.688838055597</v>
      </c>
      <c r="D284" s="8" t="s">
        <v>2056</v>
      </c>
      <c r="E284" s="8" t="s">
        <v>2057</v>
      </c>
      <c r="F284" s="8">
        <v>2</v>
      </c>
      <c r="G284" s="22" t="s">
        <v>2215</v>
      </c>
      <c r="H284" s="8" t="s">
        <v>439</v>
      </c>
      <c r="I284" s="2" t="str">
        <f t="shared" si="9"/>
        <v>Quần áo bảo hộ Excia T5-200 SW-LAO, size L</v>
      </c>
      <c r="J284" s="8" t="s">
        <v>53</v>
      </c>
      <c r="K284" s="10">
        <v>20</v>
      </c>
      <c r="L284" s="10">
        <v>69000</v>
      </c>
      <c r="M284" s="11">
        <v>1380000</v>
      </c>
      <c r="N284" s="8" t="s">
        <v>16</v>
      </c>
      <c r="O284" s="8" t="s">
        <v>17</v>
      </c>
      <c r="P284" s="8" t="s">
        <v>18</v>
      </c>
      <c r="Q284" s="8" t="s">
        <v>18</v>
      </c>
      <c r="R284" s="8" t="s">
        <v>2115</v>
      </c>
      <c r="S284" s="8" t="s">
        <v>2149</v>
      </c>
      <c r="T284" s="8" t="s">
        <v>2150</v>
      </c>
      <c r="U284" s="8" t="s">
        <v>2151</v>
      </c>
      <c r="V284" s="8" t="s">
        <v>440</v>
      </c>
      <c r="W284" s="8">
        <f t="shared" si="8"/>
        <v>4</v>
      </c>
      <c r="X284" s="8">
        <f>K284*L284*N284</f>
        <v>110400</v>
      </c>
    </row>
    <row r="285" spans="1:24" s="8" customFormat="1" ht="41.5" customHeight="1">
      <c r="A285" s="8" t="s">
        <v>2321</v>
      </c>
      <c r="B285" s="8" t="s">
        <v>2365</v>
      </c>
      <c r="C285" s="9">
        <v>45989.657670381901</v>
      </c>
      <c r="D285" s="8" t="s">
        <v>2056</v>
      </c>
      <c r="E285" s="8" t="s">
        <v>2057</v>
      </c>
      <c r="F285" s="8">
        <v>1</v>
      </c>
      <c r="G285" s="2"/>
      <c r="H285" s="8" t="s">
        <v>80</v>
      </c>
      <c r="I285" s="2">
        <f t="shared" si="9"/>
        <v>0</v>
      </c>
      <c r="J285" s="8" t="s">
        <v>81</v>
      </c>
      <c r="K285" s="10">
        <v>60</v>
      </c>
      <c r="L285" s="10">
        <v>600000</v>
      </c>
      <c r="M285" s="11">
        <v>36000000</v>
      </c>
      <c r="N285" s="8" t="s">
        <v>16</v>
      </c>
      <c r="O285" s="8" t="s">
        <v>17</v>
      </c>
      <c r="P285" s="8" t="s">
        <v>18</v>
      </c>
      <c r="Q285" s="8" t="s">
        <v>18</v>
      </c>
      <c r="R285" s="8" t="s">
        <v>2115</v>
      </c>
      <c r="S285" s="8" t="s">
        <v>2152</v>
      </c>
      <c r="T285" s="8" t="s">
        <v>2153</v>
      </c>
      <c r="U285" s="8" t="s">
        <v>2154</v>
      </c>
      <c r="V285" s="8" t="s">
        <v>394</v>
      </c>
      <c r="W285" s="8">
        <f t="shared" si="8"/>
        <v>4</v>
      </c>
      <c r="X285" s="8">
        <f>K285*L285*N285</f>
        <v>2880000</v>
      </c>
    </row>
    <row r="286" spans="1:24" s="8" customFormat="1" ht="41.5" customHeight="1">
      <c r="A286" s="8" t="s">
        <v>2321</v>
      </c>
      <c r="B286" s="8" t="s">
        <v>2365</v>
      </c>
      <c r="C286" s="9">
        <v>45989.657670381901</v>
      </c>
      <c r="D286" s="8" t="s">
        <v>2056</v>
      </c>
      <c r="E286" s="8" t="s">
        <v>2057</v>
      </c>
      <c r="F286" s="8">
        <v>2</v>
      </c>
      <c r="G286" s="22" t="s">
        <v>441</v>
      </c>
      <c r="H286" s="8" t="s">
        <v>441</v>
      </c>
      <c r="I286" s="2" t="str">
        <f t="shared" si="9"/>
        <v>Súng bắn keo Ramset G5 Pro GC</v>
      </c>
      <c r="J286" s="8" t="s">
        <v>247</v>
      </c>
      <c r="K286" s="10">
        <v>3</v>
      </c>
      <c r="L286" s="10">
        <v>400000</v>
      </c>
      <c r="M286" s="11">
        <v>1200000</v>
      </c>
      <c r="N286" s="8" t="s">
        <v>16</v>
      </c>
      <c r="O286" s="8" t="s">
        <v>17</v>
      </c>
      <c r="P286" s="8" t="s">
        <v>18</v>
      </c>
      <c r="Q286" s="8" t="s">
        <v>18</v>
      </c>
      <c r="R286" s="8" t="s">
        <v>2115</v>
      </c>
      <c r="S286" s="8" t="s">
        <v>2152</v>
      </c>
      <c r="T286" s="8" t="s">
        <v>2153</v>
      </c>
      <c r="U286" s="8" t="s">
        <v>2154</v>
      </c>
      <c r="V286" s="8" t="s">
        <v>394</v>
      </c>
      <c r="W286" s="8">
        <f t="shared" si="8"/>
        <v>4</v>
      </c>
      <c r="X286" s="8">
        <f>K286*L286*N286</f>
        <v>96000</v>
      </c>
    </row>
    <row r="287" spans="1:24" s="8" customFormat="1" ht="41.5" customHeight="1">
      <c r="A287" s="8" t="s">
        <v>2366</v>
      </c>
      <c r="B287" s="8" t="s">
        <v>442</v>
      </c>
      <c r="C287" s="9">
        <v>45965.763598761601</v>
      </c>
      <c r="D287" s="8" t="s">
        <v>2056</v>
      </c>
      <c r="E287" s="8" t="s">
        <v>2057</v>
      </c>
      <c r="F287" s="8">
        <v>1</v>
      </c>
      <c r="G287" s="22" t="s">
        <v>820</v>
      </c>
      <c r="H287" s="8" t="s">
        <v>141</v>
      </c>
      <c r="I287" s="2" t="str">
        <f t="shared" si="9"/>
        <v>Tyren D16</v>
      </c>
      <c r="J287" s="8" t="s">
        <v>47</v>
      </c>
      <c r="K287" s="10">
        <v>3000</v>
      </c>
      <c r="L287" s="10">
        <v>19700</v>
      </c>
      <c r="M287" s="11">
        <v>59100000</v>
      </c>
      <c r="N287" s="8" t="s">
        <v>30</v>
      </c>
      <c r="O287" s="8" t="s">
        <v>17</v>
      </c>
      <c r="P287" s="8" t="s">
        <v>18</v>
      </c>
      <c r="Q287" s="8" t="s">
        <v>18</v>
      </c>
      <c r="R287" s="8" t="s">
        <v>2244</v>
      </c>
      <c r="S287" s="8" t="s">
        <v>2245</v>
      </c>
      <c r="T287" s="8" t="s">
        <v>2246</v>
      </c>
      <c r="U287" s="8" t="s">
        <v>2367</v>
      </c>
      <c r="V287" s="8" t="s">
        <v>443</v>
      </c>
      <c r="W287" s="8">
        <f t="shared" si="8"/>
        <v>4</v>
      </c>
      <c r="X287" s="8">
        <f>K287*L287*N287</f>
        <v>5910000</v>
      </c>
    </row>
    <row r="288" spans="1:24" s="8" customFormat="1" ht="41.5" customHeight="1">
      <c r="A288" s="8" t="s">
        <v>2328</v>
      </c>
      <c r="B288" s="8" t="s">
        <v>166</v>
      </c>
      <c r="C288" s="9">
        <v>45989.6850359491</v>
      </c>
      <c r="D288" s="8" t="s">
        <v>2056</v>
      </c>
      <c r="E288" s="8" t="s">
        <v>2057</v>
      </c>
      <c r="F288" s="8">
        <v>1</v>
      </c>
      <c r="G288" s="22" t="s">
        <v>444</v>
      </c>
      <c r="H288" s="8" t="s">
        <v>444</v>
      </c>
      <c r="I288" s="2" t="str">
        <f t="shared" si="9"/>
        <v>Cáp chằng hàng 3T10M</v>
      </c>
      <c r="J288" s="8" t="s">
        <v>15</v>
      </c>
      <c r="K288" s="10">
        <v>36</v>
      </c>
      <c r="L288" s="10">
        <v>115000</v>
      </c>
      <c r="M288" s="11">
        <v>4140000</v>
      </c>
      <c r="N288" s="8" t="s">
        <v>16</v>
      </c>
      <c r="O288" s="8" t="s">
        <v>17</v>
      </c>
      <c r="P288" s="8" t="s">
        <v>18</v>
      </c>
      <c r="Q288" s="8" t="s">
        <v>18</v>
      </c>
      <c r="R288" s="8" t="s">
        <v>2115</v>
      </c>
      <c r="S288" s="8" t="s">
        <v>2248</v>
      </c>
      <c r="T288" s="8" t="s">
        <v>2249</v>
      </c>
      <c r="U288" s="8" t="s">
        <v>2250</v>
      </c>
      <c r="V288" s="8" t="s">
        <v>394</v>
      </c>
      <c r="W288" s="8">
        <f t="shared" si="8"/>
        <v>4</v>
      </c>
      <c r="X288" s="8">
        <f>K288*L288*N288</f>
        <v>331200</v>
      </c>
    </row>
    <row r="289" spans="1:24" s="8" customFormat="1" ht="41.5" customHeight="1">
      <c r="A289" s="8" t="s">
        <v>2328</v>
      </c>
      <c r="B289" s="8" t="s">
        <v>166</v>
      </c>
      <c r="C289" s="9">
        <v>45989.6850359491</v>
      </c>
      <c r="D289" s="8" t="s">
        <v>2056</v>
      </c>
      <c r="E289" s="8" t="s">
        <v>2057</v>
      </c>
      <c r="F289" s="8">
        <v>2</v>
      </c>
      <c r="G289" s="22" t="s">
        <v>445</v>
      </c>
      <c r="H289" s="8" t="s">
        <v>445</v>
      </c>
      <c r="I289" s="2" t="str">
        <f t="shared" si="9"/>
        <v>Cáp vải 5T8M</v>
      </c>
      <c r="J289" s="8" t="s">
        <v>15</v>
      </c>
      <c r="K289" s="10">
        <v>4</v>
      </c>
      <c r="L289" s="10">
        <v>330000</v>
      </c>
      <c r="M289" s="11">
        <v>1320000</v>
      </c>
      <c r="N289" s="8" t="s">
        <v>16</v>
      </c>
      <c r="O289" s="8" t="s">
        <v>17</v>
      </c>
      <c r="P289" s="8" t="s">
        <v>18</v>
      </c>
      <c r="Q289" s="8" t="s">
        <v>18</v>
      </c>
      <c r="R289" s="8" t="s">
        <v>2115</v>
      </c>
      <c r="S289" s="8" t="s">
        <v>2248</v>
      </c>
      <c r="T289" s="8" t="s">
        <v>2249</v>
      </c>
      <c r="U289" s="8" t="s">
        <v>2250</v>
      </c>
      <c r="V289" s="8" t="s">
        <v>394</v>
      </c>
      <c r="W289" s="8">
        <f t="shared" si="8"/>
        <v>4</v>
      </c>
      <c r="X289" s="8">
        <f>K289*L289*N289</f>
        <v>105600</v>
      </c>
    </row>
    <row r="290" spans="1:24" s="8" customFormat="1" ht="41.5" customHeight="1">
      <c r="A290" s="8" t="s">
        <v>2328</v>
      </c>
      <c r="B290" s="8" t="s">
        <v>166</v>
      </c>
      <c r="C290" s="9">
        <v>45989.6850359491</v>
      </c>
      <c r="D290" s="8" t="s">
        <v>2056</v>
      </c>
      <c r="E290" s="8" t="s">
        <v>2057</v>
      </c>
      <c r="F290" s="8">
        <v>3</v>
      </c>
      <c r="G290" s="22" t="s">
        <v>446</v>
      </c>
      <c r="H290" s="8" t="s">
        <v>446</v>
      </c>
      <c r="I290" s="2" t="str">
        <f t="shared" si="9"/>
        <v>Cáp vải 5T6M</v>
      </c>
      <c r="J290" s="8" t="s">
        <v>15</v>
      </c>
      <c r="K290" s="10">
        <v>6</v>
      </c>
      <c r="L290" s="10">
        <v>235000</v>
      </c>
      <c r="M290" s="11">
        <v>1410000</v>
      </c>
      <c r="N290" s="8" t="s">
        <v>16</v>
      </c>
      <c r="O290" s="8" t="s">
        <v>17</v>
      </c>
      <c r="P290" s="8" t="s">
        <v>18</v>
      </c>
      <c r="Q290" s="8" t="s">
        <v>18</v>
      </c>
      <c r="R290" s="8" t="s">
        <v>2115</v>
      </c>
      <c r="S290" s="8" t="s">
        <v>2248</v>
      </c>
      <c r="T290" s="8" t="s">
        <v>2249</v>
      </c>
      <c r="U290" s="8" t="s">
        <v>2250</v>
      </c>
      <c r="V290" s="8" t="s">
        <v>394</v>
      </c>
      <c r="W290" s="8">
        <f t="shared" si="8"/>
        <v>4</v>
      </c>
      <c r="X290" s="8">
        <f>K290*L290*N290</f>
        <v>112800</v>
      </c>
    </row>
    <row r="291" spans="1:24" s="8" customFormat="1" ht="41.5" customHeight="1">
      <c r="A291" s="8" t="s">
        <v>2328</v>
      </c>
      <c r="B291" s="8" t="s">
        <v>166</v>
      </c>
      <c r="C291" s="9">
        <v>45989.6850359491</v>
      </c>
      <c r="D291" s="8" t="s">
        <v>2056</v>
      </c>
      <c r="E291" s="8" t="s">
        <v>2057</v>
      </c>
      <c r="F291" s="8">
        <v>4</v>
      </c>
      <c r="G291" s="22" t="s">
        <v>447</v>
      </c>
      <c r="H291" s="8" t="s">
        <v>447</v>
      </c>
      <c r="I291" s="2" t="str">
        <f t="shared" si="9"/>
        <v>Dây an toàn toàn thân 1 móc</v>
      </c>
      <c r="J291" s="8" t="s">
        <v>15</v>
      </c>
      <c r="K291" s="10">
        <v>20</v>
      </c>
      <c r="L291" s="10">
        <v>95000</v>
      </c>
      <c r="M291" s="11">
        <v>1900000</v>
      </c>
      <c r="N291" s="8" t="s">
        <v>16</v>
      </c>
      <c r="O291" s="8" t="s">
        <v>17</v>
      </c>
      <c r="P291" s="8" t="s">
        <v>18</v>
      </c>
      <c r="Q291" s="8" t="s">
        <v>18</v>
      </c>
      <c r="R291" s="8" t="s">
        <v>2115</v>
      </c>
      <c r="S291" s="8" t="s">
        <v>2248</v>
      </c>
      <c r="T291" s="8" t="s">
        <v>2249</v>
      </c>
      <c r="U291" s="8" t="s">
        <v>2250</v>
      </c>
      <c r="V291" s="8" t="s">
        <v>394</v>
      </c>
      <c r="W291" s="8">
        <f t="shared" si="8"/>
        <v>4</v>
      </c>
      <c r="X291" s="8">
        <f>K291*L291*N291</f>
        <v>152000</v>
      </c>
    </row>
    <row r="292" spans="1:24" s="8" customFormat="1" ht="41.5" customHeight="1">
      <c r="A292" s="8" t="s">
        <v>2328</v>
      </c>
      <c r="B292" s="8" t="s">
        <v>166</v>
      </c>
      <c r="C292" s="9">
        <v>45989.6850359491</v>
      </c>
      <c r="D292" s="8" t="s">
        <v>2056</v>
      </c>
      <c r="E292" s="8" t="s">
        <v>2057</v>
      </c>
      <c r="F292" s="8">
        <v>5</v>
      </c>
      <c r="G292" s="22" t="s">
        <v>448</v>
      </c>
      <c r="H292" s="8" t="s">
        <v>448</v>
      </c>
      <c r="I292" s="2" t="str">
        <f t="shared" si="9"/>
        <v>Dây an toàn toàn thân 2 móc</v>
      </c>
      <c r="J292" s="8" t="s">
        <v>15</v>
      </c>
      <c r="K292" s="10">
        <v>20</v>
      </c>
      <c r="L292" s="10">
        <v>135000</v>
      </c>
      <c r="M292" s="11">
        <v>2700000</v>
      </c>
      <c r="N292" s="8" t="s">
        <v>16</v>
      </c>
      <c r="O292" s="8" t="s">
        <v>17</v>
      </c>
      <c r="P292" s="8" t="s">
        <v>18</v>
      </c>
      <c r="Q292" s="8" t="s">
        <v>18</v>
      </c>
      <c r="R292" s="8" t="s">
        <v>2115</v>
      </c>
      <c r="S292" s="8" t="s">
        <v>2248</v>
      </c>
      <c r="T292" s="8" t="s">
        <v>2249</v>
      </c>
      <c r="U292" s="8" t="s">
        <v>2250</v>
      </c>
      <c r="V292" s="8" t="s">
        <v>394</v>
      </c>
      <c r="W292" s="8">
        <f t="shared" si="8"/>
        <v>4</v>
      </c>
      <c r="X292" s="8">
        <f>K292*L292*N292</f>
        <v>216000</v>
      </c>
    </row>
    <row r="293" spans="1:24" s="8" customFormat="1" ht="41.5" customHeight="1">
      <c r="A293" s="8" t="s">
        <v>2328</v>
      </c>
      <c r="B293" s="8" t="s">
        <v>166</v>
      </c>
      <c r="C293" s="9">
        <v>45989.6850359491</v>
      </c>
      <c r="D293" s="8" t="s">
        <v>2056</v>
      </c>
      <c r="E293" s="8" t="s">
        <v>2057</v>
      </c>
      <c r="F293" s="8">
        <v>6</v>
      </c>
      <c r="G293" s="22" t="s">
        <v>792</v>
      </c>
      <c r="H293" s="8" t="s">
        <v>204</v>
      </c>
      <c r="I293" s="2" t="str">
        <f t="shared" si="9"/>
        <v>Nilon</v>
      </c>
      <c r="J293" s="8" t="s">
        <v>35</v>
      </c>
      <c r="K293" s="10">
        <v>584.29999999999995</v>
      </c>
      <c r="L293" s="10">
        <v>14500</v>
      </c>
      <c r="M293" s="11">
        <v>8472350</v>
      </c>
      <c r="N293" s="8" t="s">
        <v>16</v>
      </c>
      <c r="O293" s="8" t="s">
        <v>17</v>
      </c>
      <c r="P293" s="8" t="s">
        <v>18</v>
      </c>
      <c r="Q293" s="8" t="s">
        <v>18</v>
      </c>
      <c r="R293" s="8" t="s">
        <v>2115</v>
      </c>
      <c r="S293" s="8" t="s">
        <v>2248</v>
      </c>
      <c r="T293" s="8" t="s">
        <v>2249</v>
      </c>
      <c r="U293" s="8" t="s">
        <v>2250</v>
      </c>
      <c r="V293" s="8" t="s">
        <v>394</v>
      </c>
      <c r="W293" s="8">
        <f t="shared" si="8"/>
        <v>4</v>
      </c>
      <c r="X293" s="8">
        <f>K293*L293*N293</f>
        <v>677788</v>
      </c>
    </row>
    <row r="294" spans="1:24" s="8" customFormat="1" ht="41.5" customHeight="1">
      <c r="A294" s="8" t="s">
        <v>2328</v>
      </c>
      <c r="B294" s="8" t="s">
        <v>166</v>
      </c>
      <c r="C294" s="9">
        <v>45989.6850359491</v>
      </c>
      <c r="D294" s="8" t="s">
        <v>2056</v>
      </c>
      <c r="E294" s="8" t="s">
        <v>2057</v>
      </c>
      <c r="F294" s="8">
        <v>7</v>
      </c>
      <c r="G294" s="22" t="s">
        <v>167</v>
      </c>
      <c r="H294" s="8" t="s">
        <v>167</v>
      </c>
      <c r="I294" s="2" t="str">
        <f t="shared" si="9"/>
        <v>Bạt xanh cam</v>
      </c>
      <c r="J294" s="8" t="s">
        <v>127</v>
      </c>
      <c r="K294" s="10">
        <v>10</v>
      </c>
      <c r="L294" s="10">
        <v>770000</v>
      </c>
      <c r="M294" s="11">
        <v>7700000</v>
      </c>
      <c r="N294" s="8" t="s">
        <v>16</v>
      </c>
      <c r="O294" s="8" t="s">
        <v>17</v>
      </c>
      <c r="P294" s="8" t="s">
        <v>18</v>
      </c>
      <c r="Q294" s="8" t="s">
        <v>18</v>
      </c>
      <c r="R294" s="8" t="s">
        <v>2115</v>
      </c>
      <c r="S294" s="8" t="s">
        <v>2248</v>
      </c>
      <c r="T294" s="8" t="s">
        <v>2249</v>
      </c>
      <c r="U294" s="8" t="s">
        <v>2250</v>
      </c>
      <c r="V294" s="8" t="s">
        <v>394</v>
      </c>
      <c r="W294" s="8">
        <f t="shared" ref="W294:W357" si="10">ROUNDUP(MONTH(V294)/3,0)</f>
        <v>4</v>
      </c>
      <c r="X294" s="8">
        <f>K294*L294*N294</f>
        <v>616000</v>
      </c>
    </row>
    <row r="295" spans="1:24" s="8" customFormat="1" ht="41.5" customHeight="1">
      <c r="A295" s="8" t="s">
        <v>2368</v>
      </c>
      <c r="B295" s="8" t="s">
        <v>2235</v>
      </c>
      <c r="C295" s="9">
        <v>45967.690051736099</v>
      </c>
      <c r="D295" s="8" t="s">
        <v>2056</v>
      </c>
      <c r="E295" s="8" t="s">
        <v>2057</v>
      </c>
      <c r="F295" s="8">
        <v>1</v>
      </c>
      <c r="G295" s="22" t="s">
        <v>2221</v>
      </c>
      <c r="H295" s="8" t="s">
        <v>449</v>
      </c>
      <c r="I295" s="2" t="str">
        <f t="shared" si="9"/>
        <v>Máy khoan pin hiệu BENTEC, model BT21-13B</v>
      </c>
      <c r="J295" s="8" t="s">
        <v>15</v>
      </c>
      <c r="K295" s="10">
        <v>1</v>
      </c>
      <c r="L295" s="10">
        <v>861000</v>
      </c>
      <c r="M295" s="11">
        <v>861000</v>
      </c>
      <c r="N295" s="8" t="s">
        <v>16</v>
      </c>
      <c r="O295" s="8" t="s">
        <v>17</v>
      </c>
      <c r="P295" s="8" t="s">
        <v>18</v>
      </c>
      <c r="Q295" s="8" t="s">
        <v>18</v>
      </c>
      <c r="R295" s="8" t="s">
        <v>2110</v>
      </c>
      <c r="S295" s="8" t="s">
        <v>2369</v>
      </c>
      <c r="T295" s="8" t="s">
        <v>2370</v>
      </c>
      <c r="U295" s="8" t="s">
        <v>2371</v>
      </c>
      <c r="V295" s="8" t="s">
        <v>427</v>
      </c>
      <c r="W295" s="8">
        <f t="shared" si="10"/>
        <v>4</v>
      </c>
      <c r="X295" s="8">
        <f>K295*L295*N295</f>
        <v>68880</v>
      </c>
    </row>
    <row r="296" spans="1:24" s="8" customFormat="1" ht="41.5" customHeight="1">
      <c r="A296" s="8" t="s">
        <v>2368</v>
      </c>
      <c r="B296" s="8" t="s">
        <v>2235</v>
      </c>
      <c r="C296" s="9">
        <v>45967.690051736099</v>
      </c>
      <c r="D296" s="8" t="s">
        <v>2056</v>
      </c>
      <c r="E296" s="8" t="s">
        <v>2057</v>
      </c>
      <c r="F296" s="8">
        <v>2</v>
      </c>
      <c r="G296" s="22" t="s">
        <v>2222</v>
      </c>
      <c r="H296" s="8" t="s">
        <v>450</v>
      </c>
      <c r="I296" s="2" t="str">
        <f t="shared" si="9"/>
        <v>Máy khoan vít hiệu BENTEC, model BT21-10A</v>
      </c>
      <c r="J296" s="8" t="s">
        <v>15</v>
      </c>
      <c r="K296" s="10">
        <v>1</v>
      </c>
      <c r="L296" s="10">
        <v>560000</v>
      </c>
      <c r="M296" s="11">
        <v>560000</v>
      </c>
      <c r="N296" s="8" t="s">
        <v>16</v>
      </c>
      <c r="O296" s="8" t="s">
        <v>17</v>
      </c>
      <c r="P296" s="8" t="s">
        <v>18</v>
      </c>
      <c r="Q296" s="8" t="s">
        <v>18</v>
      </c>
      <c r="R296" s="8" t="s">
        <v>2110</v>
      </c>
      <c r="S296" s="8" t="s">
        <v>2369</v>
      </c>
      <c r="T296" s="8" t="s">
        <v>2370</v>
      </c>
      <c r="U296" s="8" t="s">
        <v>2371</v>
      </c>
      <c r="V296" s="8" t="s">
        <v>427</v>
      </c>
      <c r="W296" s="8">
        <f t="shared" si="10"/>
        <v>4</v>
      </c>
      <c r="X296" s="8">
        <f>K296*L296*N296</f>
        <v>44800</v>
      </c>
    </row>
    <row r="297" spans="1:24" s="8" customFormat="1" ht="41.5" customHeight="1">
      <c r="A297" s="8" t="s">
        <v>2281</v>
      </c>
      <c r="B297" s="8" t="s">
        <v>2372</v>
      </c>
      <c r="C297" s="9">
        <v>45968.617539328698</v>
      </c>
      <c r="D297" s="8" t="s">
        <v>2056</v>
      </c>
      <c r="E297" s="8" t="s">
        <v>2057</v>
      </c>
      <c r="F297" s="8">
        <v>1</v>
      </c>
      <c r="G297" s="22" t="s">
        <v>1817</v>
      </c>
      <c r="H297" s="8" t="s">
        <v>451</v>
      </c>
      <c r="I297" s="2" t="str">
        <f t="shared" si="9"/>
        <v>Máy khoan  cầm tay Kynko KD28</v>
      </c>
      <c r="J297" s="8" t="s">
        <v>15</v>
      </c>
      <c r="K297" s="10">
        <v>1</v>
      </c>
      <c r="L297" s="10">
        <v>625000</v>
      </c>
      <c r="M297" s="11">
        <v>625000</v>
      </c>
      <c r="N297" s="8" t="s">
        <v>16</v>
      </c>
      <c r="O297" s="8" t="s">
        <v>17</v>
      </c>
      <c r="P297" s="8" t="s">
        <v>18</v>
      </c>
      <c r="Q297" s="8" t="s">
        <v>18</v>
      </c>
      <c r="R297" s="8" t="s">
        <v>2115</v>
      </c>
      <c r="S297" s="8" t="s">
        <v>2373</v>
      </c>
      <c r="T297" s="8" t="s">
        <v>2374</v>
      </c>
      <c r="U297" s="8" t="s">
        <v>2375</v>
      </c>
      <c r="V297" s="8" t="s">
        <v>425</v>
      </c>
      <c r="W297" s="8">
        <f t="shared" si="10"/>
        <v>4</v>
      </c>
      <c r="X297" s="8">
        <f>K297*L297*N297</f>
        <v>50000</v>
      </c>
    </row>
    <row r="298" spans="1:24" s="8" customFormat="1" ht="41.5" customHeight="1">
      <c r="A298" s="8" t="s">
        <v>2281</v>
      </c>
      <c r="B298" s="8" t="s">
        <v>2372</v>
      </c>
      <c r="C298" s="9">
        <v>45968.617539328698</v>
      </c>
      <c r="D298" s="8" t="s">
        <v>2056</v>
      </c>
      <c r="E298" s="8" t="s">
        <v>2057</v>
      </c>
      <c r="F298" s="8">
        <v>2</v>
      </c>
      <c r="G298" s="22" t="s">
        <v>2223</v>
      </c>
      <c r="H298" s="8" t="s">
        <v>452</v>
      </c>
      <c r="I298" s="2" t="str">
        <f t="shared" si="9"/>
        <v>Máy đục phá bê tông Kynko Z1G-KD23-60</v>
      </c>
      <c r="J298" s="8" t="s">
        <v>15</v>
      </c>
      <c r="K298" s="10">
        <v>1</v>
      </c>
      <c r="L298" s="10">
        <v>792000</v>
      </c>
      <c r="M298" s="11">
        <v>792000</v>
      </c>
      <c r="N298" s="8" t="s">
        <v>16</v>
      </c>
      <c r="O298" s="8" t="s">
        <v>17</v>
      </c>
      <c r="P298" s="8" t="s">
        <v>18</v>
      </c>
      <c r="Q298" s="8" t="s">
        <v>18</v>
      </c>
      <c r="R298" s="8" t="s">
        <v>2115</v>
      </c>
      <c r="S298" s="8" t="s">
        <v>2373</v>
      </c>
      <c r="T298" s="8" t="s">
        <v>2374</v>
      </c>
      <c r="U298" s="8" t="s">
        <v>2375</v>
      </c>
      <c r="V298" s="8" t="s">
        <v>425</v>
      </c>
      <c r="W298" s="8">
        <f t="shared" si="10"/>
        <v>4</v>
      </c>
      <c r="X298" s="8">
        <f>K298*L298*N298</f>
        <v>63360</v>
      </c>
    </row>
    <row r="299" spans="1:24" s="8" customFormat="1" ht="41.5" customHeight="1">
      <c r="A299" s="8" t="s">
        <v>2281</v>
      </c>
      <c r="B299" s="8" t="s">
        <v>2372</v>
      </c>
      <c r="C299" s="9">
        <v>45968.617539328698</v>
      </c>
      <c r="D299" s="8" t="s">
        <v>2056</v>
      </c>
      <c r="E299" s="8" t="s">
        <v>2057</v>
      </c>
      <c r="F299" s="8">
        <v>3</v>
      </c>
      <c r="G299" s="22" t="s">
        <v>453</v>
      </c>
      <c r="H299" s="8" t="s">
        <v>453</v>
      </c>
      <c r="I299" s="2" t="str">
        <f t="shared" si="9"/>
        <v>Máy khoan cầm tay KYNTEC KT07-26</v>
      </c>
      <c r="J299" s="8" t="s">
        <v>15</v>
      </c>
      <c r="K299" s="10">
        <v>1</v>
      </c>
      <c r="L299" s="10">
        <v>787000</v>
      </c>
      <c r="M299" s="11">
        <v>787000</v>
      </c>
      <c r="N299" s="8" t="s">
        <v>16</v>
      </c>
      <c r="O299" s="8" t="s">
        <v>17</v>
      </c>
      <c r="P299" s="8" t="s">
        <v>18</v>
      </c>
      <c r="Q299" s="8" t="s">
        <v>18</v>
      </c>
      <c r="R299" s="8" t="s">
        <v>2115</v>
      </c>
      <c r="S299" s="8" t="s">
        <v>2373</v>
      </c>
      <c r="T299" s="8" t="s">
        <v>2374</v>
      </c>
      <c r="U299" s="8" t="s">
        <v>2375</v>
      </c>
      <c r="V299" s="8" t="s">
        <v>425</v>
      </c>
      <c r="W299" s="8">
        <f t="shared" si="10"/>
        <v>4</v>
      </c>
      <c r="X299" s="8">
        <f>K299*L299*N299</f>
        <v>62960</v>
      </c>
    </row>
    <row r="300" spans="1:24" s="8" customFormat="1" ht="41.5" customHeight="1">
      <c r="A300" s="8" t="s">
        <v>2281</v>
      </c>
      <c r="B300" s="8" t="s">
        <v>2372</v>
      </c>
      <c r="C300" s="9">
        <v>45968.617539328698</v>
      </c>
      <c r="D300" s="8" t="s">
        <v>2056</v>
      </c>
      <c r="E300" s="8" t="s">
        <v>2057</v>
      </c>
      <c r="F300" s="8">
        <v>4</v>
      </c>
      <c r="G300" s="22" t="s">
        <v>1534</v>
      </c>
      <c r="H300" s="8" t="s">
        <v>454</v>
      </c>
      <c r="I300" s="2" t="str">
        <f t="shared" si="9"/>
        <v>Máy đục phá bê tông Kynko mã Z1G-KD24-80</v>
      </c>
      <c r="J300" s="8" t="s">
        <v>15</v>
      </c>
      <c r="K300" s="10">
        <v>1</v>
      </c>
      <c r="L300" s="10">
        <v>805000</v>
      </c>
      <c r="M300" s="11">
        <v>805000</v>
      </c>
      <c r="N300" s="8" t="s">
        <v>16</v>
      </c>
      <c r="O300" s="8" t="s">
        <v>17</v>
      </c>
      <c r="P300" s="8" t="s">
        <v>18</v>
      </c>
      <c r="Q300" s="8" t="s">
        <v>18</v>
      </c>
      <c r="R300" s="8" t="s">
        <v>2115</v>
      </c>
      <c r="S300" s="8" t="s">
        <v>2373</v>
      </c>
      <c r="T300" s="8" t="s">
        <v>2374</v>
      </c>
      <c r="U300" s="8" t="s">
        <v>2375</v>
      </c>
      <c r="V300" s="8" t="s">
        <v>425</v>
      </c>
      <c r="W300" s="8">
        <f t="shared" si="10"/>
        <v>4</v>
      </c>
      <c r="X300" s="8">
        <f>K300*L300*N300</f>
        <v>64400</v>
      </c>
    </row>
    <row r="301" spans="1:24" s="8" customFormat="1" ht="41.5" customHeight="1">
      <c r="A301" s="8" t="s">
        <v>2281</v>
      </c>
      <c r="B301" s="8" t="s">
        <v>2372</v>
      </c>
      <c r="C301" s="9">
        <v>45968.617539328698</v>
      </c>
      <c r="D301" s="8" t="s">
        <v>2056</v>
      </c>
      <c r="E301" s="8" t="s">
        <v>2057</v>
      </c>
      <c r="F301" s="8">
        <v>5</v>
      </c>
      <c r="G301" s="22" t="s">
        <v>455</v>
      </c>
      <c r="H301" s="8" t="s">
        <v>455</v>
      </c>
      <c r="I301" s="2" t="str">
        <f t="shared" si="9"/>
        <v>Máy khoan cầm tay KYNTEC KT14-10</v>
      </c>
      <c r="J301" s="8" t="s">
        <v>15</v>
      </c>
      <c r="K301" s="10">
        <v>1</v>
      </c>
      <c r="L301" s="10">
        <v>170000</v>
      </c>
      <c r="M301" s="11">
        <v>170000</v>
      </c>
      <c r="N301" s="8" t="s">
        <v>16</v>
      </c>
      <c r="O301" s="8" t="s">
        <v>17</v>
      </c>
      <c r="P301" s="8" t="s">
        <v>18</v>
      </c>
      <c r="Q301" s="8" t="s">
        <v>18</v>
      </c>
      <c r="R301" s="8" t="s">
        <v>2115</v>
      </c>
      <c r="S301" s="8" t="s">
        <v>2373</v>
      </c>
      <c r="T301" s="8" t="s">
        <v>2374</v>
      </c>
      <c r="U301" s="8" t="s">
        <v>2375</v>
      </c>
      <c r="V301" s="8" t="s">
        <v>425</v>
      </c>
      <c r="W301" s="8">
        <f t="shared" si="10"/>
        <v>4</v>
      </c>
      <c r="X301" s="8">
        <f>K301*L301*N301</f>
        <v>13600</v>
      </c>
    </row>
    <row r="302" spans="1:24" s="8" customFormat="1" ht="41.5" customHeight="1">
      <c r="A302" s="8" t="s">
        <v>2281</v>
      </c>
      <c r="B302" s="8" t="s">
        <v>2372</v>
      </c>
      <c r="C302" s="9">
        <v>45968.617539328698</v>
      </c>
      <c r="D302" s="8" t="s">
        <v>2056</v>
      </c>
      <c r="E302" s="8" t="s">
        <v>2057</v>
      </c>
      <c r="F302" s="8">
        <v>6</v>
      </c>
      <c r="G302" s="22" t="s">
        <v>456</v>
      </c>
      <c r="H302" s="8" t="s">
        <v>456</v>
      </c>
      <c r="I302" s="2" t="str">
        <f t="shared" si="9"/>
        <v>Mũi đục dẹt đường kính 17x280x75</v>
      </c>
      <c r="J302" s="8" t="s">
        <v>15</v>
      </c>
      <c r="K302" s="10">
        <v>10</v>
      </c>
      <c r="L302" s="10">
        <v>28750</v>
      </c>
      <c r="M302" s="11">
        <v>287500</v>
      </c>
      <c r="N302" s="8" t="s">
        <v>16</v>
      </c>
      <c r="O302" s="8" t="s">
        <v>17</v>
      </c>
      <c r="P302" s="8" t="s">
        <v>18</v>
      </c>
      <c r="Q302" s="8" t="s">
        <v>18</v>
      </c>
      <c r="R302" s="8" t="s">
        <v>2115</v>
      </c>
      <c r="S302" s="8" t="s">
        <v>2373</v>
      </c>
      <c r="T302" s="8" t="s">
        <v>2374</v>
      </c>
      <c r="U302" s="8" t="s">
        <v>2375</v>
      </c>
      <c r="V302" s="8" t="s">
        <v>425</v>
      </c>
      <c r="W302" s="8">
        <f t="shared" si="10"/>
        <v>4</v>
      </c>
      <c r="X302" s="8">
        <f>K302*L302*N302</f>
        <v>23000</v>
      </c>
    </row>
    <row r="303" spans="1:24" s="8" customFormat="1" ht="41.5" customHeight="1">
      <c r="A303" s="8" t="s">
        <v>2336</v>
      </c>
      <c r="B303" s="8" t="s">
        <v>2376</v>
      </c>
      <c r="C303" s="9">
        <v>46009.409717800903</v>
      </c>
      <c r="D303" s="8" t="s">
        <v>2062</v>
      </c>
      <c r="E303" s="8" t="s">
        <v>2057</v>
      </c>
      <c r="F303" s="8">
        <v>1</v>
      </c>
      <c r="G303" s="2">
        <v>635</v>
      </c>
      <c r="H303" s="8" t="s">
        <v>116</v>
      </c>
      <c r="I303" s="2">
        <f t="shared" si="9"/>
        <v>635</v>
      </c>
      <c r="M303" s="11">
        <v>20000</v>
      </c>
      <c r="N303" s="8" t="s">
        <v>30</v>
      </c>
      <c r="O303" s="8" t="s">
        <v>17</v>
      </c>
      <c r="P303" s="8" t="s">
        <v>18</v>
      </c>
      <c r="Q303" s="8" t="s">
        <v>18</v>
      </c>
      <c r="S303" s="8" t="s">
        <v>2216</v>
      </c>
      <c r="T303" s="8" t="s">
        <v>2217</v>
      </c>
      <c r="V303" s="8" t="s">
        <v>208</v>
      </c>
      <c r="W303" s="8">
        <f t="shared" si="10"/>
        <v>4</v>
      </c>
      <c r="X303" s="8">
        <f>K303*L303*N303</f>
        <v>0</v>
      </c>
    </row>
    <row r="304" spans="1:24" s="8" customFormat="1" ht="41.5" customHeight="1">
      <c r="A304" s="8" t="s">
        <v>2336</v>
      </c>
      <c r="B304" s="8" t="s">
        <v>2377</v>
      </c>
      <c r="C304" s="9">
        <v>46009.409157499998</v>
      </c>
      <c r="D304" s="8" t="s">
        <v>2062</v>
      </c>
      <c r="E304" s="8" t="s">
        <v>2057</v>
      </c>
      <c r="F304" s="8">
        <v>1</v>
      </c>
      <c r="G304" s="2">
        <v>635</v>
      </c>
      <c r="H304" s="8" t="s">
        <v>117</v>
      </c>
      <c r="I304" s="2">
        <f t="shared" si="9"/>
        <v>635</v>
      </c>
      <c r="M304" s="11">
        <v>50000</v>
      </c>
      <c r="N304" s="8" t="s">
        <v>30</v>
      </c>
      <c r="O304" s="8" t="s">
        <v>17</v>
      </c>
      <c r="P304" s="8" t="s">
        <v>18</v>
      </c>
      <c r="Q304" s="8" t="s">
        <v>18</v>
      </c>
      <c r="S304" s="8" t="s">
        <v>2216</v>
      </c>
      <c r="T304" s="8" t="s">
        <v>2217</v>
      </c>
      <c r="V304" s="8" t="s">
        <v>208</v>
      </c>
      <c r="W304" s="8">
        <f t="shared" si="10"/>
        <v>4</v>
      </c>
      <c r="X304" s="8">
        <f>K304*L304*N304</f>
        <v>0</v>
      </c>
    </row>
    <row r="305" spans="1:24" s="8" customFormat="1" ht="41.5" customHeight="1">
      <c r="A305" s="8" t="s">
        <v>2339</v>
      </c>
      <c r="B305" s="8" t="s">
        <v>2378</v>
      </c>
      <c r="C305" s="9">
        <v>46007.555452337998</v>
      </c>
      <c r="D305" s="8" t="s">
        <v>2218</v>
      </c>
      <c r="E305" s="8" t="s">
        <v>2057</v>
      </c>
      <c r="F305" s="8">
        <v>1</v>
      </c>
      <c r="G305" s="2">
        <v>635</v>
      </c>
      <c r="H305" s="8" t="s">
        <v>118</v>
      </c>
      <c r="I305" s="2">
        <f t="shared" si="9"/>
        <v>635</v>
      </c>
      <c r="M305" s="11">
        <v>50000</v>
      </c>
      <c r="N305" s="8" t="s">
        <v>30</v>
      </c>
      <c r="O305" s="8" t="s">
        <v>17</v>
      </c>
      <c r="P305" s="8" t="s">
        <v>18</v>
      </c>
      <c r="Q305" s="8" t="s">
        <v>18</v>
      </c>
      <c r="S305" s="8" t="s">
        <v>2340</v>
      </c>
      <c r="T305" s="8" t="s">
        <v>2341</v>
      </c>
      <c r="V305" s="8" t="s">
        <v>262</v>
      </c>
      <c r="W305" s="8">
        <f t="shared" si="10"/>
        <v>4</v>
      </c>
      <c r="X305" s="8">
        <f>K305*L305*N305</f>
        <v>0</v>
      </c>
    </row>
    <row r="306" spans="1:24" s="8" customFormat="1" ht="41.5" customHeight="1">
      <c r="A306" s="8" t="s">
        <v>2339</v>
      </c>
      <c r="B306" s="8" t="s">
        <v>2379</v>
      </c>
      <c r="C306" s="9">
        <v>46007.267486782403</v>
      </c>
      <c r="D306" s="8" t="s">
        <v>2218</v>
      </c>
      <c r="E306" s="8" t="s">
        <v>2057</v>
      </c>
      <c r="F306" s="8">
        <v>1</v>
      </c>
      <c r="G306" s="2">
        <v>635</v>
      </c>
      <c r="H306" s="8" t="s">
        <v>118</v>
      </c>
      <c r="I306" s="2">
        <f t="shared" si="9"/>
        <v>635</v>
      </c>
      <c r="M306" s="11">
        <v>20000</v>
      </c>
      <c r="N306" s="8" t="s">
        <v>30</v>
      </c>
      <c r="O306" s="8" t="s">
        <v>17</v>
      </c>
      <c r="P306" s="8" t="s">
        <v>18</v>
      </c>
      <c r="Q306" s="8" t="s">
        <v>18</v>
      </c>
      <c r="S306" s="8" t="s">
        <v>2219</v>
      </c>
      <c r="T306" s="8" t="s">
        <v>2220</v>
      </c>
      <c r="V306" s="8" t="s">
        <v>262</v>
      </c>
      <c r="W306" s="8">
        <f t="shared" si="10"/>
        <v>4</v>
      </c>
      <c r="X306" s="8">
        <f>K306*L306*N306</f>
        <v>0</v>
      </c>
    </row>
    <row r="307" spans="1:24" s="8" customFormat="1" ht="41.5" customHeight="1">
      <c r="A307" s="8" t="s">
        <v>2339</v>
      </c>
      <c r="B307" s="8" t="s">
        <v>2380</v>
      </c>
      <c r="C307" s="9">
        <v>46007.266773182899</v>
      </c>
      <c r="D307" s="8" t="s">
        <v>2218</v>
      </c>
      <c r="E307" s="8" t="s">
        <v>2057</v>
      </c>
      <c r="F307" s="8">
        <v>1</v>
      </c>
      <c r="G307" s="2">
        <v>635</v>
      </c>
      <c r="H307" s="8" t="s">
        <v>118</v>
      </c>
      <c r="I307" s="2">
        <f t="shared" si="9"/>
        <v>635</v>
      </c>
      <c r="M307" s="11">
        <v>80000</v>
      </c>
      <c r="N307" s="8" t="s">
        <v>30</v>
      </c>
      <c r="O307" s="8" t="s">
        <v>17</v>
      </c>
      <c r="P307" s="8" t="s">
        <v>18</v>
      </c>
      <c r="Q307" s="8" t="s">
        <v>18</v>
      </c>
      <c r="S307" s="8" t="s">
        <v>2219</v>
      </c>
      <c r="T307" s="8" t="s">
        <v>2220</v>
      </c>
      <c r="V307" s="8" t="s">
        <v>262</v>
      </c>
      <c r="W307" s="8">
        <f t="shared" si="10"/>
        <v>4</v>
      </c>
      <c r="X307" s="8">
        <f>K307*L307*N307</f>
        <v>0</v>
      </c>
    </row>
    <row r="308" spans="1:24" s="8" customFormat="1" ht="41.5" customHeight="1">
      <c r="A308" s="8" t="s">
        <v>2339</v>
      </c>
      <c r="B308" s="8" t="s">
        <v>2381</v>
      </c>
      <c r="C308" s="9">
        <v>46007.260019918998</v>
      </c>
      <c r="D308" s="8" t="s">
        <v>2218</v>
      </c>
      <c r="E308" s="8" t="s">
        <v>2057</v>
      </c>
      <c r="F308" s="8">
        <v>1</v>
      </c>
      <c r="G308" s="2">
        <v>635</v>
      </c>
      <c r="H308" s="8" t="s">
        <v>118</v>
      </c>
      <c r="I308" s="2">
        <f t="shared" si="9"/>
        <v>635</v>
      </c>
      <c r="M308" s="11">
        <v>20000</v>
      </c>
      <c r="N308" s="8" t="s">
        <v>30</v>
      </c>
      <c r="O308" s="8" t="s">
        <v>17</v>
      </c>
      <c r="P308" s="8" t="s">
        <v>18</v>
      </c>
      <c r="Q308" s="8" t="s">
        <v>18</v>
      </c>
      <c r="S308" s="8" t="s">
        <v>2219</v>
      </c>
      <c r="T308" s="8" t="s">
        <v>2220</v>
      </c>
      <c r="V308" s="8" t="s">
        <v>262</v>
      </c>
      <c r="W308" s="8">
        <f t="shared" si="10"/>
        <v>4</v>
      </c>
      <c r="X308" s="8">
        <f>K308*L308*N308</f>
        <v>0</v>
      </c>
    </row>
    <row r="309" spans="1:24" s="8" customFormat="1" ht="41.5" customHeight="1">
      <c r="A309" s="8" t="s">
        <v>2339</v>
      </c>
      <c r="B309" s="8" t="s">
        <v>2382</v>
      </c>
      <c r="C309" s="9">
        <v>46007.2569153125</v>
      </c>
      <c r="D309" s="8" t="s">
        <v>2218</v>
      </c>
      <c r="E309" s="8" t="s">
        <v>2057</v>
      </c>
      <c r="F309" s="8">
        <v>1</v>
      </c>
      <c r="G309" s="2">
        <v>635</v>
      </c>
      <c r="H309" s="8" t="s">
        <v>118</v>
      </c>
      <c r="I309" s="2">
        <f t="shared" si="9"/>
        <v>635</v>
      </c>
      <c r="M309" s="11">
        <v>20000</v>
      </c>
      <c r="N309" s="8" t="s">
        <v>30</v>
      </c>
      <c r="O309" s="8" t="s">
        <v>17</v>
      </c>
      <c r="P309" s="8" t="s">
        <v>18</v>
      </c>
      <c r="Q309" s="8" t="s">
        <v>18</v>
      </c>
      <c r="S309" s="8" t="s">
        <v>2219</v>
      </c>
      <c r="T309" s="8" t="s">
        <v>2220</v>
      </c>
      <c r="V309" s="8" t="s">
        <v>262</v>
      </c>
      <c r="W309" s="8">
        <f t="shared" si="10"/>
        <v>4</v>
      </c>
      <c r="X309" s="8">
        <f>K309*L309*N309</f>
        <v>0</v>
      </c>
    </row>
    <row r="310" spans="1:24" s="8" customFormat="1" ht="41.5" customHeight="1">
      <c r="A310" s="8" t="s">
        <v>2339</v>
      </c>
      <c r="B310" s="8" t="s">
        <v>2383</v>
      </c>
      <c r="C310" s="9">
        <v>46007.255472592602</v>
      </c>
      <c r="D310" s="8" t="s">
        <v>2218</v>
      </c>
      <c r="E310" s="8" t="s">
        <v>2057</v>
      </c>
      <c r="F310" s="8">
        <v>1</v>
      </c>
      <c r="G310" s="2">
        <v>635</v>
      </c>
      <c r="H310" s="8" t="s">
        <v>118</v>
      </c>
      <c r="I310" s="2">
        <f t="shared" si="9"/>
        <v>635</v>
      </c>
      <c r="M310" s="11">
        <v>63994</v>
      </c>
      <c r="N310" s="8" t="s">
        <v>30</v>
      </c>
      <c r="O310" s="8" t="s">
        <v>17</v>
      </c>
      <c r="P310" s="8" t="s">
        <v>18</v>
      </c>
      <c r="Q310" s="8" t="s">
        <v>18</v>
      </c>
      <c r="S310" s="8" t="s">
        <v>2219</v>
      </c>
      <c r="T310" s="8" t="s">
        <v>2220</v>
      </c>
      <c r="V310" s="8" t="s">
        <v>262</v>
      </c>
      <c r="W310" s="8">
        <f t="shared" si="10"/>
        <v>4</v>
      </c>
      <c r="X310" s="8">
        <f>K310*L310*N310</f>
        <v>0</v>
      </c>
    </row>
    <row r="311" spans="1:24" s="8" customFormat="1" ht="41.5" customHeight="1">
      <c r="A311" s="8" t="s">
        <v>2339</v>
      </c>
      <c r="B311" s="8" t="s">
        <v>2384</v>
      </c>
      <c r="C311" s="9">
        <v>46007.254341597203</v>
      </c>
      <c r="D311" s="8" t="s">
        <v>2218</v>
      </c>
      <c r="E311" s="8" t="s">
        <v>2057</v>
      </c>
      <c r="F311" s="8">
        <v>1</v>
      </c>
      <c r="G311" s="2">
        <v>635</v>
      </c>
      <c r="H311" s="8" t="s">
        <v>118</v>
      </c>
      <c r="I311" s="2">
        <f t="shared" si="9"/>
        <v>635</v>
      </c>
      <c r="M311" s="11">
        <v>20000</v>
      </c>
      <c r="N311" s="8" t="s">
        <v>30</v>
      </c>
      <c r="O311" s="8" t="s">
        <v>17</v>
      </c>
      <c r="P311" s="8" t="s">
        <v>18</v>
      </c>
      <c r="Q311" s="8" t="s">
        <v>18</v>
      </c>
      <c r="S311" s="8" t="s">
        <v>2219</v>
      </c>
      <c r="T311" s="8" t="s">
        <v>2220</v>
      </c>
      <c r="V311" s="8" t="s">
        <v>262</v>
      </c>
      <c r="W311" s="8">
        <f t="shared" si="10"/>
        <v>4</v>
      </c>
      <c r="X311" s="8">
        <f>K311*L311*N311</f>
        <v>0</v>
      </c>
    </row>
    <row r="312" spans="1:24" s="8" customFormat="1" ht="41.5" customHeight="1">
      <c r="A312" s="8" t="s">
        <v>2339</v>
      </c>
      <c r="B312" s="8" t="s">
        <v>2385</v>
      </c>
      <c r="C312" s="9">
        <v>46007.251566655097</v>
      </c>
      <c r="D312" s="8" t="s">
        <v>2218</v>
      </c>
      <c r="E312" s="8" t="s">
        <v>2057</v>
      </c>
      <c r="F312" s="8">
        <v>1</v>
      </c>
      <c r="G312" s="2">
        <v>635</v>
      </c>
      <c r="H312" s="8" t="s">
        <v>118</v>
      </c>
      <c r="I312" s="2">
        <f t="shared" si="9"/>
        <v>635</v>
      </c>
      <c r="M312" s="11">
        <v>20000</v>
      </c>
      <c r="N312" s="8" t="s">
        <v>30</v>
      </c>
      <c r="O312" s="8" t="s">
        <v>17</v>
      </c>
      <c r="P312" s="8" t="s">
        <v>18</v>
      </c>
      <c r="Q312" s="8" t="s">
        <v>18</v>
      </c>
      <c r="S312" s="8" t="s">
        <v>2219</v>
      </c>
      <c r="T312" s="8" t="s">
        <v>2220</v>
      </c>
      <c r="V312" s="8" t="s">
        <v>262</v>
      </c>
      <c r="W312" s="8">
        <f t="shared" si="10"/>
        <v>4</v>
      </c>
      <c r="X312" s="8">
        <f>K312*L312*N312</f>
        <v>0</v>
      </c>
    </row>
    <row r="313" spans="1:24" s="8" customFormat="1" ht="41.5" customHeight="1">
      <c r="A313" s="8" t="s">
        <v>2339</v>
      </c>
      <c r="B313" s="8" t="s">
        <v>2386</v>
      </c>
      <c r="C313" s="9">
        <v>46007.249550694403</v>
      </c>
      <c r="D313" s="8" t="s">
        <v>2218</v>
      </c>
      <c r="E313" s="8" t="s">
        <v>2057</v>
      </c>
      <c r="F313" s="8">
        <v>1</v>
      </c>
      <c r="G313" s="2">
        <v>635</v>
      </c>
      <c r="H313" s="8" t="s">
        <v>118</v>
      </c>
      <c r="I313" s="2">
        <f t="shared" si="9"/>
        <v>635</v>
      </c>
      <c r="M313" s="11">
        <v>26841</v>
      </c>
      <c r="N313" s="8" t="s">
        <v>30</v>
      </c>
      <c r="O313" s="8" t="s">
        <v>17</v>
      </c>
      <c r="P313" s="8" t="s">
        <v>18</v>
      </c>
      <c r="Q313" s="8" t="s">
        <v>18</v>
      </c>
      <c r="S313" s="8" t="s">
        <v>2219</v>
      </c>
      <c r="T313" s="8" t="s">
        <v>2220</v>
      </c>
      <c r="V313" s="8" t="s">
        <v>262</v>
      </c>
      <c r="W313" s="8">
        <f t="shared" si="10"/>
        <v>4</v>
      </c>
      <c r="X313" s="8">
        <f>K313*L313*N313</f>
        <v>0</v>
      </c>
    </row>
    <row r="314" spans="1:24" s="8" customFormat="1" ht="41.5" customHeight="1">
      <c r="A314" s="8" t="s">
        <v>2339</v>
      </c>
      <c r="B314" s="8" t="s">
        <v>2387</v>
      </c>
      <c r="C314" s="9">
        <v>46007.244406655103</v>
      </c>
      <c r="D314" s="8" t="s">
        <v>2218</v>
      </c>
      <c r="E314" s="8" t="s">
        <v>2057</v>
      </c>
      <c r="F314" s="8">
        <v>1</v>
      </c>
      <c r="G314" s="2">
        <v>635</v>
      </c>
      <c r="H314" s="8" t="s">
        <v>118</v>
      </c>
      <c r="I314" s="2">
        <f t="shared" si="9"/>
        <v>635</v>
      </c>
      <c r="M314" s="11">
        <v>20000</v>
      </c>
      <c r="N314" s="8" t="s">
        <v>30</v>
      </c>
      <c r="O314" s="8" t="s">
        <v>17</v>
      </c>
      <c r="P314" s="8" t="s">
        <v>18</v>
      </c>
      <c r="Q314" s="8" t="s">
        <v>18</v>
      </c>
      <c r="S314" s="8" t="s">
        <v>2219</v>
      </c>
      <c r="T314" s="8" t="s">
        <v>2220</v>
      </c>
      <c r="V314" s="8" t="s">
        <v>262</v>
      </c>
      <c r="W314" s="8">
        <f t="shared" si="10"/>
        <v>4</v>
      </c>
      <c r="X314" s="8">
        <f>K314*L314*N314</f>
        <v>0</v>
      </c>
    </row>
    <row r="315" spans="1:24" s="8" customFormat="1" ht="41.5" customHeight="1">
      <c r="A315" s="8" t="s">
        <v>2339</v>
      </c>
      <c r="B315" s="8" t="s">
        <v>2388</v>
      </c>
      <c r="C315" s="9">
        <v>46007.238076087997</v>
      </c>
      <c r="D315" s="8" t="s">
        <v>2218</v>
      </c>
      <c r="E315" s="8" t="s">
        <v>2057</v>
      </c>
      <c r="F315" s="8">
        <v>1</v>
      </c>
      <c r="G315" s="2">
        <v>635</v>
      </c>
      <c r="H315" s="8" t="s">
        <v>118</v>
      </c>
      <c r="I315" s="2">
        <f t="shared" si="9"/>
        <v>635</v>
      </c>
      <c r="M315" s="11">
        <v>30600</v>
      </c>
      <c r="N315" s="8" t="s">
        <v>30</v>
      </c>
      <c r="O315" s="8" t="s">
        <v>17</v>
      </c>
      <c r="P315" s="8" t="s">
        <v>18</v>
      </c>
      <c r="Q315" s="8" t="s">
        <v>18</v>
      </c>
      <c r="S315" s="8" t="s">
        <v>2219</v>
      </c>
      <c r="T315" s="8" t="s">
        <v>2220</v>
      </c>
      <c r="V315" s="8" t="s">
        <v>262</v>
      </c>
      <c r="W315" s="8">
        <f t="shared" si="10"/>
        <v>4</v>
      </c>
      <c r="X315" s="8">
        <f>K315*L315*N315</f>
        <v>0</v>
      </c>
    </row>
    <row r="316" spans="1:24" s="8" customFormat="1" ht="41.5" customHeight="1">
      <c r="A316" s="8" t="s">
        <v>2339</v>
      </c>
      <c r="B316" s="8" t="s">
        <v>2389</v>
      </c>
      <c r="C316" s="9">
        <v>46007.238075879599</v>
      </c>
      <c r="D316" s="8" t="s">
        <v>2218</v>
      </c>
      <c r="E316" s="8" t="s">
        <v>2057</v>
      </c>
      <c r="F316" s="8">
        <v>1</v>
      </c>
      <c r="G316" s="2">
        <v>635</v>
      </c>
      <c r="H316" s="8" t="s">
        <v>118</v>
      </c>
      <c r="I316" s="2">
        <f t="shared" si="9"/>
        <v>635</v>
      </c>
      <c r="M316" s="11">
        <v>20000</v>
      </c>
      <c r="N316" s="8" t="s">
        <v>30</v>
      </c>
      <c r="O316" s="8" t="s">
        <v>17</v>
      </c>
      <c r="P316" s="8" t="s">
        <v>18</v>
      </c>
      <c r="Q316" s="8" t="s">
        <v>18</v>
      </c>
      <c r="S316" s="8" t="s">
        <v>2219</v>
      </c>
      <c r="T316" s="8" t="s">
        <v>2220</v>
      </c>
      <c r="V316" s="8" t="s">
        <v>262</v>
      </c>
      <c r="W316" s="8">
        <f t="shared" si="10"/>
        <v>4</v>
      </c>
      <c r="X316" s="8">
        <f>K316*L316*N316</f>
        <v>0</v>
      </c>
    </row>
    <row r="317" spans="1:24" s="8" customFormat="1" ht="41.5" customHeight="1">
      <c r="A317" s="8" t="s">
        <v>2339</v>
      </c>
      <c r="B317" s="8" t="s">
        <v>2390</v>
      </c>
      <c r="C317" s="9">
        <v>46007.235384340303</v>
      </c>
      <c r="D317" s="8" t="s">
        <v>2218</v>
      </c>
      <c r="E317" s="8" t="s">
        <v>2057</v>
      </c>
      <c r="F317" s="8">
        <v>1</v>
      </c>
      <c r="G317" s="2">
        <v>635</v>
      </c>
      <c r="H317" s="8" t="s">
        <v>118</v>
      </c>
      <c r="I317" s="2">
        <f t="shared" si="9"/>
        <v>635</v>
      </c>
      <c r="M317" s="11">
        <v>20000</v>
      </c>
      <c r="N317" s="8" t="s">
        <v>30</v>
      </c>
      <c r="O317" s="8" t="s">
        <v>17</v>
      </c>
      <c r="P317" s="8" t="s">
        <v>18</v>
      </c>
      <c r="Q317" s="8" t="s">
        <v>18</v>
      </c>
      <c r="S317" s="8" t="s">
        <v>2219</v>
      </c>
      <c r="T317" s="8" t="s">
        <v>2220</v>
      </c>
      <c r="V317" s="8" t="s">
        <v>262</v>
      </c>
      <c r="W317" s="8">
        <f t="shared" si="10"/>
        <v>4</v>
      </c>
      <c r="X317" s="8">
        <f>K317*L317*N317</f>
        <v>0</v>
      </c>
    </row>
    <row r="318" spans="1:24" s="8" customFormat="1" ht="41.5" customHeight="1">
      <c r="A318" s="8" t="s">
        <v>2339</v>
      </c>
      <c r="B318" s="8" t="s">
        <v>2391</v>
      </c>
      <c r="C318" s="9">
        <v>46007.227856342601</v>
      </c>
      <c r="D318" s="8" t="s">
        <v>2218</v>
      </c>
      <c r="E318" s="8" t="s">
        <v>2057</v>
      </c>
      <c r="F318" s="8">
        <v>1</v>
      </c>
      <c r="G318" s="2">
        <v>635</v>
      </c>
      <c r="H318" s="8" t="s">
        <v>118</v>
      </c>
      <c r="I318" s="2">
        <f t="shared" si="9"/>
        <v>635</v>
      </c>
      <c r="M318" s="11">
        <v>20000</v>
      </c>
      <c r="N318" s="8" t="s">
        <v>30</v>
      </c>
      <c r="O318" s="8" t="s">
        <v>17</v>
      </c>
      <c r="P318" s="8" t="s">
        <v>18</v>
      </c>
      <c r="Q318" s="8" t="s">
        <v>18</v>
      </c>
      <c r="S318" s="8" t="s">
        <v>2219</v>
      </c>
      <c r="T318" s="8" t="s">
        <v>2220</v>
      </c>
      <c r="V318" s="8" t="s">
        <v>262</v>
      </c>
      <c r="W318" s="8">
        <f t="shared" si="10"/>
        <v>4</v>
      </c>
      <c r="X318" s="8">
        <f>K318*L318*N318</f>
        <v>0</v>
      </c>
    </row>
    <row r="319" spans="1:24" s="8" customFormat="1" ht="41.5" customHeight="1">
      <c r="A319" s="8" t="s">
        <v>2339</v>
      </c>
      <c r="B319" s="8" t="s">
        <v>2392</v>
      </c>
      <c r="C319" s="9">
        <v>46007.226238668998</v>
      </c>
      <c r="D319" s="8" t="s">
        <v>2218</v>
      </c>
      <c r="E319" s="8" t="s">
        <v>2057</v>
      </c>
      <c r="F319" s="8">
        <v>1</v>
      </c>
      <c r="G319" s="2">
        <v>635</v>
      </c>
      <c r="H319" s="8" t="s">
        <v>118</v>
      </c>
      <c r="I319" s="2">
        <f t="shared" si="9"/>
        <v>635</v>
      </c>
      <c r="M319" s="11">
        <v>20000</v>
      </c>
      <c r="N319" s="8" t="s">
        <v>30</v>
      </c>
      <c r="O319" s="8" t="s">
        <v>17</v>
      </c>
      <c r="P319" s="8" t="s">
        <v>18</v>
      </c>
      <c r="Q319" s="8" t="s">
        <v>18</v>
      </c>
      <c r="S319" s="8" t="s">
        <v>2219</v>
      </c>
      <c r="T319" s="8" t="s">
        <v>2220</v>
      </c>
      <c r="V319" s="8" t="s">
        <v>262</v>
      </c>
      <c r="W319" s="8">
        <f t="shared" si="10"/>
        <v>4</v>
      </c>
      <c r="X319" s="8">
        <f>K319*L319*N319</f>
        <v>0</v>
      </c>
    </row>
    <row r="320" spans="1:24" s="8" customFormat="1" ht="41.5" customHeight="1">
      <c r="A320" s="8" t="s">
        <v>2339</v>
      </c>
      <c r="B320" s="8" t="s">
        <v>2393</v>
      </c>
      <c r="C320" s="9">
        <v>46007.225581724502</v>
      </c>
      <c r="D320" s="8" t="s">
        <v>2218</v>
      </c>
      <c r="E320" s="8" t="s">
        <v>2057</v>
      </c>
      <c r="F320" s="8">
        <v>1</v>
      </c>
      <c r="G320" s="2">
        <v>635</v>
      </c>
      <c r="H320" s="8" t="s">
        <v>118</v>
      </c>
      <c r="I320" s="2">
        <f t="shared" si="9"/>
        <v>635</v>
      </c>
      <c r="M320" s="11">
        <v>26000</v>
      </c>
      <c r="N320" s="8" t="s">
        <v>30</v>
      </c>
      <c r="O320" s="8" t="s">
        <v>17</v>
      </c>
      <c r="P320" s="8" t="s">
        <v>18</v>
      </c>
      <c r="Q320" s="8" t="s">
        <v>18</v>
      </c>
      <c r="S320" s="8" t="s">
        <v>2219</v>
      </c>
      <c r="T320" s="8" t="s">
        <v>2220</v>
      </c>
      <c r="V320" s="8" t="s">
        <v>262</v>
      </c>
      <c r="W320" s="8">
        <f t="shared" si="10"/>
        <v>4</v>
      </c>
      <c r="X320" s="8">
        <f>K320*L320*N320</f>
        <v>0</v>
      </c>
    </row>
    <row r="321" spans="1:24" s="8" customFormat="1" ht="41.5" customHeight="1">
      <c r="A321" s="8" t="s">
        <v>2339</v>
      </c>
      <c r="B321" s="8" t="s">
        <v>2394</v>
      </c>
      <c r="C321" s="9">
        <v>46007.2176215625</v>
      </c>
      <c r="D321" s="8" t="s">
        <v>2218</v>
      </c>
      <c r="E321" s="8" t="s">
        <v>2057</v>
      </c>
      <c r="F321" s="8">
        <v>1</v>
      </c>
      <c r="G321" s="2">
        <v>635</v>
      </c>
      <c r="H321" s="8" t="s">
        <v>118</v>
      </c>
      <c r="I321" s="2">
        <f t="shared" si="9"/>
        <v>635</v>
      </c>
      <c r="M321" s="11">
        <v>20000</v>
      </c>
      <c r="N321" s="8" t="s">
        <v>30</v>
      </c>
      <c r="O321" s="8" t="s">
        <v>17</v>
      </c>
      <c r="P321" s="8" t="s">
        <v>18</v>
      </c>
      <c r="Q321" s="8" t="s">
        <v>18</v>
      </c>
      <c r="S321" s="8" t="s">
        <v>2219</v>
      </c>
      <c r="T321" s="8" t="s">
        <v>2220</v>
      </c>
      <c r="V321" s="8" t="s">
        <v>262</v>
      </c>
      <c r="W321" s="8">
        <f t="shared" si="10"/>
        <v>4</v>
      </c>
      <c r="X321" s="8">
        <f>K321*L321*N321</f>
        <v>0</v>
      </c>
    </row>
    <row r="322" spans="1:24" s="8" customFormat="1" ht="41.5" customHeight="1">
      <c r="A322" s="8" t="s">
        <v>2339</v>
      </c>
      <c r="B322" s="8" t="s">
        <v>2395</v>
      </c>
      <c r="C322" s="9">
        <v>46007.211878402799</v>
      </c>
      <c r="D322" s="8" t="s">
        <v>2218</v>
      </c>
      <c r="E322" s="8" t="s">
        <v>2057</v>
      </c>
      <c r="F322" s="8">
        <v>1</v>
      </c>
      <c r="G322" s="2">
        <v>635</v>
      </c>
      <c r="H322" s="8" t="s">
        <v>118</v>
      </c>
      <c r="I322" s="2">
        <f t="shared" si="9"/>
        <v>635</v>
      </c>
      <c r="M322" s="11">
        <v>20000</v>
      </c>
      <c r="N322" s="8" t="s">
        <v>30</v>
      </c>
      <c r="O322" s="8" t="s">
        <v>17</v>
      </c>
      <c r="P322" s="8" t="s">
        <v>18</v>
      </c>
      <c r="Q322" s="8" t="s">
        <v>18</v>
      </c>
      <c r="S322" s="8" t="s">
        <v>2219</v>
      </c>
      <c r="T322" s="8" t="s">
        <v>2220</v>
      </c>
      <c r="V322" s="8" t="s">
        <v>262</v>
      </c>
      <c r="W322" s="8">
        <f t="shared" si="10"/>
        <v>4</v>
      </c>
      <c r="X322" s="8">
        <f>K322*L322*N322</f>
        <v>0</v>
      </c>
    </row>
    <row r="323" spans="1:24" s="8" customFormat="1" ht="41.5" customHeight="1">
      <c r="A323" s="8" t="s">
        <v>2339</v>
      </c>
      <c r="B323" s="8" t="s">
        <v>2396</v>
      </c>
      <c r="C323" s="9">
        <v>46007.2091941088</v>
      </c>
      <c r="D323" s="8" t="s">
        <v>2218</v>
      </c>
      <c r="E323" s="8" t="s">
        <v>2057</v>
      </c>
      <c r="F323" s="8">
        <v>1</v>
      </c>
      <c r="G323" s="2">
        <v>635</v>
      </c>
      <c r="H323" s="8" t="s">
        <v>118</v>
      </c>
      <c r="I323" s="2">
        <f t="shared" si="9"/>
        <v>635</v>
      </c>
      <c r="M323" s="11">
        <v>20000</v>
      </c>
      <c r="N323" s="8" t="s">
        <v>30</v>
      </c>
      <c r="O323" s="8" t="s">
        <v>17</v>
      </c>
      <c r="P323" s="8" t="s">
        <v>18</v>
      </c>
      <c r="Q323" s="8" t="s">
        <v>18</v>
      </c>
      <c r="S323" s="8" t="s">
        <v>2219</v>
      </c>
      <c r="T323" s="8" t="s">
        <v>2220</v>
      </c>
      <c r="V323" s="8" t="s">
        <v>262</v>
      </c>
      <c r="W323" s="8">
        <f t="shared" si="10"/>
        <v>4</v>
      </c>
      <c r="X323" s="8">
        <f>K323*L323*N323</f>
        <v>0</v>
      </c>
    </row>
    <row r="324" spans="1:24" s="8" customFormat="1" ht="41.5" customHeight="1">
      <c r="A324" s="8" t="s">
        <v>2339</v>
      </c>
      <c r="B324" s="8" t="s">
        <v>2397</v>
      </c>
      <c r="C324" s="9">
        <v>46007.190644201401</v>
      </c>
      <c r="D324" s="8" t="s">
        <v>2218</v>
      </c>
      <c r="E324" s="8" t="s">
        <v>2057</v>
      </c>
      <c r="F324" s="8">
        <v>1</v>
      </c>
      <c r="G324" s="2">
        <v>635</v>
      </c>
      <c r="H324" s="8" t="s">
        <v>118</v>
      </c>
      <c r="I324" s="2">
        <f t="shared" si="9"/>
        <v>635</v>
      </c>
      <c r="M324" s="11">
        <v>20000</v>
      </c>
      <c r="N324" s="8" t="s">
        <v>30</v>
      </c>
      <c r="O324" s="8" t="s">
        <v>17</v>
      </c>
      <c r="P324" s="8" t="s">
        <v>18</v>
      </c>
      <c r="Q324" s="8" t="s">
        <v>18</v>
      </c>
      <c r="S324" s="8" t="s">
        <v>2219</v>
      </c>
      <c r="T324" s="8" t="s">
        <v>2220</v>
      </c>
      <c r="V324" s="8" t="s">
        <v>262</v>
      </c>
      <c r="W324" s="8">
        <f t="shared" si="10"/>
        <v>4</v>
      </c>
      <c r="X324" s="8">
        <f>K324*L324*N324</f>
        <v>0</v>
      </c>
    </row>
    <row r="325" spans="1:24" s="8" customFormat="1" ht="41.5" customHeight="1">
      <c r="A325" s="8" t="s">
        <v>2339</v>
      </c>
      <c r="B325" s="8" t="s">
        <v>2398</v>
      </c>
      <c r="C325" s="9">
        <v>46007.190526226797</v>
      </c>
      <c r="D325" s="8" t="s">
        <v>2218</v>
      </c>
      <c r="E325" s="8" t="s">
        <v>2057</v>
      </c>
      <c r="F325" s="8">
        <v>1</v>
      </c>
      <c r="G325" s="2">
        <v>635</v>
      </c>
      <c r="H325" s="8" t="s">
        <v>118</v>
      </c>
      <c r="I325" s="2">
        <f t="shared" si="9"/>
        <v>635</v>
      </c>
      <c r="M325" s="11">
        <v>20000</v>
      </c>
      <c r="N325" s="8" t="s">
        <v>30</v>
      </c>
      <c r="O325" s="8" t="s">
        <v>17</v>
      </c>
      <c r="P325" s="8" t="s">
        <v>18</v>
      </c>
      <c r="Q325" s="8" t="s">
        <v>18</v>
      </c>
      <c r="S325" s="8" t="s">
        <v>2219</v>
      </c>
      <c r="T325" s="8" t="s">
        <v>2220</v>
      </c>
      <c r="V325" s="8" t="s">
        <v>262</v>
      </c>
      <c r="W325" s="8">
        <f t="shared" si="10"/>
        <v>4</v>
      </c>
      <c r="X325" s="8">
        <f>K325*L325*N325</f>
        <v>0</v>
      </c>
    </row>
    <row r="326" spans="1:24" s="8" customFormat="1" ht="41.5" customHeight="1">
      <c r="A326" s="8" t="s">
        <v>2339</v>
      </c>
      <c r="B326" s="8" t="s">
        <v>2399</v>
      </c>
      <c r="C326" s="9">
        <v>46007.185924675898</v>
      </c>
      <c r="D326" s="8" t="s">
        <v>2218</v>
      </c>
      <c r="E326" s="8" t="s">
        <v>2057</v>
      </c>
      <c r="F326" s="8">
        <v>1</v>
      </c>
      <c r="G326" s="2">
        <v>635</v>
      </c>
      <c r="H326" s="8" t="s">
        <v>118</v>
      </c>
      <c r="I326" s="2">
        <f t="shared" ref="I326:I389" si="11">G326</f>
        <v>635</v>
      </c>
      <c r="M326" s="11">
        <v>35186</v>
      </c>
      <c r="N326" s="8" t="s">
        <v>30</v>
      </c>
      <c r="O326" s="8" t="s">
        <v>17</v>
      </c>
      <c r="P326" s="8" t="s">
        <v>18</v>
      </c>
      <c r="Q326" s="8" t="s">
        <v>18</v>
      </c>
      <c r="S326" s="8" t="s">
        <v>2219</v>
      </c>
      <c r="T326" s="8" t="s">
        <v>2220</v>
      </c>
      <c r="V326" s="8" t="s">
        <v>262</v>
      </c>
      <c r="W326" s="8">
        <f t="shared" si="10"/>
        <v>4</v>
      </c>
      <c r="X326" s="8">
        <f>K326*L326*N326</f>
        <v>0</v>
      </c>
    </row>
    <row r="327" spans="1:24" s="8" customFormat="1" ht="41.5" customHeight="1">
      <c r="A327" s="8" t="s">
        <v>2339</v>
      </c>
      <c r="B327" s="8" t="s">
        <v>2400</v>
      </c>
      <c r="C327" s="9">
        <v>46007.173138148202</v>
      </c>
      <c r="D327" s="8" t="s">
        <v>2218</v>
      </c>
      <c r="E327" s="8" t="s">
        <v>2057</v>
      </c>
      <c r="F327" s="8">
        <v>1</v>
      </c>
      <c r="G327" s="2">
        <v>635</v>
      </c>
      <c r="H327" s="8" t="s">
        <v>118</v>
      </c>
      <c r="I327" s="2">
        <f t="shared" si="11"/>
        <v>635</v>
      </c>
      <c r="M327" s="11">
        <v>20000</v>
      </c>
      <c r="N327" s="8" t="s">
        <v>30</v>
      </c>
      <c r="O327" s="8" t="s">
        <v>17</v>
      </c>
      <c r="P327" s="8" t="s">
        <v>18</v>
      </c>
      <c r="Q327" s="8" t="s">
        <v>18</v>
      </c>
      <c r="S327" s="8" t="s">
        <v>2219</v>
      </c>
      <c r="T327" s="8" t="s">
        <v>2220</v>
      </c>
      <c r="V327" s="8" t="s">
        <v>262</v>
      </c>
      <c r="W327" s="8">
        <f t="shared" si="10"/>
        <v>4</v>
      </c>
      <c r="X327" s="8">
        <f>K327*L327*N327</f>
        <v>0</v>
      </c>
    </row>
    <row r="328" spans="1:24" s="8" customFormat="1" ht="41.5" customHeight="1">
      <c r="A328" s="8" t="s">
        <v>2279</v>
      </c>
      <c r="B328" s="8" t="s">
        <v>457</v>
      </c>
      <c r="C328" s="9">
        <v>45948.680473252301</v>
      </c>
      <c r="D328" s="8" t="s">
        <v>2056</v>
      </c>
      <c r="E328" s="8" t="s">
        <v>2057</v>
      </c>
      <c r="F328" s="8">
        <v>1</v>
      </c>
      <c r="G328" s="22" t="s">
        <v>458</v>
      </c>
      <c r="H328" s="8" t="s">
        <v>458</v>
      </c>
      <c r="I328" s="2" t="str">
        <f t="shared" si="11"/>
        <v>Van tay nhựa đỏ 27 AG1106-N</v>
      </c>
      <c r="J328" s="8" t="s">
        <v>15</v>
      </c>
      <c r="K328" s="10">
        <v>12</v>
      </c>
      <c r="L328" s="10">
        <v>15100</v>
      </c>
      <c r="M328" s="11">
        <v>181200</v>
      </c>
      <c r="N328" s="8" t="s">
        <v>16</v>
      </c>
      <c r="O328" s="8" t="s">
        <v>17</v>
      </c>
      <c r="P328" s="8" t="s">
        <v>18</v>
      </c>
      <c r="Q328" s="8" t="s">
        <v>18</v>
      </c>
      <c r="R328" s="8" t="s">
        <v>2095</v>
      </c>
      <c r="S328" s="8" t="s">
        <v>2096</v>
      </c>
      <c r="T328" s="8" t="s">
        <v>2097</v>
      </c>
      <c r="U328" s="8" t="s">
        <v>2098</v>
      </c>
      <c r="V328" s="8" t="s">
        <v>459</v>
      </c>
      <c r="W328" s="8">
        <f t="shared" si="10"/>
        <v>4</v>
      </c>
      <c r="X328" s="8">
        <f>K328*L328*N328</f>
        <v>14496</v>
      </c>
    </row>
    <row r="329" spans="1:24" s="8" customFormat="1" ht="41.5" customHeight="1">
      <c r="A329" s="8" t="s">
        <v>2279</v>
      </c>
      <c r="B329" s="8" t="s">
        <v>457</v>
      </c>
      <c r="C329" s="9">
        <v>45948.680473252301</v>
      </c>
      <c r="D329" s="8" t="s">
        <v>2056</v>
      </c>
      <c r="E329" s="8" t="s">
        <v>2057</v>
      </c>
      <c r="F329" s="8">
        <v>2</v>
      </c>
      <c r="G329" s="22" t="s">
        <v>460</v>
      </c>
      <c r="H329" s="8" t="s">
        <v>460</v>
      </c>
      <c r="I329" s="2" t="str">
        <f t="shared" si="11"/>
        <v>Van tay đỏ 60 AG1120-S</v>
      </c>
      <c r="J329" s="8" t="s">
        <v>15</v>
      </c>
      <c r="K329" s="10">
        <v>6</v>
      </c>
      <c r="L329" s="10">
        <v>64900</v>
      </c>
      <c r="M329" s="11">
        <v>389400</v>
      </c>
      <c r="N329" s="8" t="s">
        <v>16</v>
      </c>
      <c r="O329" s="8" t="s">
        <v>17</v>
      </c>
      <c r="P329" s="8" t="s">
        <v>18</v>
      </c>
      <c r="Q329" s="8" t="s">
        <v>18</v>
      </c>
      <c r="R329" s="8" t="s">
        <v>2095</v>
      </c>
      <c r="S329" s="8" t="s">
        <v>2096</v>
      </c>
      <c r="T329" s="8" t="s">
        <v>2097</v>
      </c>
      <c r="U329" s="8" t="s">
        <v>2098</v>
      </c>
      <c r="V329" s="8" t="s">
        <v>459</v>
      </c>
      <c r="W329" s="8">
        <f t="shared" si="10"/>
        <v>4</v>
      </c>
      <c r="X329" s="8">
        <f>K329*L329*N329</f>
        <v>31152</v>
      </c>
    </row>
    <row r="330" spans="1:24" s="8" customFormat="1" ht="41.5" customHeight="1">
      <c r="A330" s="8" t="s">
        <v>2279</v>
      </c>
      <c r="B330" s="8" t="s">
        <v>457</v>
      </c>
      <c r="C330" s="9">
        <v>45948.680473252301</v>
      </c>
      <c r="D330" s="8" t="s">
        <v>2056</v>
      </c>
      <c r="E330" s="8" t="s">
        <v>2057</v>
      </c>
      <c r="F330" s="8">
        <v>3</v>
      </c>
      <c r="G330" s="22" t="s">
        <v>461</v>
      </c>
      <c r="H330" s="8" t="s">
        <v>461</v>
      </c>
      <c r="I330" s="2" t="str">
        <f t="shared" si="11"/>
        <v>Raco 60 F1120-S</v>
      </c>
      <c r="J330" s="8" t="s">
        <v>15</v>
      </c>
      <c r="K330" s="10">
        <v>10</v>
      </c>
      <c r="L330" s="10">
        <v>44800</v>
      </c>
      <c r="M330" s="11">
        <v>448000</v>
      </c>
      <c r="N330" s="8" t="s">
        <v>16</v>
      </c>
      <c r="O330" s="8" t="s">
        <v>17</v>
      </c>
      <c r="P330" s="8" t="s">
        <v>18</v>
      </c>
      <c r="Q330" s="8" t="s">
        <v>18</v>
      </c>
      <c r="R330" s="8" t="s">
        <v>2095</v>
      </c>
      <c r="S330" s="8" t="s">
        <v>2096</v>
      </c>
      <c r="T330" s="8" t="s">
        <v>2097</v>
      </c>
      <c r="U330" s="8" t="s">
        <v>2098</v>
      </c>
      <c r="V330" s="8" t="s">
        <v>459</v>
      </c>
      <c r="W330" s="8">
        <f t="shared" si="10"/>
        <v>4</v>
      </c>
      <c r="X330" s="8">
        <f>K330*L330*N330</f>
        <v>35840</v>
      </c>
    </row>
    <row r="331" spans="1:24" s="8" customFormat="1" ht="41.5" customHeight="1">
      <c r="A331" s="8" t="s">
        <v>2279</v>
      </c>
      <c r="B331" s="8" t="s">
        <v>457</v>
      </c>
      <c r="C331" s="9">
        <v>45948.680473252301</v>
      </c>
      <c r="D331" s="8" t="s">
        <v>2056</v>
      </c>
      <c r="E331" s="8" t="s">
        <v>2057</v>
      </c>
      <c r="F331" s="8">
        <v>4</v>
      </c>
      <c r="G331" s="2"/>
      <c r="H331" s="8" t="s">
        <v>462</v>
      </c>
      <c r="I331" s="2">
        <f t="shared" si="11"/>
        <v>0</v>
      </c>
      <c r="J331" s="8" t="s">
        <v>15</v>
      </c>
      <c r="K331" s="10">
        <v>9</v>
      </c>
      <c r="L331" s="10">
        <v>12950</v>
      </c>
      <c r="M331" s="11">
        <v>116550</v>
      </c>
      <c r="N331" s="8" t="s">
        <v>16</v>
      </c>
      <c r="O331" s="8" t="s">
        <v>17</v>
      </c>
      <c r="P331" s="8" t="s">
        <v>18</v>
      </c>
      <c r="Q331" s="8" t="s">
        <v>18</v>
      </c>
      <c r="R331" s="8" t="s">
        <v>2095</v>
      </c>
      <c r="S331" s="8" t="s">
        <v>2096</v>
      </c>
      <c r="T331" s="8" t="s">
        <v>2097</v>
      </c>
      <c r="U331" s="8" t="s">
        <v>2098</v>
      </c>
      <c r="V331" s="8" t="s">
        <v>459</v>
      </c>
      <c r="W331" s="8">
        <f t="shared" si="10"/>
        <v>4</v>
      </c>
      <c r="X331" s="8">
        <f>K331*L331*N331</f>
        <v>9324</v>
      </c>
    </row>
    <row r="332" spans="1:24" s="8" customFormat="1" ht="41.5" customHeight="1">
      <c r="A332" s="8" t="s">
        <v>2279</v>
      </c>
      <c r="B332" s="8" t="s">
        <v>457</v>
      </c>
      <c r="C332" s="9">
        <v>45948.680473252301</v>
      </c>
      <c r="D332" s="8" t="s">
        <v>2056</v>
      </c>
      <c r="E332" s="8" t="s">
        <v>2057</v>
      </c>
      <c r="F332" s="8">
        <v>5</v>
      </c>
      <c r="G332" s="22" t="s">
        <v>1300</v>
      </c>
      <c r="H332" s="8" t="s">
        <v>463</v>
      </c>
      <c r="I332" s="2" t="str">
        <f t="shared" si="11"/>
        <v>Nối góc 90 độ phun uPVC DN27 PN10</v>
      </c>
      <c r="J332" s="8" t="s">
        <v>15</v>
      </c>
      <c r="K332" s="10">
        <v>12</v>
      </c>
      <c r="L332" s="10">
        <v>1750</v>
      </c>
      <c r="M332" s="11">
        <v>21000</v>
      </c>
      <c r="N332" s="8" t="s">
        <v>16</v>
      </c>
      <c r="O332" s="8" t="s">
        <v>17</v>
      </c>
      <c r="P332" s="8" t="s">
        <v>18</v>
      </c>
      <c r="Q332" s="8" t="s">
        <v>18</v>
      </c>
      <c r="R332" s="8" t="s">
        <v>2095</v>
      </c>
      <c r="S332" s="8" t="s">
        <v>2096</v>
      </c>
      <c r="T332" s="8" t="s">
        <v>2097</v>
      </c>
      <c r="U332" s="8" t="s">
        <v>2098</v>
      </c>
      <c r="V332" s="8" t="s">
        <v>459</v>
      </c>
      <c r="W332" s="8">
        <f t="shared" si="10"/>
        <v>4</v>
      </c>
      <c r="X332" s="8">
        <f>K332*L332*N332</f>
        <v>1680</v>
      </c>
    </row>
    <row r="333" spans="1:24" s="8" customFormat="1" ht="41.5" customHeight="1">
      <c r="A333" s="8" t="s">
        <v>2279</v>
      </c>
      <c r="B333" s="8" t="s">
        <v>457</v>
      </c>
      <c r="C333" s="9">
        <v>45948.680473252301</v>
      </c>
      <c r="D333" s="8" t="s">
        <v>2056</v>
      </c>
      <c r="E333" s="8" t="s">
        <v>2057</v>
      </c>
      <c r="F333" s="8">
        <v>6</v>
      </c>
      <c r="G333" s="22" t="s">
        <v>1483</v>
      </c>
      <c r="H333" s="8" t="s">
        <v>147</v>
      </c>
      <c r="I333" s="2" t="str">
        <f t="shared" si="11"/>
        <v>Nối góc 90 độ phun upvc DN 60 PN8</v>
      </c>
      <c r="J333" s="8" t="s">
        <v>15</v>
      </c>
      <c r="K333" s="10">
        <v>10</v>
      </c>
      <c r="L333" s="10">
        <v>9659</v>
      </c>
      <c r="M333" s="11">
        <v>96590</v>
      </c>
      <c r="N333" s="8" t="s">
        <v>16</v>
      </c>
      <c r="O333" s="8" t="s">
        <v>17</v>
      </c>
      <c r="P333" s="8" t="s">
        <v>18</v>
      </c>
      <c r="Q333" s="8" t="s">
        <v>18</v>
      </c>
      <c r="R333" s="8" t="s">
        <v>2095</v>
      </c>
      <c r="S333" s="8" t="s">
        <v>2096</v>
      </c>
      <c r="T333" s="8" t="s">
        <v>2097</v>
      </c>
      <c r="U333" s="8" t="s">
        <v>2098</v>
      </c>
      <c r="V333" s="8" t="s">
        <v>459</v>
      </c>
      <c r="W333" s="8">
        <f t="shared" si="10"/>
        <v>4</v>
      </c>
      <c r="X333" s="8">
        <f>K333*L333*N333</f>
        <v>7727.2</v>
      </c>
    </row>
    <row r="334" spans="1:24" s="8" customFormat="1" ht="41.5" customHeight="1">
      <c r="A334" s="8" t="s">
        <v>2279</v>
      </c>
      <c r="B334" s="8" t="s">
        <v>457</v>
      </c>
      <c r="C334" s="9">
        <v>45948.680473252301</v>
      </c>
      <c r="D334" s="8" t="s">
        <v>2056</v>
      </c>
      <c r="E334" s="8" t="s">
        <v>2057</v>
      </c>
      <c r="F334" s="8">
        <v>7</v>
      </c>
      <c r="G334" s="19" t="s">
        <v>2401</v>
      </c>
      <c r="H334" s="8" t="s">
        <v>464</v>
      </c>
      <c r="I334" s="2" t="str">
        <f t="shared" si="11"/>
        <v>Nối thẳng phun upvc DN 27</v>
      </c>
      <c r="J334" s="8" t="s">
        <v>15</v>
      </c>
      <c r="K334" s="10">
        <v>6</v>
      </c>
      <c r="L334" s="10">
        <v>1395</v>
      </c>
      <c r="M334" s="11">
        <v>8370</v>
      </c>
      <c r="N334" s="8" t="s">
        <v>16</v>
      </c>
      <c r="O334" s="8" t="s">
        <v>17</v>
      </c>
      <c r="P334" s="8" t="s">
        <v>18</v>
      </c>
      <c r="Q334" s="8" t="s">
        <v>18</v>
      </c>
      <c r="R334" s="8" t="s">
        <v>2095</v>
      </c>
      <c r="S334" s="8" t="s">
        <v>2096</v>
      </c>
      <c r="T334" s="8" t="s">
        <v>2097</v>
      </c>
      <c r="U334" s="8" t="s">
        <v>2098</v>
      </c>
      <c r="V334" s="8" t="s">
        <v>459</v>
      </c>
      <c r="W334" s="8">
        <f t="shared" si="10"/>
        <v>4</v>
      </c>
      <c r="X334" s="8">
        <f>K334*L334*N334</f>
        <v>669.6</v>
      </c>
    </row>
    <row r="335" spans="1:24" s="8" customFormat="1" ht="41.5" customHeight="1">
      <c r="A335" s="8" t="s">
        <v>2279</v>
      </c>
      <c r="B335" s="8" t="s">
        <v>457</v>
      </c>
      <c r="C335" s="9">
        <v>45948.680473252301</v>
      </c>
      <c r="D335" s="8" t="s">
        <v>2056</v>
      </c>
      <c r="E335" s="8" t="s">
        <v>2057</v>
      </c>
      <c r="F335" s="8">
        <v>8</v>
      </c>
      <c r="G335" s="22" t="s">
        <v>2224</v>
      </c>
      <c r="H335" s="8" t="s">
        <v>465</v>
      </c>
      <c r="I335" s="2" t="str">
        <f t="shared" si="11"/>
        <v>Nối thẳng phun uPVC DN 60 PN8</v>
      </c>
      <c r="J335" s="8" t="s">
        <v>15</v>
      </c>
      <c r="K335" s="10">
        <v>12</v>
      </c>
      <c r="L335" s="10">
        <v>5709</v>
      </c>
      <c r="M335" s="11">
        <v>68508</v>
      </c>
      <c r="N335" s="8" t="s">
        <v>16</v>
      </c>
      <c r="O335" s="8" t="s">
        <v>17</v>
      </c>
      <c r="P335" s="8" t="s">
        <v>18</v>
      </c>
      <c r="Q335" s="8" t="s">
        <v>18</v>
      </c>
      <c r="R335" s="8" t="s">
        <v>2095</v>
      </c>
      <c r="S335" s="8" t="s">
        <v>2096</v>
      </c>
      <c r="T335" s="8" t="s">
        <v>2097</v>
      </c>
      <c r="U335" s="8" t="s">
        <v>2098</v>
      </c>
      <c r="V335" s="8" t="s">
        <v>459</v>
      </c>
      <c r="W335" s="8">
        <f t="shared" si="10"/>
        <v>4</v>
      </c>
      <c r="X335" s="8">
        <f>K335*L335*N335</f>
        <v>5480.64</v>
      </c>
    </row>
    <row r="336" spans="1:24" s="8" customFormat="1" ht="41.5" customHeight="1">
      <c r="A336" s="8" t="s">
        <v>2279</v>
      </c>
      <c r="B336" s="8" t="s">
        <v>457</v>
      </c>
      <c r="C336" s="9">
        <v>45948.680473252301</v>
      </c>
      <c r="D336" s="8" t="s">
        <v>2056</v>
      </c>
      <c r="E336" s="8" t="s">
        <v>2057</v>
      </c>
      <c r="F336" s="8">
        <v>9</v>
      </c>
      <c r="G336" s="22" t="s">
        <v>466</v>
      </c>
      <c r="H336" s="8" t="s">
        <v>466</v>
      </c>
      <c r="I336" s="2" t="str">
        <f t="shared" si="11"/>
        <v>FB040HN Van 110 trắng</v>
      </c>
      <c r="J336" s="8" t="s">
        <v>15</v>
      </c>
      <c r="K336" s="10">
        <v>6</v>
      </c>
      <c r="L336" s="10">
        <v>388095</v>
      </c>
      <c r="M336" s="11">
        <v>2328570</v>
      </c>
      <c r="N336" s="8" t="s">
        <v>16</v>
      </c>
      <c r="O336" s="8" t="s">
        <v>17</v>
      </c>
      <c r="P336" s="8" t="s">
        <v>18</v>
      </c>
      <c r="Q336" s="8" t="s">
        <v>18</v>
      </c>
      <c r="R336" s="8" t="s">
        <v>2095</v>
      </c>
      <c r="S336" s="8" t="s">
        <v>2096</v>
      </c>
      <c r="T336" s="8" t="s">
        <v>2097</v>
      </c>
      <c r="U336" s="8" t="s">
        <v>2098</v>
      </c>
      <c r="V336" s="8" t="s">
        <v>459</v>
      </c>
      <c r="W336" s="8">
        <f t="shared" si="10"/>
        <v>4</v>
      </c>
      <c r="X336" s="8">
        <f>K336*L336*N336</f>
        <v>186285.6</v>
      </c>
    </row>
    <row r="337" spans="1:24" s="8" customFormat="1" ht="41.5" customHeight="1">
      <c r="A337" s="8" t="s">
        <v>2279</v>
      </c>
      <c r="B337" s="8" t="s">
        <v>467</v>
      </c>
      <c r="C337" s="9">
        <v>45948.483100740697</v>
      </c>
      <c r="D337" s="8" t="s">
        <v>2056</v>
      </c>
      <c r="E337" s="8" t="s">
        <v>2057</v>
      </c>
      <c r="F337" s="8">
        <v>1</v>
      </c>
      <c r="G337" s="22" t="s">
        <v>460</v>
      </c>
      <c r="H337" s="8" t="s">
        <v>460</v>
      </c>
      <c r="I337" s="2" t="str">
        <f t="shared" si="11"/>
        <v>Van tay đỏ 60 AG1120-S</v>
      </c>
      <c r="J337" s="8" t="s">
        <v>15</v>
      </c>
      <c r="K337" s="10">
        <v>10</v>
      </c>
      <c r="L337" s="10">
        <v>64455</v>
      </c>
      <c r="M337" s="11">
        <v>644550</v>
      </c>
      <c r="N337" s="8" t="s">
        <v>16</v>
      </c>
      <c r="O337" s="8" t="s">
        <v>17</v>
      </c>
      <c r="P337" s="8" t="s">
        <v>18</v>
      </c>
      <c r="Q337" s="8" t="s">
        <v>18</v>
      </c>
      <c r="R337" s="8" t="s">
        <v>2095</v>
      </c>
      <c r="S337" s="8" t="s">
        <v>2096</v>
      </c>
      <c r="T337" s="8" t="s">
        <v>2097</v>
      </c>
      <c r="U337" s="8" t="s">
        <v>2098</v>
      </c>
      <c r="V337" s="8" t="s">
        <v>459</v>
      </c>
      <c r="W337" s="8">
        <f t="shared" si="10"/>
        <v>4</v>
      </c>
      <c r="X337" s="8">
        <f>K337*L337*N337</f>
        <v>51564</v>
      </c>
    </row>
    <row r="338" spans="1:24" s="8" customFormat="1" ht="41.5" customHeight="1">
      <c r="A338" s="8" t="s">
        <v>2279</v>
      </c>
      <c r="B338" s="8" t="s">
        <v>467</v>
      </c>
      <c r="C338" s="9">
        <v>45948.483100740697</v>
      </c>
      <c r="D338" s="8" t="s">
        <v>2056</v>
      </c>
      <c r="E338" s="8" t="s">
        <v>2057</v>
      </c>
      <c r="F338" s="8">
        <v>2</v>
      </c>
      <c r="G338" s="22" t="s">
        <v>732</v>
      </c>
      <c r="H338" s="8" t="s">
        <v>468</v>
      </c>
      <c r="I338" s="2" t="str">
        <f t="shared" si="11"/>
        <v>Keo dán uPVC 200g (có chổi)</v>
      </c>
      <c r="J338" s="8" t="s">
        <v>55</v>
      </c>
      <c r="K338" s="10">
        <v>5</v>
      </c>
      <c r="L338" s="10">
        <v>112620</v>
      </c>
      <c r="M338" s="11">
        <v>563100</v>
      </c>
      <c r="N338" s="8" t="s">
        <v>16</v>
      </c>
      <c r="O338" s="8" t="s">
        <v>17</v>
      </c>
      <c r="P338" s="8" t="s">
        <v>18</v>
      </c>
      <c r="Q338" s="8" t="s">
        <v>18</v>
      </c>
      <c r="R338" s="8" t="s">
        <v>2095</v>
      </c>
      <c r="S338" s="8" t="s">
        <v>2096</v>
      </c>
      <c r="T338" s="8" t="s">
        <v>2097</v>
      </c>
      <c r="U338" s="8" t="s">
        <v>2098</v>
      </c>
      <c r="V338" s="8" t="s">
        <v>459</v>
      </c>
      <c r="W338" s="8">
        <f t="shared" si="10"/>
        <v>4</v>
      </c>
      <c r="X338" s="8">
        <f>K338*L338*N338</f>
        <v>45048</v>
      </c>
    </row>
    <row r="339" spans="1:24" s="8" customFormat="1" ht="41.5" customHeight="1">
      <c r="A339" s="8" t="s">
        <v>2279</v>
      </c>
      <c r="B339" s="8" t="s">
        <v>467</v>
      </c>
      <c r="C339" s="9">
        <v>45948.483100740697</v>
      </c>
      <c r="D339" s="8" t="s">
        <v>2056</v>
      </c>
      <c r="E339" s="8" t="s">
        <v>2057</v>
      </c>
      <c r="F339" s="8">
        <v>3</v>
      </c>
      <c r="G339" s="22" t="s">
        <v>2225</v>
      </c>
      <c r="H339" s="8" t="s">
        <v>469</v>
      </c>
      <c r="I339" s="2" t="str">
        <f t="shared" si="11"/>
        <v>măng sông ĐK110</v>
      </c>
      <c r="J339" s="8" t="s">
        <v>15</v>
      </c>
      <c r="K339" s="10">
        <v>4</v>
      </c>
      <c r="L339" s="10">
        <v>13185</v>
      </c>
      <c r="M339" s="11">
        <v>52740</v>
      </c>
      <c r="N339" s="8" t="s">
        <v>16</v>
      </c>
      <c r="O339" s="8" t="s">
        <v>17</v>
      </c>
      <c r="P339" s="8" t="s">
        <v>18</v>
      </c>
      <c r="Q339" s="8" t="s">
        <v>18</v>
      </c>
      <c r="R339" s="8" t="s">
        <v>2095</v>
      </c>
      <c r="S339" s="8" t="s">
        <v>2096</v>
      </c>
      <c r="T339" s="8" t="s">
        <v>2097</v>
      </c>
      <c r="U339" s="8" t="s">
        <v>2098</v>
      </c>
      <c r="V339" s="8" t="s">
        <v>459</v>
      </c>
      <c r="W339" s="8">
        <f t="shared" si="10"/>
        <v>4</v>
      </c>
      <c r="X339" s="8">
        <f>K339*L339*N339</f>
        <v>4219.2</v>
      </c>
    </row>
    <row r="340" spans="1:24" s="8" customFormat="1" ht="41.5" customHeight="1">
      <c r="A340" s="8" t="s">
        <v>2279</v>
      </c>
      <c r="B340" s="8" t="s">
        <v>467</v>
      </c>
      <c r="C340" s="9">
        <v>45948.483100740697</v>
      </c>
      <c r="D340" s="8" t="s">
        <v>2056</v>
      </c>
      <c r="E340" s="8" t="s">
        <v>2057</v>
      </c>
      <c r="F340" s="8">
        <v>4</v>
      </c>
      <c r="G340" s="22" t="s">
        <v>1283</v>
      </c>
      <c r="H340" s="8" t="s">
        <v>470</v>
      </c>
      <c r="I340" s="2" t="str">
        <f t="shared" si="11"/>
        <v>Nối góc 45 độ DK 110 PN6</v>
      </c>
      <c r="J340" s="8" t="s">
        <v>15</v>
      </c>
      <c r="K340" s="10">
        <v>5</v>
      </c>
      <c r="L340" s="10">
        <v>28480</v>
      </c>
      <c r="M340" s="11">
        <v>142400</v>
      </c>
      <c r="N340" s="8" t="s">
        <v>16</v>
      </c>
      <c r="O340" s="8" t="s">
        <v>17</v>
      </c>
      <c r="P340" s="8" t="s">
        <v>18</v>
      </c>
      <c r="Q340" s="8" t="s">
        <v>18</v>
      </c>
      <c r="R340" s="8" t="s">
        <v>2095</v>
      </c>
      <c r="S340" s="8" t="s">
        <v>2096</v>
      </c>
      <c r="T340" s="8" t="s">
        <v>2097</v>
      </c>
      <c r="U340" s="8" t="s">
        <v>2098</v>
      </c>
      <c r="V340" s="8" t="s">
        <v>459</v>
      </c>
      <c r="W340" s="8">
        <f t="shared" si="10"/>
        <v>4</v>
      </c>
      <c r="X340" s="8">
        <f>K340*L340*N340</f>
        <v>11392</v>
      </c>
    </row>
    <row r="341" spans="1:24" s="8" customFormat="1" ht="41.5" customHeight="1">
      <c r="A341" s="8" t="s">
        <v>2279</v>
      </c>
      <c r="B341" s="8" t="s">
        <v>467</v>
      </c>
      <c r="C341" s="9">
        <v>45948.483100740697</v>
      </c>
      <c r="D341" s="8" t="s">
        <v>2056</v>
      </c>
      <c r="E341" s="8" t="s">
        <v>2057</v>
      </c>
      <c r="F341" s="8">
        <v>5</v>
      </c>
      <c r="G341" s="22" t="s">
        <v>970</v>
      </c>
      <c r="H341" s="8" t="s">
        <v>471</v>
      </c>
      <c r="I341" s="2" t="str">
        <f t="shared" si="11"/>
        <v>Nối góc 90 độ phun uPVC đk 110 PN6</v>
      </c>
      <c r="J341" s="8" t="s">
        <v>15</v>
      </c>
      <c r="K341" s="10">
        <v>14</v>
      </c>
      <c r="L341" s="10">
        <v>36220</v>
      </c>
      <c r="M341" s="11">
        <v>507080</v>
      </c>
      <c r="N341" s="8" t="s">
        <v>16</v>
      </c>
      <c r="O341" s="8" t="s">
        <v>17</v>
      </c>
      <c r="P341" s="8" t="s">
        <v>18</v>
      </c>
      <c r="Q341" s="8" t="s">
        <v>18</v>
      </c>
      <c r="R341" s="8" t="s">
        <v>2095</v>
      </c>
      <c r="S341" s="8" t="s">
        <v>2096</v>
      </c>
      <c r="T341" s="8" t="s">
        <v>2097</v>
      </c>
      <c r="U341" s="8" t="s">
        <v>2098</v>
      </c>
      <c r="V341" s="8" t="s">
        <v>459</v>
      </c>
      <c r="W341" s="8">
        <f t="shared" si="10"/>
        <v>4</v>
      </c>
      <c r="X341" s="8">
        <f>K341*L341*N341</f>
        <v>40566.400000000001</v>
      </c>
    </row>
    <row r="342" spans="1:24" s="8" customFormat="1" ht="41.5" customHeight="1">
      <c r="A342" s="8" t="s">
        <v>2279</v>
      </c>
      <c r="B342" s="8" t="s">
        <v>467</v>
      </c>
      <c r="C342" s="9">
        <v>45948.483100740697</v>
      </c>
      <c r="D342" s="8" t="s">
        <v>2056</v>
      </c>
      <c r="E342" s="8" t="s">
        <v>2057</v>
      </c>
      <c r="F342" s="8">
        <v>6</v>
      </c>
      <c r="G342" s="22" t="s">
        <v>1300</v>
      </c>
      <c r="H342" s="8" t="s">
        <v>463</v>
      </c>
      <c r="I342" s="2" t="str">
        <f t="shared" si="11"/>
        <v>Nối góc 90 độ phun uPVC DN27 PN10</v>
      </c>
      <c r="J342" s="8" t="s">
        <v>15</v>
      </c>
      <c r="K342" s="10">
        <v>12</v>
      </c>
      <c r="L342" s="10">
        <v>1711</v>
      </c>
      <c r="M342" s="11">
        <v>20532</v>
      </c>
      <c r="N342" s="8" t="s">
        <v>16</v>
      </c>
      <c r="O342" s="8" t="s">
        <v>17</v>
      </c>
      <c r="P342" s="8" t="s">
        <v>18</v>
      </c>
      <c r="Q342" s="8" t="s">
        <v>18</v>
      </c>
      <c r="R342" s="8" t="s">
        <v>2095</v>
      </c>
      <c r="S342" s="8" t="s">
        <v>2096</v>
      </c>
      <c r="T342" s="8" t="s">
        <v>2097</v>
      </c>
      <c r="U342" s="8" t="s">
        <v>2098</v>
      </c>
      <c r="V342" s="8" t="s">
        <v>459</v>
      </c>
      <c r="W342" s="8">
        <f t="shared" si="10"/>
        <v>4</v>
      </c>
      <c r="X342" s="8">
        <f>K342*L342*N342</f>
        <v>1642.56</v>
      </c>
    </row>
    <row r="343" spans="1:24" s="8" customFormat="1" ht="41.5" customHeight="1">
      <c r="A343" s="8" t="s">
        <v>2279</v>
      </c>
      <c r="B343" s="8" t="s">
        <v>467</v>
      </c>
      <c r="C343" s="9">
        <v>45948.483100740697</v>
      </c>
      <c r="D343" s="8" t="s">
        <v>2056</v>
      </c>
      <c r="E343" s="8" t="s">
        <v>2057</v>
      </c>
      <c r="F343" s="8">
        <v>7</v>
      </c>
      <c r="G343" s="22" t="s">
        <v>1483</v>
      </c>
      <c r="H343" s="8" t="s">
        <v>147</v>
      </c>
      <c r="I343" s="2" t="str">
        <f t="shared" si="11"/>
        <v>Nối góc 90 độ phun upvc DN 60 PN8</v>
      </c>
      <c r="J343" s="8" t="s">
        <v>15</v>
      </c>
      <c r="K343" s="10">
        <v>32</v>
      </c>
      <c r="L343" s="10">
        <v>9608</v>
      </c>
      <c r="M343" s="11">
        <v>307456</v>
      </c>
      <c r="N343" s="8" t="s">
        <v>16</v>
      </c>
      <c r="O343" s="8" t="s">
        <v>17</v>
      </c>
      <c r="P343" s="8" t="s">
        <v>18</v>
      </c>
      <c r="Q343" s="8" t="s">
        <v>18</v>
      </c>
      <c r="R343" s="8" t="s">
        <v>2095</v>
      </c>
      <c r="S343" s="8" t="s">
        <v>2096</v>
      </c>
      <c r="T343" s="8" t="s">
        <v>2097</v>
      </c>
      <c r="U343" s="8" t="s">
        <v>2098</v>
      </c>
      <c r="V343" s="8" t="s">
        <v>459</v>
      </c>
      <c r="W343" s="8">
        <f t="shared" si="10"/>
        <v>4</v>
      </c>
      <c r="X343" s="8">
        <f>K343*L343*N343</f>
        <v>24596.48</v>
      </c>
    </row>
    <row r="344" spans="1:24" s="8" customFormat="1" ht="41.5" customHeight="1">
      <c r="A344" s="8" t="s">
        <v>2279</v>
      </c>
      <c r="B344" s="8" t="s">
        <v>467</v>
      </c>
      <c r="C344" s="9">
        <v>45948.483100740697</v>
      </c>
      <c r="D344" s="8" t="s">
        <v>2056</v>
      </c>
      <c r="E344" s="8" t="s">
        <v>2057</v>
      </c>
      <c r="F344" s="8">
        <v>8</v>
      </c>
      <c r="G344" s="22" t="s">
        <v>472</v>
      </c>
      <c r="H344" s="8" t="s">
        <v>472</v>
      </c>
      <c r="I344" s="2" t="str">
        <f t="shared" si="11"/>
        <v>Ống uPVC C3 ĐK 27 PN25</v>
      </c>
      <c r="J344" s="8" t="s">
        <v>47</v>
      </c>
      <c r="K344" s="10">
        <v>20</v>
      </c>
      <c r="L344" s="10">
        <v>14735</v>
      </c>
      <c r="M344" s="11">
        <v>294700</v>
      </c>
      <c r="N344" s="8" t="s">
        <v>16</v>
      </c>
      <c r="O344" s="8" t="s">
        <v>17</v>
      </c>
      <c r="P344" s="8" t="s">
        <v>18</v>
      </c>
      <c r="Q344" s="8" t="s">
        <v>18</v>
      </c>
      <c r="R344" s="8" t="s">
        <v>2095</v>
      </c>
      <c r="S344" s="8" t="s">
        <v>2096</v>
      </c>
      <c r="T344" s="8" t="s">
        <v>2097</v>
      </c>
      <c r="U344" s="8" t="s">
        <v>2098</v>
      </c>
      <c r="V344" s="8" t="s">
        <v>459</v>
      </c>
      <c r="W344" s="8">
        <f t="shared" si="10"/>
        <v>4</v>
      </c>
      <c r="X344" s="8">
        <f>K344*L344*N344</f>
        <v>23576</v>
      </c>
    </row>
    <row r="345" spans="1:24" s="8" customFormat="1" ht="41.5" customHeight="1">
      <c r="A345" s="8" t="s">
        <v>2279</v>
      </c>
      <c r="B345" s="8" t="s">
        <v>467</v>
      </c>
      <c r="C345" s="9">
        <v>45948.483100740697</v>
      </c>
      <c r="D345" s="8" t="s">
        <v>2056</v>
      </c>
      <c r="E345" s="8" t="s">
        <v>2057</v>
      </c>
      <c r="F345" s="8">
        <v>9</v>
      </c>
      <c r="G345" s="22" t="s">
        <v>2226</v>
      </c>
      <c r="H345" s="8" t="s">
        <v>473</v>
      </c>
      <c r="I345" s="2" t="str">
        <f t="shared" si="11"/>
        <v>Ống uPVC DN110 PN8 C3</v>
      </c>
      <c r="J345" s="8" t="s">
        <v>47</v>
      </c>
      <c r="K345" s="10">
        <v>36</v>
      </c>
      <c r="L345" s="10">
        <v>101590</v>
      </c>
      <c r="M345" s="11">
        <v>3657240</v>
      </c>
      <c r="N345" s="8" t="s">
        <v>16</v>
      </c>
      <c r="O345" s="8" t="s">
        <v>17</v>
      </c>
      <c r="P345" s="8" t="s">
        <v>18</v>
      </c>
      <c r="Q345" s="8" t="s">
        <v>18</v>
      </c>
      <c r="R345" s="8" t="s">
        <v>2095</v>
      </c>
      <c r="S345" s="8" t="s">
        <v>2096</v>
      </c>
      <c r="T345" s="8" t="s">
        <v>2097</v>
      </c>
      <c r="U345" s="8" t="s">
        <v>2098</v>
      </c>
      <c r="V345" s="8" t="s">
        <v>459</v>
      </c>
      <c r="W345" s="8">
        <f t="shared" si="10"/>
        <v>4</v>
      </c>
      <c r="X345" s="8">
        <f>K345*L345*N345</f>
        <v>292579.20000000001</v>
      </c>
    </row>
    <row r="346" spans="1:24" s="8" customFormat="1" ht="41.5" customHeight="1">
      <c r="A346" s="8" t="s">
        <v>2279</v>
      </c>
      <c r="B346" s="8" t="s">
        <v>467</v>
      </c>
      <c r="C346" s="9">
        <v>45948.483100740697</v>
      </c>
      <c r="D346" s="8" t="s">
        <v>2056</v>
      </c>
      <c r="E346" s="8" t="s">
        <v>2057</v>
      </c>
      <c r="F346" s="8">
        <v>10</v>
      </c>
      <c r="G346" s="22" t="s">
        <v>474</v>
      </c>
      <c r="H346" s="8" t="s">
        <v>474</v>
      </c>
      <c r="I346" s="2" t="str">
        <f t="shared" si="11"/>
        <v>Bích nối ống fun PVC đk 60 PN10</v>
      </c>
      <c r="J346" s="8" t="s">
        <v>15</v>
      </c>
      <c r="K346" s="10">
        <v>4</v>
      </c>
      <c r="L346" s="10">
        <v>66966</v>
      </c>
      <c r="M346" s="11">
        <v>267864</v>
      </c>
      <c r="N346" s="8" t="s">
        <v>16</v>
      </c>
      <c r="O346" s="8" t="s">
        <v>17</v>
      </c>
      <c r="P346" s="8" t="s">
        <v>18</v>
      </c>
      <c r="Q346" s="8" t="s">
        <v>18</v>
      </c>
      <c r="R346" s="8" t="s">
        <v>2095</v>
      </c>
      <c r="S346" s="8" t="s">
        <v>2096</v>
      </c>
      <c r="T346" s="8" t="s">
        <v>2097</v>
      </c>
      <c r="U346" s="8" t="s">
        <v>2098</v>
      </c>
      <c r="V346" s="8" t="s">
        <v>459</v>
      </c>
      <c r="W346" s="8">
        <f t="shared" si="10"/>
        <v>4</v>
      </c>
      <c r="X346" s="8">
        <f>K346*L346*N346</f>
        <v>21429.119999999999</v>
      </c>
    </row>
    <row r="347" spans="1:24" s="8" customFormat="1" ht="41.5" customHeight="1">
      <c r="A347" s="8" t="s">
        <v>2279</v>
      </c>
      <c r="B347" s="8" t="s">
        <v>467</v>
      </c>
      <c r="C347" s="9">
        <v>45948.483100740697</v>
      </c>
      <c r="D347" s="8" t="s">
        <v>2056</v>
      </c>
      <c r="E347" s="8" t="s">
        <v>2057</v>
      </c>
      <c r="F347" s="8">
        <v>11</v>
      </c>
      <c r="G347" s="22" t="s">
        <v>475</v>
      </c>
      <c r="H347" s="8" t="s">
        <v>475</v>
      </c>
      <c r="I347" s="2" t="str">
        <f t="shared" si="11"/>
        <v>Zoăng bích ĐK 60</v>
      </c>
      <c r="J347" s="8" t="s">
        <v>15</v>
      </c>
      <c r="K347" s="10">
        <v>4</v>
      </c>
      <c r="L347" s="10">
        <v>43453</v>
      </c>
      <c r="M347" s="11">
        <v>173812</v>
      </c>
      <c r="N347" s="8" t="s">
        <v>16</v>
      </c>
      <c r="O347" s="8" t="s">
        <v>17</v>
      </c>
      <c r="P347" s="8" t="s">
        <v>18</v>
      </c>
      <c r="Q347" s="8" t="s">
        <v>18</v>
      </c>
      <c r="R347" s="8" t="s">
        <v>2095</v>
      </c>
      <c r="S347" s="8" t="s">
        <v>2096</v>
      </c>
      <c r="T347" s="8" t="s">
        <v>2097</v>
      </c>
      <c r="U347" s="8" t="s">
        <v>2098</v>
      </c>
      <c r="V347" s="8" t="s">
        <v>459</v>
      </c>
      <c r="W347" s="8">
        <f t="shared" si="10"/>
        <v>4</v>
      </c>
      <c r="X347" s="8">
        <f>K347*L347*N347</f>
        <v>13904.960000000001</v>
      </c>
    </row>
    <row r="348" spans="1:24" s="8" customFormat="1" ht="41.5" customHeight="1">
      <c r="A348" s="8" t="s">
        <v>2279</v>
      </c>
      <c r="B348" s="8" t="s">
        <v>467</v>
      </c>
      <c r="C348" s="9">
        <v>45948.483100740697</v>
      </c>
      <c r="D348" s="8" t="s">
        <v>2056</v>
      </c>
      <c r="E348" s="8" t="s">
        <v>2057</v>
      </c>
      <c r="F348" s="8">
        <v>12</v>
      </c>
      <c r="G348" s="22" t="s">
        <v>476</v>
      </c>
      <c r="H348" s="8" t="s">
        <v>476</v>
      </c>
      <c r="I348" s="2" t="str">
        <f t="shared" si="11"/>
        <v>Ống uPVC C3 ĐK 60 PN10</v>
      </c>
      <c r="J348" s="8" t="s">
        <v>47</v>
      </c>
      <c r="K348" s="10">
        <v>140</v>
      </c>
      <c r="L348" s="10">
        <v>38407</v>
      </c>
      <c r="M348" s="11">
        <v>5376980</v>
      </c>
      <c r="N348" s="8" t="s">
        <v>16</v>
      </c>
      <c r="O348" s="8" t="s">
        <v>17</v>
      </c>
      <c r="P348" s="8" t="s">
        <v>18</v>
      </c>
      <c r="Q348" s="8" t="s">
        <v>18</v>
      </c>
      <c r="R348" s="8" t="s">
        <v>2095</v>
      </c>
      <c r="S348" s="8" t="s">
        <v>2096</v>
      </c>
      <c r="T348" s="8" t="s">
        <v>2097</v>
      </c>
      <c r="U348" s="8" t="s">
        <v>2098</v>
      </c>
      <c r="V348" s="8" t="s">
        <v>459</v>
      </c>
      <c r="W348" s="8">
        <f t="shared" si="10"/>
        <v>4</v>
      </c>
      <c r="X348" s="8">
        <f>K348*L348*N348</f>
        <v>430158.4</v>
      </c>
    </row>
    <row r="349" spans="1:24" s="8" customFormat="1" ht="41.5" customHeight="1">
      <c r="A349" s="8" t="s">
        <v>2279</v>
      </c>
      <c r="B349" s="8" t="s">
        <v>467</v>
      </c>
      <c r="C349" s="9">
        <v>45948.483100740697</v>
      </c>
      <c r="D349" s="8" t="s">
        <v>2056</v>
      </c>
      <c r="E349" s="8" t="s">
        <v>2057</v>
      </c>
      <c r="F349" s="8">
        <v>13</v>
      </c>
      <c r="G349" s="22" t="s">
        <v>477</v>
      </c>
      <c r="H349" s="8" t="s">
        <v>477</v>
      </c>
      <c r="I349" s="2" t="str">
        <f t="shared" si="11"/>
        <v>Đầu nối ren trong ĐK 60</v>
      </c>
      <c r="J349" s="8" t="s">
        <v>15</v>
      </c>
      <c r="K349" s="10">
        <v>8</v>
      </c>
      <c r="L349" s="10">
        <v>6918</v>
      </c>
      <c r="M349" s="11">
        <v>55344</v>
      </c>
      <c r="N349" s="8" t="s">
        <v>16</v>
      </c>
      <c r="O349" s="8" t="s">
        <v>17</v>
      </c>
      <c r="P349" s="8" t="s">
        <v>18</v>
      </c>
      <c r="Q349" s="8" t="s">
        <v>18</v>
      </c>
      <c r="R349" s="8" t="s">
        <v>2095</v>
      </c>
      <c r="S349" s="8" t="s">
        <v>2096</v>
      </c>
      <c r="T349" s="8" t="s">
        <v>2097</v>
      </c>
      <c r="U349" s="8" t="s">
        <v>2098</v>
      </c>
      <c r="V349" s="8" t="s">
        <v>459</v>
      </c>
      <c r="W349" s="8">
        <f t="shared" si="10"/>
        <v>4</v>
      </c>
      <c r="X349" s="8">
        <f>K349*L349*N349</f>
        <v>4427.5200000000004</v>
      </c>
    </row>
    <row r="350" spans="1:24" s="8" customFormat="1" ht="41.5" customHeight="1">
      <c r="A350" s="8" t="s">
        <v>2279</v>
      </c>
      <c r="B350" s="8" t="s">
        <v>467</v>
      </c>
      <c r="C350" s="9">
        <v>45948.483100740697</v>
      </c>
      <c r="D350" s="8" t="s">
        <v>2056</v>
      </c>
      <c r="E350" s="8" t="s">
        <v>2057</v>
      </c>
      <c r="F350" s="8">
        <v>14</v>
      </c>
      <c r="G350" s="2"/>
      <c r="H350" s="8" t="s">
        <v>462</v>
      </c>
      <c r="I350" s="2">
        <f t="shared" si="11"/>
        <v>0</v>
      </c>
      <c r="J350" s="8" t="s">
        <v>15</v>
      </c>
      <c r="K350" s="10">
        <v>8</v>
      </c>
      <c r="L350" s="10">
        <v>12901</v>
      </c>
      <c r="M350" s="11">
        <v>103208</v>
      </c>
      <c r="N350" s="8" t="s">
        <v>16</v>
      </c>
      <c r="O350" s="8" t="s">
        <v>17</v>
      </c>
      <c r="P350" s="8" t="s">
        <v>18</v>
      </c>
      <c r="Q350" s="8" t="s">
        <v>18</v>
      </c>
      <c r="R350" s="8" t="s">
        <v>2095</v>
      </c>
      <c r="S350" s="8" t="s">
        <v>2096</v>
      </c>
      <c r="T350" s="8" t="s">
        <v>2097</v>
      </c>
      <c r="U350" s="8" t="s">
        <v>2098</v>
      </c>
      <c r="V350" s="8" t="s">
        <v>459</v>
      </c>
      <c r="W350" s="8">
        <f t="shared" si="10"/>
        <v>4</v>
      </c>
      <c r="X350" s="8">
        <f>K350*L350*N350</f>
        <v>8256.64</v>
      </c>
    </row>
    <row r="351" spans="1:24" s="8" customFormat="1" ht="41.5" customHeight="1">
      <c r="A351" s="8" t="s">
        <v>2279</v>
      </c>
      <c r="B351" s="8" t="s">
        <v>467</v>
      </c>
      <c r="C351" s="9">
        <v>45948.483100740697</v>
      </c>
      <c r="D351" s="8" t="s">
        <v>2056</v>
      </c>
      <c r="E351" s="8" t="s">
        <v>2057</v>
      </c>
      <c r="F351" s="8">
        <v>15</v>
      </c>
      <c r="G351" s="22" t="s">
        <v>1364</v>
      </c>
      <c r="H351" s="8" t="s">
        <v>478</v>
      </c>
      <c r="I351" s="2" t="str">
        <f t="shared" si="11"/>
        <v>Măng sông ĐK60</v>
      </c>
      <c r="J351" s="8" t="s">
        <v>15</v>
      </c>
      <c r="K351" s="10">
        <v>40</v>
      </c>
      <c r="L351" s="10">
        <v>5615</v>
      </c>
      <c r="M351" s="11">
        <v>224600</v>
      </c>
      <c r="N351" s="8" t="s">
        <v>16</v>
      </c>
      <c r="O351" s="8" t="s">
        <v>17</v>
      </c>
      <c r="P351" s="8" t="s">
        <v>18</v>
      </c>
      <c r="Q351" s="8" t="s">
        <v>18</v>
      </c>
      <c r="R351" s="8" t="s">
        <v>2095</v>
      </c>
      <c r="S351" s="8" t="s">
        <v>2096</v>
      </c>
      <c r="T351" s="8" t="s">
        <v>2097</v>
      </c>
      <c r="U351" s="8" t="s">
        <v>2098</v>
      </c>
      <c r="V351" s="8" t="s">
        <v>459</v>
      </c>
      <c r="W351" s="8">
        <f t="shared" si="10"/>
        <v>4</v>
      </c>
      <c r="X351" s="8">
        <f>K351*L351*N351</f>
        <v>17968</v>
      </c>
    </row>
    <row r="352" spans="1:24" s="8" customFormat="1" ht="41.5" customHeight="1">
      <c r="A352" s="8" t="s">
        <v>2279</v>
      </c>
      <c r="B352" s="8" t="s">
        <v>467</v>
      </c>
      <c r="C352" s="9">
        <v>45948.483100740697</v>
      </c>
      <c r="D352" s="8" t="s">
        <v>2056</v>
      </c>
      <c r="E352" s="8" t="s">
        <v>2057</v>
      </c>
      <c r="F352" s="8">
        <v>16</v>
      </c>
      <c r="G352" s="2"/>
      <c r="H352" s="8" t="s">
        <v>479</v>
      </c>
      <c r="I352" s="2">
        <f t="shared" si="11"/>
        <v>0</v>
      </c>
      <c r="J352" s="8" t="s">
        <v>15</v>
      </c>
      <c r="K352" s="10">
        <v>4</v>
      </c>
      <c r="L352" s="10">
        <v>8544</v>
      </c>
      <c r="M352" s="11">
        <v>34176</v>
      </c>
      <c r="N352" s="8" t="s">
        <v>16</v>
      </c>
      <c r="O352" s="8" t="s">
        <v>17</v>
      </c>
      <c r="P352" s="8" t="s">
        <v>18</v>
      </c>
      <c r="Q352" s="8" t="s">
        <v>18</v>
      </c>
      <c r="R352" s="8" t="s">
        <v>2095</v>
      </c>
      <c r="S352" s="8" t="s">
        <v>2096</v>
      </c>
      <c r="T352" s="8" t="s">
        <v>2097</v>
      </c>
      <c r="U352" s="8" t="s">
        <v>2098</v>
      </c>
      <c r="V352" s="8" t="s">
        <v>459</v>
      </c>
      <c r="W352" s="8">
        <f t="shared" si="10"/>
        <v>4</v>
      </c>
      <c r="X352" s="8">
        <f>K352*L352*N352</f>
        <v>2734.08</v>
      </c>
    </row>
    <row r="353" spans="1:24" s="8" customFormat="1" ht="41.5" customHeight="1">
      <c r="A353" s="8" t="s">
        <v>2279</v>
      </c>
      <c r="B353" s="8" t="s">
        <v>467</v>
      </c>
      <c r="C353" s="9">
        <v>45948.483100740697</v>
      </c>
      <c r="D353" s="8" t="s">
        <v>2056</v>
      </c>
      <c r="E353" s="8" t="s">
        <v>2057</v>
      </c>
      <c r="F353" s="8">
        <v>17</v>
      </c>
      <c r="G353" s="27" t="s">
        <v>2224</v>
      </c>
      <c r="H353" s="8" t="s">
        <v>480</v>
      </c>
      <c r="I353" s="2" t="str">
        <f t="shared" si="11"/>
        <v>Nối thẳng phun uPVC DN 60 PN8</v>
      </c>
      <c r="J353" s="8" t="s">
        <v>15</v>
      </c>
      <c r="K353" s="10">
        <v>4</v>
      </c>
      <c r="L353" s="10">
        <v>4720</v>
      </c>
      <c r="M353" s="11">
        <v>18880</v>
      </c>
      <c r="N353" s="8" t="s">
        <v>16</v>
      </c>
      <c r="O353" s="8" t="s">
        <v>17</v>
      </c>
      <c r="P353" s="8" t="s">
        <v>18</v>
      </c>
      <c r="Q353" s="8" t="s">
        <v>18</v>
      </c>
      <c r="R353" s="8" t="s">
        <v>2095</v>
      </c>
      <c r="S353" s="8" t="s">
        <v>2096</v>
      </c>
      <c r="T353" s="8" t="s">
        <v>2097</v>
      </c>
      <c r="U353" s="8" t="s">
        <v>2098</v>
      </c>
      <c r="V353" s="8" t="s">
        <v>459</v>
      </c>
      <c r="W353" s="8">
        <f t="shared" si="10"/>
        <v>4</v>
      </c>
      <c r="X353" s="8">
        <f>K353*L353*N353</f>
        <v>1510.4</v>
      </c>
    </row>
    <row r="354" spans="1:24" s="8" customFormat="1" ht="41.5" customHeight="1">
      <c r="A354" s="8" t="s">
        <v>2279</v>
      </c>
      <c r="B354" s="8" t="s">
        <v>467</v>
      </c>
      <c r="C354" s="9">
        <v>45948.483100740697</v>
      </c>
      <c r="D354" s="8" t="s">
        <v>2056</v>
      </c>
      <c r="E354" s="8" t="s">
        <v>2057</v>
      </c>
      <c r="F354" s="8">
        <v>18</v>
      </c>
      <c r="G354" s="22" t="s">
        <v>481</v>
      </c>
      <c r="H354" s="8" t="s">
        <v>481</v>
      </c>
      <c r="I354" s="2" t="str">
        <f t="shared" si="11"/>
        <v>Đầu nối ren trong fun ĐK 27</v>
      </c>
      <c r="J354" s="8" t="s">
        <v>15</v>
      </c>
      <c r="K354" s="10">
        <v>10</v>
      </c>
      <c r="L354" s="10">
        <v>1221</v>
      </c>
      <c r="M354" s="11">
        <v>12210</v>
      </c>
      <c r="N354" s="8" t="s">
        <v>16</v>
      </c>
      <c r="O354" s="8" t="s">
        <v>17</v>
      </c>
      <c r="P354" s="8" t="s">
        <v>18</v>
      </c>
      <c r="Q354" s="8" t="s">
        <v>18</v>
      </c>
      <c r="R354" s="8" t="s">
        <v>2095</v>
      </c>
      <c r="S354" s="8" t="s">
        <v>2096</v>
      </c>
      <c r="T354" s="8" t="s">
        <v>2097</v>
      </c>
      <c r="U354" s="8" t="s">
        <v>2098</v>
      </c>
      <c r="V354" s="8" t="s">
        <v>459</v>
      </c>
      <c r="W354" s="8">
        <f t="shared" si="10"/>
        <v>4</v>
      </c>
      <c r="X354" s="8">
        <f>K354*L354*N354</f>
        <v>976.80000000000007</v>
      </c>
    </row>
    <row r="355" spans="1:24" s="8" customFormat="1" ht="41.5" customHeight="1">
      <c r="A355" s="8" t="s">
        <v>2279</v>
      </c>
      <c r="B355" s="8" t="s">
        <v>467</v>
      </c>
      <c r="C355" s="9">
        <v>45948.483100740697</v>
      </c>
      <c r="D355" s="8" t="s">
        <v>2056</v>
      </c>
      <c r="E355" s="8" t="s">
        <v>2057</v>
      </c>
      <c r="F355" s="8">
        <v>19</v>
      </c>
      <c r="G355" s="22" t="s">
        <v>967</v>
      </c>
      <c r="H355" s="8" t="s">
        <v>150</v>
      </c>
      <c r="I355" s="2" t="str">
        <f t="shared" si="11"/>
        <v>Ba chạc 90 độ phun uPVC đk 110 PN6</v>
      </c>
      <c r="J355" s="8" t="s">
        <v>15</v>
      </c>
      <c r="K355" s="10">
        <v>4</v>
      </c>
      <c r="L355" s="10">
        <v>51183</v>
      </c>
      <c r="M355" s="11">
        <v>204732</v>
      </c>
      <c r="N355" s="8" t="s">
        <v>16</v>
      </c>
      <c r="O355" s="8" t="s">
        <v>17</v>
      </c>
      <c r="P355" s="8" t="s">
        <v>18</v>
      </c>
      <c r="Q355" s="8" t="s">
        <v>18</v>
      </c>
      <c r="R355" s="8" t="s">
        <v>2095</v>
      </c>
      <c r="S355" s="8" t="s">
        <v>2096</v>
      </c>
      <c r="T355" s="8" t="s">
        <v>2097</v>
      </c>
      <c r="U355" s="8" t="s">
        <v>2098</v>
      </c>
      <c r="V355" s="8" t="s">
        <v>459</v>
      </c>
      <c r="W355" s="8">
        <f t="shared" si="10"/>
        <v>4</v>
      </c>
      <c r="X355" s="8">
        <f>K355*L355*N355</f>
        <v>16378.56</v>
      </c>
    </row>
    <row r="356" spans="1:24" s="8" customFormat="1" ht="41.5" customHeight="1">
      <c r="A356" s="8" t="s">
        <v>2279</v>
      </c>
      <c r="B356" s="8" t="s">
        <v>467</v>
      </c>
      <c r="C356" s="9">
        <v>45948.483100740697</v>
      </c>
      <c r="D356" s="8" t="s">
        <v>2056</v>
      </c>
      <c r="E356" s="8" t="s">
        <v>2057</v>
      </c>
      <c r="F356" s="8">
        <v>20</v>
      </c>
      <c r="G356" s="22" t="s">
        <v>1275</v>
      </c>
      <c r="H356" s="8" t="s">
        <v>482</v>
      </c>
      <c r="I356" s="2" t="str">
        <f t="shared" si="11"/>
        <v>TB006HN (val 27 trắng)</v>
      </c>
      <c r="J356" s="8" t="s">
        <v>15</v>
      </c>
      <c r="K356" s="10">
        <v>10</v>
      </c>
      <c r="L356" s="10">
        <v>13435</v>
      </c>
      <c r="M356" s="11">
        <v>134350</v>
      </c>
      <c r="N356" s="8" t="s">
        <v>16</v>
      </c>
      <c r="O356" s="8" t="s">
        <v>17</v>
      </c>
      <c r="P356" s="8" t="s">
        <v>18</v>
      </c>
      <c r="Q356" s="8" t="s">
        <v>18</v>
      </c>
      <c r="R356" s="8" t="s">
        <v>2095</v>
      </c>
      <c r="S356" s="8" t="s">
        <v>2096</v>
      </c>
      <c r="T356" s="8" t="s">
        <v>2097</v>
      </c>
      <c r="U356" s="8" t="s">
        <v>2098</v>
      </c>
      <c r="V356" s="8" t="s">
        <v>459</v>
      </c>
      <c r="W356" s="8">
        <f t="shared" si="10"/>
        <v>4</v>
      </c>
      <c r="X356" s="8">
        <f>K356*L356*N356</f>
        <v>10748</v>
      </c>
    </row>
    <row r="357" spans="1:24" s="8" customFormat="1" ht="41.5" customHeight="1">
      <c r="A357" s="8" t="s">
        <v>2279</v>
      </c>
      <c r="B357" s="8" t="s">
        <v>467</v>
      </c>
      <c r="C357" s="9">
        <v>45948.483100740697</v>
      </c>
      <c r="D357" s="8" t="s">
        <v>2056</v>
      </c>
      <c r="E357" s="8" t="s">
        <v>2057</v>
      </c>
      <c r="F357" s="8">
        <v>21</v>
      </c>
      <c r="G357" s="22" t="s">
        <v>1344</v>
      </c>
      <c r="H357" s="8" t="s">
        <v>483</v>
      </c>
      <c r="I357" s="2" t="str">
        <f t="shared" si="11"/>
        <v>Ba chạc 90 độ uPVC DN27 (T-10)</v>
      </c>
      <c r="J357" s="8" t="s">
        <v>15</v>
      </c>
      <c r="K357" s="10">
        <v>6</v>
      </c>
      <c r="L357" s="10">
        <v>2848</v>
      </c>
      <c r="M357" s="11">
        <v>17088</v>
      </c>
      <c r="N357" s="8" t="s">
        <v>16</v>
      </c>
      <c r="O357" s="8" t="s">
        <v>17</v>
      </c>
      <c r="P357" s="8" t="s">
        <v>18</v>
      </c>
      <c r="Q357" s="8" t="s">
        <v>18</v>
      </c>
      <c r="R357" s="8" t="s">
        <v>2095</v>
      </c>
      <c r="S357" s="8" t="s">
        <v>2096</v>
      </c>
      <c r="T357" s="8" t="s">
        <v>2097</v>
      </c>
      <c r="U357" s="8" t="s">
        <v>2098</v>
      </c>
      <c r="V357" s="8" t="s">
        <v>459</v>
      </c>
      <c r="W357" s="8">
        <f t="shared" si="10"/>
        <v>4</v>
      </c>
      <c r="X357" s="8">
        <f>K357*L357*N357</f>
        <v>1367.04</v>
      </c>
    </row>
    <row r="358" spans="1:24" s="8" customFormat="1" ht="41.5" customHeight="1">
      <c r="A358" s="8" t="s">
        <v>2279</v>
      </c>
      <c r="B358" s="8" t="s">
        <v>467</v>
      </c>
      <c r="C358" s="9">
        <v>45948.483100740697</v>
      </c>
      <c r="D358" s="8" t="s">
        <v>2056</v>
      </c>
      <c r="E358" s="8" t="s">
        <v>2057</v>
      </c>
      <c r="F358" s="8">
        <v>22</v>
      </c>
      <c r="G358" s="22" t="s">
        <v>484</v>
      </c>
      <c r="H358" s="8" t="s">
        <v>484</v>
      </c>
      <c r="I358" s="2" t="str">
        <f t="shared" si="11"/>
        <v>Nối thẳng fun ĐK 27 PN10</v>
      </c>
      <c r="J358" s="8" t="s">
        <v>15</v>
      </c>
      <c r="K358" s="10">
        <v>5</v>
      </c>
      <c r="L358" s="10">
        <v>1303</v>
      </c>
      <c r="M358" s="11">
        <v>6515</v>
      </c>
      <c r="N358" s="8" t="s">
        <v>16</v>
      </c>
      <c r="O358" s="8" t="s">
        <v>17</v>
      </c>
      <c r="P358" s="8" t="s">
        <v>18</v>
      </c>
      <c r="Q358" s="8" t="s">
        <v>18</v>
      </c>
      <c r="R358" s="8" t="s">
        <v>2095</v>
      </c>
      <c r="S358" s="8" t="s">
        <v>2096</v>
      </c>
      <c r="T358" s="8" t="s">
        <v>2097</v>
      </c>
      <c r="U358" s="8" t="s">
        <v>2098</v>
      </c>
      <c r="V358" s="8" t="s">
        <v>459</v>
      </c>
      <c r="W358" s="8">
        <f t="shared" ref="W358:W421" si="12">ROUNDUP(MONTH(V358)/3,0)</f>
        <v>4</v>
      </c>
      <c r="X358" s="8">
        <f>K358*L358*N358</f>
        <v>521.20000000000005</v>
      </c>
    </row>
    <row r="359" spans="1:24" s="8" customFormat="1" ht="41.5" customHeight="1">
      <c r="A359" s="8" t="s">
        <v>2279</v>
      </c>
      <c r="B359" s="8" t="s">
        <v>467</v>
      </c>
      <c r="C359" s="9">
        <v>45948.483100740697</v>
      </c>
      <c r="D359" s="8" t="s">
        <v>2056</v>
      </c>
      <c r="E359" s="8" t="s">
        <v>2057</v>
      </c>
      <c r="F359" s="8">
        <v>23</v>
      </c>
      <c r="G359" s="22" t="s">
        <v>485</v>
      </c>
      <c r="H359" s="8" t="s">
        <v>485</v>
      </c>
      <c r="I359" s="2" t="str">
        <f t="shared" si="11"/>
        <v>Băng tan (9018)</v>
      </c>
      <c r="J359" s="8" t="s">
        <v>127</v>
      </c>
      <c r="K359" s="10">
        <v>200</v>
      </c>
      <c r="L359" s="10">
        <v>1051</v>
      </c>
      <c r="M359" s="11">
        <v>210200</v>
      </c>
      <c r="N359" s="8" t="s">
        <v>16</v>
      </c>
      <c r="O359" s="8" t="s">
        <v>17</v>
      </c>
      <c r="P359" s="8" t="s">
        <v>18</v>
      </c>
      <c r="Q359" s="8" t="s">
        <v>18</v>
      </c>
      <c r="R359" s="8" t="s">
        <v>2095</v>
      </c>
      <c r="S359" s="8" t="s">
        <v>2096</v>
      </c>
      <c r="T359" s="8" t="s">
        <v>2097</v>
      </c>
      <c r="U359" s="8" t="s">
        <v>2098</v>
      </c>
      <c r="V359" s="8" t="s">
        <v>459</v>
      </c>
      <c r="W359" s="8">
        <f t="shared" si="12"/>
        <v>4</v>
      </c>
      <c r="X359" s="8">
        <f>K359*L359*N359</f>
        <v>16816</v>
      </c>
    </row>
    <row r="360" spans="1:24" s="8" customFormat="1" ht="41.5" customHeight="1">
      <c r="A360" s="8" t="s">
        <v>2279</v>
      </c>
      <c r="B360" s="8" t="s">
        <v>467</v>
      </c>
      <c r="C360" s="9">
        <v>45948.483100740697</v>
      </c>
      <c r="D360" s="8" t="s">
        <v>2056</v>
      </c>
      <c r="E360" s="8" t="s">
        <v>2057</v>
      </c>
      <c r="F360" s="8">
        <v>24</v>
      </c>
      <c r="G360" s="22" t="s">
        <v>2227</v>
      </c>
      <c r="H360" s="8" t="s">
        <v>486</v>
      </c>
      <c r="I360" s="2" t="str">
        <f t="shared" si="11"/>
        <v>Nối thẳng ren trong phun uPVC đk 110-4" PN6</v>
      </c>
      <c r="J360" s="8" t="s">
        <v>15</v>
      </c>
      <c r="K360" s="10">
        <v>4</v>
      </c>
      <c r="L360" s="10">
        <v>46949</v>
      </c>
      <c r="M360" s="11">
        <v>187796</v>
      </c>
      <c r="N360" s="8" t="s">
        <v>16</v>
      </c>
      <c r="O360" s="8" t="s">
        <v>17</v>
      </c>
      <c r="P360" s="8" t="s">
        <v>18</v>
      </c>
      <c r="Q360" s="8" t="s">
        <v>18</v>
      </c>
      <c r="R360" s="8" t="s">
        <v>2095</v>
      </c>
      <c r="S360" s="8" t="s">
        <v>2096</v>
      </c>
      <c r="T360" s="8" t="s">
        <v>2097</v>
      </c>
      <c r="U360" s="8" t="s">
        <v>2098</v>
      </c>
      <c r="V360" s="8" t="s">
        <v>459</v>
      </c>
      <c r="W360" s="8">
        <f t="shared" si="12"/>
        <v>4</v>
      </c>
      <c r="X360" s="8">
        <f>K360*L360*N360</f>
        <v>15023.68</v>
      </c>
    </row>
    <row r="361" spans="1:24" s="8" customFormat="1" ht="41.5" customHeight="1">
      <c r="A361" s="8" t="s">
        <v>2402</v>
      </c>
      <c r="B361" s="8" t="s">
        <v>442</v>
      </c>
      <c r="C361" s="9">
        <v>45940.660971169003</v>
      </c>
      <c r="D361" s="8" t="s">
        <v>2056</v>
      </c>
      <c r="E361" s="8" t="s">
        <v>2057</v>
      </c>
      <c r="F361" s="8">
        <v>1</v>
      </c>
      <c r="G361" s="22" t="s">
        <v>2167</v>
      </c>
      <c r="H361" s="8" t="s">
        <v>306</v>
      </c>
      <c r="I361" s="2" t="str">
        <f t="shared" si="11"/>
        <v>JDDB1D45 -  máy phá dỡ</v>
      </c>
      <c r="J361" s="8" t="s">
        <v>15</v>
      </c>
      <c r="K361" s="10">
        <v>1</v>
      </c>
      <c r="L361" s="10">
        <v>1560000</v>
      </c>
      <c r="M361" s="11">
        <v>1560000</v>
      </c>
      <c r="N361" s="8" t="s">
        <v>30</v>
      </c>
      <c r="O361" s="8" t="s">
        <v>17</v>
      </c>
      <c r="P361" s="8" t="s">
        <v>18</v>
      </c>
      <c r="Q361" s="8" t="s">
        <v>18</v>
      </c>
      <c r="R361" s="8" t="s">
        <v>2403</v>
      </c>
      <c r="S361" s="8" t="s">
        <v>2171</v>
      </c>
      <c r="T361" s="8" t="s">
        <v>2172</v>
      </c>
      <c r="U361" s="8" t="s">
        <v>2404</v>
      </c>
      <c r="V361" s="8" t="s">
        <v>487</v>
      </c>
      <c r="W361" s="8">
        <f t="shared" si="12"/>
        <v>4</v>
      </c>
      <c r="X361" s="8">
        <f>K361*L361*N361</f>
        <v>156000</v>
      </c>
    </row>
    <row r="362" spans="1:24" s="8" customFormat="1" ht="41.5" customHeight="1">
      <c r="A362" s="8" t="s">
        <v>2402</v>
      </c>
      <c r="B362" s="8" t="s">
        <v>442</v>
      </c>
      <c r="C362" s="9">
        <v>45940.660971169003</v>
      </c>
      <c r="D362" s="8" t="s">
        <v>2056</v>
      </c>
      <c r="E362" s="8" t="s">
        <v>2057</v>
      </c>
      <c r="F362" s="8">
        <v>2</v>
      </c>
      <c r="G362" s="22" t="s">
        <v>488</v>
      </c>
      <c r="H362" s="8" t="s">
        <v>488</v>
      </c>
      <c r="I362" s="2" t="str">
        <f t="shared" si="11"/>
        <v>JDCW1512001 - Máy cưa tròn</v>
      </c>
      <c r="J362" s="8" t="s">
        <v>15</v>
      </c>
      <c r="K362" s="10">
        <v>1</v>
      </c>
      <c r="L362" s="10">
        <v>864000</v>
      </c>
      <c r="M362" s="11">
        <v>864000</v>
      </c>
      <c r="N362" s="8" t="s">
        <v>30</v>
      </c>
      <c r="O362" s="8" t="s">
        <v>17</v>
      </c>
      <c r="P362" s="8" t="s">
        <v>18</v>
      </c>
      <c r="Q362" s="8" t="s">
        <v>18</v>
      </c>
      <c r="R362" s="8" t="s">
        <v>2403</v>
      </c>
      <c r="S362" s="8" t="s">
        <v>2171</v>
      </c>
      <c r="T362" s="8" t="s">
        <v>2172</v>
      </c>
      <c r="U362" s="8" t="s">
        <v>2404</v>
      </c>
      <c r="V362" s="8" t="s">
        <v>487</v>
      </c>
      <c r="W362" s="8">
        <f t="shared" si="12"/>
        <v>4</v>
      </c>
      <c r="X362" s="8">
        <f>K362*L362*N362</f>
        <v>86400</v>
      </c>
    </row>
    <row r="363" spans="1:24" s="8" customFormat="1" ht="41.5" customHeight="1">
      <c r="A363" s="8" t="s">
        <v>2402</v>
      </c>
      <c r="B363" s="8" t="s">
        <v>442</v>
      </c>
      <c r="C363" s="9">
        <v>45940.660971169003</v>
      </c>
      <c r="D363" s="8" t="s">
        <v>2056</v>
      </c>
      <c r="E363" s="8" t="s">
        <v>2057</v>
      </c>
      <c r="F363" s="8">
        <v>3</v>
      </c>
      <c r="G363" s="22" t="s">
        <v>1568</v>
      </c>
      <c r="H363" s="8" t="s">
        <v>489</v>
      </c>
      <c r="I363" s="2" t="str">
        <f t="shared" si="11"/>
        <v>DL-DC28-E1 Máy khoan bê tông phi 28 1050W E</v>
      </c>
      <c r="J363" s="8" t="s">
        <v>19</v>
      </c>
      <c r="K363" s="10">
        <v>1</v>
      </c>
      <c r="L363" s="10">
        <v>1344000</v>
      </c>
      <c r="M363" s="11">
        <v>1344000</v>
      </c>
      <c r="N363" s="8" t="s">
        <v>30</v>
      </c>
      <c r="O363" s="8" t="s">
        <v>17</v>
      </c>
      <c r="P363" s="8" t="s">
        <v>18</v>
      </c>
      <c r="Q363" s="8" t="s">
        <v>18</v>
      </c>
      <c r="R363" s="8" t="s">
        <v>2403</v>
      </c>
      <c r="S363" s="8" t="s">
        <v>2171</v>
      </c>
      <c r="T363" s="8" t="s">
        <v>2172</v>
      </c>
      <c r="U363" s="8" t="s">
        <v>2404</v>
      </c>
      <c r="V363" s="8" t="s">
        <v>487</v>
      </c>
      <c r="W363" s="8">
        <f t="shared" si="12"/>
        <v>4</v>
      </c>
      <c r="X363" s="8">
        <f>K363*L363*N363</f>
        <v>134400</v>
      </c>
    </row>
    <row r="364" spans="1:24" s="8" customFormat="1" ht="41.5" customHeight="1">
      <c r="A364" s="8" t="s">
        <v>2402</v>
      </c>
      <c r="B364" s="8" t="s">
        <v>442</v>
      </c>
      <c r="C364" s="9">
        <v>45940.660971169003</v>
      </c>
      <c r="D364" s="8" t="s">
        <v>2056</v>
      </c>
      <c r="E364" s="8" t="s">
        <v>2057</v>
      </c>
      <c r="F364" s="8">
        <v>4</v>
      </c>
      <c r="G364" s="22" t="s">
        <v>2228</v>
      </c>
      <c r="H364" s="8" t="s">
        <v>490</v>
      </c>
      <c r="I364" s="2" t="str">
        <f t="shared" si="11"/>
        <v>JDCDP552 - Máy khoan dùng pin (không chổi than</v>
      </c>
      <c r="J364" s="8" t="s">
        <v>15</v>
      </c>
      <c r="K364" s="10">
        <v>1</v>
      </c>
      <c r="L364" s="10">
        <v>1040000</v>
      </c>
      <c r="M364" s="11">
        <v>1040000</v>
      </c>
      <c r="N364" s="8" t="s">
        <v>30</v>
      </c>
      <c r="O364" s="8" t="s">
        <v>17</v>
      </c>
      <c r="P364" s="8" t="s">
        <v>18</v>
      </c>
      <c r="Q364" s="8" t="s">
        <v>18</v>
      </c>
      <c r="R364" s="8" t="s">
        <v>2403</v>
      </c>
      <c r="S364" s="8" t="s">
        <v>2171</v>
      </c>
      <c r="T364" s="8" t="s">
        <v>2172</v>
      </c>
      <c r="U364" s="8" t="s">
        <v>2404</v>
      </c>
      <c r="V364" s="8" t="s">
        <v>487</v>
      </c>
      <c r="W364" s="8">
        <f t="shared" si="12"/>
        <v>4</v>
      </c>
      <c r="X364" s="8">
        <f>K364*L364*N364</f>
        <v>104000</v>
      </c>
    </row>
    <row r="365" spans="1:24" s="8" customFormat="1" ht="41.5" customHeight="1">
      <c r="A365" s="8" t="s">
        <v>2402</v>
      </c>
      <c r="B365" s="8" t="s">
        <v>442</v>
      </c>
      <c r="C365" s="9">
        <v>45940.660971169003</v>
      </c>
      <c r="D365" s="8" t="s">
        <v>2056</v>
      </c>
      <c r="E365" s="8" t="s">
        <v>2057</v>
      </c>
      <c r="F365" s="8">
        <v>5</v>
      </c>
      <c r="G365" s="22" t="s">
        <v>219</v>
      </c>
      <c r="H365" s="8" t="s">
        <v>219</v>
      </c>
      <c r="I365" s="2" t="str">
        <f t="shared" si="11"/>
        <v>JDMS2D02 - Bộ 10 đầu tuýp 1/2"</v>
      </c>
      <c r="J365" s="8" t="s">
        <v>53</v>
      </c>
      <c r="K365" s="10">
        <v>1</v>
      </c>
      <c r="L365" s="10">
        <v>280000</v>
      </c>
      <c r="M365" s="11">
        <v>280000</v>
      </c>
      <c r="N365" s="8" t="s">
        <v>30</v>
      </c>
      <c r="O365" s="8" t="s">
        <v>17</v>
      </c>
      <c r="P365" s="8" t="s">
        <v>18</v>
      </c>
      <c r="Q365" s="8" t="s">
        <v>18</v>
      </c>
      <c r="R365" s="8" t="s">
        <v>2403</v>
      </c>
      <c r="S365" s="8" t="s">
        <v>2171</v>
      </c>
      <c r="T365" s="8" t="s">
        <v>2172</v>
      </c>
      <c r="U365" s="8" t="s">
        <v>2404</v>
      </c>
      <c r="V365" s="8" t="s">
        <v>487</v>
      </c>
      <c r="W365" s="8">
        <f t="shared" si="12"/>
        <v>4</v>
      </c>
      <c r="X365" s="8">
        <f>K365*L365*N365</f>
        <v>28000</v>
      </c>
    </row>
    <row r="366" spans="1:24" s="8" customFormat="1" ht="41.5" customHeight="1">
      <c r="A366" s="8" t="s">
        <v>2402</v>
      </c>
      <c r="B366" s="8" t="s">
        <v>442</v>
      </c>
      <c r="C366" s="9">
        <v>45940.660971169003</v>
      </c>
      <c r="D366" s="8" t="s">
        <v>2056</v>
      </c>
      <c r="E366" s="8" t="s">
        <v>2057</v>
      </c>
      <c r="F366" s="8">
        <v>6</v>
      </c>
      <c r="G366" s="22" t="s">
        <v>1491</v>
      </c>
      <c r="H366" s="8" t="s">
        <v>491</v>
      </c>
      <c r="I366" s="2" t="str">
        <f t="shared" si="11"/>
        <v>JDMS1D01 - Bộ 10 đầu tuýp 1/2</v>
      </c>
      <c r="J366" s="8" t="s">
        <v>53</v>
      </c>
      <c r="K366" s="10">
        <v>1</v>
      </c>
      <c r="L366" s="10">
        <v>192000</v>
      </c>
      <c r="M366" s="11">
        <v>192000</v>
      </c>
      <c r="N366" s="8" t="s">
        <v>30</v>
      </c>
      <c r="O366" s="8" t="s">
        <v>17</v>
      </c>
      <c r="P366" s="8" t="s">
        <v>18</v>
      </c>
      <c r="Q366" s="8" t="s">
        <v>18</v>
      </c>
      <c r="R366" s="8" t="s">
        <v>2403</v>
      </c>
      <c r="S366" s="8" t="s">
        <v>2171</v>
      </c>
      <c r="T366" s="8" t="s">
        <v>2172</v>
      </c>
      <c r="U366" s="8" t="s">
        <v>2404</v>
      </c>
      <c r="V366" s="8" t="s">
        <v>487</v>
      </c>
      <c r="W366" s="8">
        <f t="shared" si="12"/>
        <v>4</v>
      </c>
      <c r="X366" s="8">
        <f>K366*L366*N366</f>
        <v>19200</v>
      </c>
    </row>
    <row r="367" spans="1:24" s="8" customFormat="1" ht="41.5" customHeight="1">
      <c r="A367" s="8" t="s">
        <v>2402</v>
      </c>
      <c r="B367" s="8" t="s">
        <v>442</v>
      </c>
      <c r="C367" s="9">
        <v>45940.660971169003</v>
      </c>
      <c r="D367" s="8" t="s">
        <v>2056</v>
      </c>
      <c r="E367" s="8" t="s">
        <v>2057</v>
      </c>
      <c r="F367" s="8">
        <v>7</v>
      </c>
      <c r="G367" s="22" t="s">
        <v>492</v>
      </c>
      <c r="H367" s="8" t="s">
        <v>492</v>
      </c>
      <c r="I367" s="2" t="str">
        <f t="shared" si="11"/>
        <v>DL003A Dao rọc giấy 18mm E</v>
      </c>
      <c r="J367" s="8" t="s">
        <v>19</v>
      </c>
      <c r="K367" s="10">
        <v>20</v>
      </c>
      <c r="L367" s="10">
        <v>13118.52</v>
      </c>
      <c r="M367" s="11">
        <v>262370</v>
      </c>
      <c r="N367" s="8" t="s">
        <v>16</v>
      </c>
      <c r="O367" s="8" t="s">
        <v>17</v>
      </c>
      <c r="P367" s="8" t="s">
        <v>18</v>
      </c>
      <c r="Q367" s="8" t="s">
        <v>18</v>
      </c>
      <c r="R367" s="8" t="s">
        <v>2403</v>
      </c>
      <c r="S367" s="8" t="s">
        <v>2171</v>
      </c>
      <c r="T367" s="8" t="s">
        <v>2172</v>
      </c>
      <c r="U367" s="8" t="s">
        <v>2404</v>
      </c>
      <c r="V367" s="8" t="s">
        <v>487</v>
      </c>
      <c r="W367" s="8">
        <f t="shared" si="12"/>
        <v>4</v>
      </c>
      <c r="X367" s="8">
        <f>K367*L367*N367</f>
        <v>20989.632000000001</v>
      </c>
    </row>
    <row r="368" spans="1:24" s="8" customFormat="1" ht="41.5" customHeight="1">
      <c r="A368" s="8" t="s">
        <v>2402</v>
      </c>
      <c r="B368" s="8" t="s">
        <v>442</v>
      </c>
      <c r="C368" s="9">
        <v>45940.660971169003</v>
      </c>
      <c r="D368" s="8" t="s">
        <v>2056</v>
      </c>
      <c r="E368" s="8" t="s">
        <v>2057</v>
      </c>
      <c r="F368" s="8">
        <v>8</v>
      </c>
      <c r="G368" s="22" t="s">
        <v>1547</v>
      </c>
      <c r="H368" s="8" t="s">
        <v>493</v>
      </c>
      <c r="I368" s="2" t="str">
        <f t="shared" si="11"/>
        <v>EDL-JM100-E4 Máy mài 220V-240V</v>
      </c>
      <c r="J368" s="8" t="s">
        <v>19</v>
      </c>
      <c r="K368" s="10">
        <v>1</v>
      </c>
      <c r="L368" s="10">
        <v>586666.67000000004</v>
      </c>
      <c r="M368" s="11">
        <v>586667</v>
      </c>
      <c r="N368" s="8" t="s">
        <v>16</v>
      </c>
      <c r="O368" s="8" t="s">
        <v>17</v>
      </c>
      <c r="P368" s="8" t="s">
        <v>18</v>
      </c>
      <c r="Q368" s="8" t="s">
        <v>18</v>
      </c>
      <c r="R368" s="8" t="s">
        <v>2403</v>
      </c>
      <c r="S368" s="8" t="s">
        <v>2171</v>
      </c>
      <c r="T368" s="8" t="s">
        <v>2172</v>
      </c>
      <c r="U368" s="8" t="s">
        <v>2404</v>
      </c>
      <c r="V368" s="8" t="s">
        <v>487</v>
      </c>
      <c r="W368" s="8">
        <f t="shared" si="12"/>
        <v>4</v>
      </c>
      <c r="X368" s="8">
        <f>K368*L368*N368</f>
        <v>46933.333600000005</v>
      </c>
    </row>
    <row r="369" spans="1:24" s="8" customFormat="1" ht="41.5" customHeight="1">
      <c r="A369" s="8" t="s">
        <v>2402</v>
      </c>
      <c r="B369" s="8" t="s">
        <v>442</v>
      </c>
      <c r="C369" s="9">
        <v>45940.660971169003</v>
      </c>
      <c r="D369" s="8" t="s">
        <v>2056</v>
      </c>
      <c r="E369" s="8" t="s">
        <v>2057</v>
      </c>
      <c r="F369" s="8">
        <v>9</v>
      </c>
      <c r="G369" s="22" t="s">
        <v>494</v>
      </c>
      <c r="H369" s="8" t="s">
        <v>494</v>
      </c>
      <c r="I369" s="2" t="str">
        <f t="shared" si="11"/>
        <v>Máy khoan động lực 820W EDL-CZ13-E6</v>
      </c>
      <c r="J369" s="8" t="s">
        <v>19</v>
      </c>
      <c r="K369" s="10">
        <v>1</v>
      </c>
      <c r="L369" s="10">
        <v>598888.89</v>
      </c>
      <c r="M369" s="11">
        <v>598889</v>
      </c>
      <c r="N369" s="8" t="s">
        <v>16</v>
      </c>
      <c r="O369" s="8" t="s">
        <v>17</v>
      </c>
      <c r="P369" s="8" t="s">
        <v>18</v>
      </c>
      <c r="Q369" s="8" t="s">
        <v>18</v>
      </c>
      <c r="R369" s="8" t="s">
        <v>2403</v>
      </c>
      <c r="S369" s="8" t="s">
        <v>2171</v>
      </c>
      <c r="T369" s="8" t="s">
        <v>2172</v>
      </c>
      <c r="U369" s="8" t="s">
        <v>2404</v>
      </c>
      <c r="V369" s="8" t="s">
        <v>487</v>
      </c>
      <c r="W369" s="8">
        <f t="shared" si="12"/>
        <v>4</v>
      </c>
      <c r="X369" s="8">
        <f>K369*L369*N369</f>
        <v>47911.111199999999</v>
      </c>
    </row>
    <row r="370" spans="1:24" s="8" customFormat="1" ht="41.5" customHeight="1">
      <c r="A370" s="8" t="s">
        <v>2402</v>
      </c>
      <c r="B370" s="8" t="s">
        <v>442</v>
      </c>
      <c r="C370" s="9">
        <v>45940.660971169003</v>
      </c>
      <c r="D370" s="8" t="s">
        <v>2056</v>
      </c>
      <c r="E370" s="8" t="s">
        <v>2057</v>
      </c>
      <c r="F370" s="8">
        <v>10</v>
      </c>
      <c r="G370" s="22" t="s">
        <v>1574</v>
      </c>
      <c r="H370" s="8" t="s">
        <v>495</v>
      </c>
      <c r="I370" s="2" t="str">
        <f t="shared" si="11"/>
        <v>EDL-JM100-E2 Máy mài 100mm công tắc đuôi</v>
      </c>
      <c r="J370" s="8" t="s">
        <v>19</v>
      </c>
      <c r="K370" s="10">
        <v>1</v>
      </c>
      <c r="L370" s="10">
        <v>529629.63</v>
      </c>
      <c r="M370" s="11">
        <v>529630</v>
      </c>
      <c r="N370" s="8" t="s">
        <v>16</v>
      </c>
      <c r="O370" s="8" t="s">
        <v>17</v>
      </c>
      <c r="P370" s="8" t="s">
        <v>18</v>
      </c>
      <c r="Q370" s="8" t="s">
        <v>18</v>
      </c>
      <c r="R370" s="8" t="s">
        <v>2403</v>
      </c>
      <c r="S370" s="8" t="s">
        <v>2171</v>
      </c>
      <c r="T370" s="8" t="s">
        <v>2172</v>
      </c>
      <c r="U370" s="8" t="s">
        <v>2404</v>
      </c>
      <c r="V370" s="8" t="s">
        <v>487</v>
      </c>
      <c r="W370" s="8">
        <f t="shared" si="12"/>
        <v>4</v>
      </c>
      <c r="X370" s="8">
        <f>K370*L370*N370</f>
        <v>42370.3704</v>
      </c>
    </row>
    <row r="371" spans="1:24" s="8" customFormat="1" ht="41.5" customHeight="1">
      <c r="A371" s="8" t="s">
        <v>2402</v>
      </c>
      <c r="B371" s="8" t="s">
        <v>442</v>
      </c>
      <c r="C371" s="9">
        <v>45940.660971169003</v>
      </c>
      <c r="D371" s="8" t="s">
        <v>2056</v>
      </c>
      <c r="E371" s="8" t="s">
        <v>2057</v>
      </c>
      <c r="F371" s="8">
        <v>11</v>
      </c>
      <c r="G371" s="22" t="s">
        <v>496</v>
      </c>
      <c r="H371" s="8" t="s">
        <v>496</v>
      </c>
      <c r="I371" s="2" t="str">
        <f t="shared" si="11"/>
        <v>EDL-JM100-E1 Máy mài góc 100mm 750W</v>
      </c>
      <c r="J371" s="8" t="s">
        <v>19</v>
      </c>
      <c r="K371" s="10">
        <v>1</v>
      </c>
      <c r="L371" s="10">
        <v>430222.22</v>
      </c>
      <c r="M371" s="11">
        <v>430222</v>
      </c>
      <c r="N371" s="8" t="s">
        <v>16</v>
      </c>
      <c r="O371" s="8" t="s">
        <v>17</v>
      </c>
      <c r="P371" s="8" t="s">
        <v>18</v>
      </c>
      <c r="Q371" s="8" t="s">
        <v>18</v>
      </c>
      <c r="R371" s="8" t="s">
        <v>2403</v>
      </c>
      <c r="S371" s="8" t="s">
        <v>2171</v>
      </c>
      <c r="T371" s="8" t="s">
        <v>2172</v>
      </c>
      <c r="U371" s="8" t="s">
        <v>2404</v>
      </c>
      <c r="V371" s="8" t="s">
        <v>487</v>
      </c>
      <c r="W371" s="8">
        <f t="shared" si="12"/>
        <v>4</v>
      </c>
      <c r="X371" s="8">
        <f>K371*L371*N371</f>
        <v>34417.777600000001</v>
      </c>
    </row>
    <row r="372" spans="1:24" s="8" customFormat="1" ht="41.5" customHeight="1">
      <c r="A372" s="8" t="s">
        <v>2402</v>
      </c>
      <c r="B372" s="8" t="s">
        <v>442</v>
      </c>
      <c r="C372" s="9">
        <v>45940.660971169003</v>
      </c>
      <c r="D372" s="8" t="s">
        <v>2056</v>
      </c>
      <c r="E372" s="8" t="s">
        <v>2057</v>
      </c>
      <c r="F372" s="8">
        <v>12</v>
      </c>
      <c r="G372" s="22" t="s">
        <v>2175</v>
      </c>
      <c r="H372" s="8" t="s">
        <v>95</v>
      </c>
      <c r="I372" s="2" t="str">
        <f t="shared" si="11"/>
        <v>dl4805T Mũi chụp tôn đen 8*48mm E</v>
      </c>
      <c r="J372" s="8" t="s">
        <v>55</v>
      </c>
      <c r="K372" s="10">
        <v>1</v>
      </c>
      <c r="L372" s="10">
        <v>41962.96</v>
      </c>
      <c r="M372" s="11">
        <v>41963</v>
      </c>
      <c r="N372" s="8" t="s">
        <v>16</v>
      </c>
      <c r="O372" s="8" t="s">
        <v>17</v>
      </c>
      <c r="P372" s="8" t="s">
        <v>18</v>
      </c>
      <c r="Q372" s="8" t="s">
        <v>18</v>
      </c>
      <c r="R372" s="8" t="s">
        <v>2403</v>
      </c>
      <c r="S372" s="8" t="s">
        <v>2171</v>
      </c>
      <c r="T372" s="8" t="s">
        <v>2172</v>
      </c>
      <c r="U372" s="8" t="s">
        <v>2404</v>
      </c>
      <c r="V372" s="8" t="s">
        <v>487</v>
      </c>
      <c r="W372" s="8">
        <f t="shared" si="12"/>
        <v>4</v>
      </c>
      <c r="X372" s="8">
        <f>K372*L372*N372</f>
        <v>3357.0367999999999</v>
      </c>
    </row>
    <row r="373" spans="1:24" s="8" customFormat="1" ht="41.5" customHeight="1">
      <c r="A373" s="8" t="s">
        <v>2402</v>
      </c>
      <c r="B373" s="8" t="s">
        <v>442</v>
      </c>
      <c r="C373" s="9">
        <v>45940.660971169003</v>
      </c>
      <c r="D373" s="8" t="s">
        <v>2056</v>
      </c>
      <c r="E373" s="8" t="s">
        <v>2057</v>
      </c>
      <c r="F373" s="8">
        <v>13</v>
      </c>
      <c r="G373" s="22" t="s">
        <v>177</v>
      </c>
      <c r="H373" s="8" t="s">
        <v>497</v>
      </c>
      <c r="I373" s="2" t="str">
        <f t="shared" si="11"/>
        <v>EDH-HJZ017-E1 Mũi đục</v>
      </c>
      <c r="J373" s="8" t="s">
        <v>19</v>
      </c>
      <c r="K373" s="10">
        <v>10</v>
      </c>
      <c r="L373" s="10">
        <v>41148.15</v>
      </c>
      <c r="M373" s="11">
        <v>411482</v>
      </c>
      <c r="N373" s="8" t="s">
        <v>16</v>
      </c>
      <c r="O373" s="8" t="s">
        <v>17</v>
      </c>
      <c r="P373" s="8" t="s">
        <v>18</v>
      </c>
      <c r="Q373" s="8" t="s">
        <v>18</v>
      </c>
      <c r="R373" s="8" t="s">
        <v>2403</v>
      </c>
      <c r="S373" s="8" t="s">
        <v>2171</v>
      </c>
      <c r="T373" s="8" t="s">
        <v>2172</v>
      </c>
      <c r="U373" s="8" t="s">
        <v>2404</v>
      </c>
      <c r="V373" s="8" t="s">
        <v>487</v>
      </c>
      <c r="W373" s="8">
        <f t="shared" si="12"/>
        <v>4</v>
      </c>
      <c r="X373" s="8">
        <f>K373*L373*N373</f>
        <v>32918.520000000004</v>
      </c>
    </row>
    <row r="374" spans="1:24" s="8" customFormat="1" ht="41.5" customHeight="1">
      <c r="A374" s="8" t="s">
        <v>2402</v>
      </c>
      <c r="B374" s="8" t="s">
        <v>442</v>
      </c>
      <c r="C374" s="9">
        <v>45940.660971169003</v>
      </c>
      <c r="D374" s="8" t="s">
        <v>2056</v>
      </c>
      <c r="E374" s="8" t="s">
        <v>2057</v>
      </c>
      <c r="F374" s="8">
        <v>14</v>
      </c>
      <c r="G374" s="22" t="s">
        <v>2229</v>
      </c>
      <c r="H374" s="8" t="s">
        <v>498</v>
      </c>
      <c r="I374" s="2" t="str">
        <f t="shared" si="11"/>
        <v>DL251050 Mũi vít động lực đen PH 2x50mm E</v>
      </c>
      <c r="J374" s="8" t="s">
        <v>55</v>
      </c>
      <c r="K374" s="10">
        <v>2</v>
      </c>
      <c r="L374" s="10">
        <v>57851.85</v>
      </c>
      <c r="M374" s="11">
        <v>115704</v>
      </c>
      <c r="N374" s="8" t="s">
        <v>16</v>
      </c>
      <c r="O374" s="8" t="s">
        <v>17</v>
      </c>
      <c r="P374" s="8" t="s">
        <v>18</v>
      </c>
      <c r="Q374" s="8" t="s">
        <v>18</v>
      </c>
      <c r="R374" s="8" t="s">
        <v>2403</v>
      </c>
      <c r="S374" s="8" t="s">
        <v>2171</v>
      </c>
      <c r="T374" s="8" t="s">
        <v>2172</v>
      </c>
      <c r="U374" s="8" t="s">
        <v>2404</v>
      </c>
      <c r="V374" s="8" t="s">
        <v>487</v>
      </c>
      <c r="W374" s="8">
        <f t="shared" si="12"/>
        <v>4</v>
      </c>
      <c r="X374" s="8">
        <f>K374*L374*N374</f>
        <v>9256.2960000000003</v>
      </c>
    </row>
    <row r="375" spans="1:24" s="8" customFormat="1" ht="41.5" customHeight="1">
      <c r="A375" s="8" t="s">
        <v>2402</v>
      </c>
      <c r="B375" s="8" t="s">
        <v>442</v>
      </c>
      <c r="C375" s="9">
        <v>45940.660971169003</v>
      </c>
      <c r="D375" s="8" t="s">
        <v>2056</v>
      </c>
      <c r="E375" s="8" t="s">
        <v>2057</v>
      </c>
      <c r="F375" s="8">
        <v>15</v>
      </c>
      <c r="G375" s="22" t="s">
        <v>1499</v>
      </c>
      <c r="H375" s="8" t="s">
        <v>322</v>
      </c>
      <c r="I375" s="2" t="str">
        <f t="shared" si="11"/>
        <v>DL251100 Mũi vít động lực đen PH2X100mm E</v>
      </c>
      <c r="J375" s="8" t="s">
        <v>55</v>
      </c>
      <c r="K375" s="10">
        <v>2</v>
      </c>
      <c r="L375" s="10">
        <v>97777.78</v>
      </c>
      <c r="M375" s="11">
        <v>195556</v>
      </c>
      <c r="N375" s="8" t="s">
        <v>16</v>
      </c>
      <c r="O375" s="8" t="s">
        <v>17</v>
      </c>
      <c r="P375" s="8" t="s">
        <v>18</v>
      </c>
      <c r="Q375" s="8" t="s">
        <v>18</v>
      </c>
      <c r="R375" s="8" t="s">
        <v>2403</v>
      </c>
      <c r="S375" s="8" t="s">
        <v>2171</v>
      </c>
      <c r="T375" s="8" t="s">
        <v>2172</v>
      </c>
      <c r="U375" s="8" t="s">
        <v>2404</v>
      </c>
      <c r="V375" s="8" t="s">
        <v>487</v>
      </c>
      <c r="W375" s="8">
        <f t="shared" si="12"/>
        <v>4</v>
      </c>
      <c r="X375" s="8">
        <f>K375*L375*N375</f>
        <v>15644.444799999999</v>
      </c>
    </row>
    <row r="376" spans="1:24" s="8" customFormat="1" ht="41.5" customHeight="1">
      <c r="A376" s="8" t="s">
        <v>2286</v>
      </c>
      <c r="B376" s="8" t="s">
        <v>2405</v>
      </c>
      <c r="C376" s="9">
        <v>45938.7402259722</v>
      </c>
      <c r="D376" s="8" t="s">
        <v>2056</v>
      </c>
      <c r="E376" s="8" t="s">
        <v>2057</v>
      </c>
      <c r="F376" s="8">
        <v>1</v>
      </c>
      <c r="G376" s="22" t="s">
        <v>499</v>
      </c>
      <c r="H376" s="8" t="s">
        <v>499</v>
      </c>
      <c r="I376" s="2" t="str">
        <f t="shared" si="11"/>
        <v>Jotun int &amp; ext putty 40kg</v>
      </c>
      <c r="J376" s="8" t="s">
        <v>185</v>
      </c>
      <c r="K376" s="10">
        <v>1</v>
      </c>
      <c r="L376" s="10">
        <v>354166.67</v>
      </c>
      <c r="M376" s="11">
        <v>354166.67</v>
      </c>
      <c r="N376" s="8" t="s">
        <v>16</v>
      </c>
      <c r="O376" s="8" t="s">
        <v>17</v>
      </c>
      <c r="P376" s="8" t="s">
        <v>18</v>
      </c>
      <c r="Q376" s="8" t="s">
        <v>18</v>
      </c>
      <c r="R376" s="8" t="s">
        <v>2110</v>
      </c>
      <c r="S376" s="8" t="s">
        <v>2120</v>
      </c>
      <c r="T376" s="8" t="s">
        <v>2121</v>
      </c>
      <c r="U376" s="8" t="s">
        <v>2122</v>
      </c>
      <c r="V376" s="8" t="s">
        <v>500</v>
      </c>
      <c r="W376" s="8">
        <f t="shared" si="12"/>
        <v>4</v>
      </c>
      <c r="X376" s="8">
        <f>K376*L376*N376</f>
        <v>28333.333599999998</v>
      </c>
    </row>
    <row r="377" spans="1:24" s="8" customFormat="1" ht="41.5" customHeight="1">
      <c r="A377" s="8" t="s">
        <v>2286</v>
      </c>
      <c r="B377" s="8" t="s">
        <v>2405</v>
      </c>
      <c r="C377" s="9">
        <v>45938.7402259722</v>
      </c>
      <c r="D377" s="8" t="s">
        <v>2056</v>
      </c>
      <c r="E377" s="8" t="s">
        <v>2057</v>
      </c>
      <c r="F377" s="8">
        <v>2</v>
      </c>
      <c r="G377" s="22" t="s">
        <v>501</v>
      </c>
      <c r="H377" s="8" t="s">
        <v>501</v>
      </c>
      <c r="I377" s="2" t="str">
        <f t="shared" si="11"/>
        <v>Jotun interior putty 40kg</v>
      </c>
      <c r="J377" s="8" t="s">
        <v>185</v>
      </c>
      <c r="K377" s="10">
        <v>9</v>
      </c>
      <c r="L377" s="10">
        <v>256944.44</v>
      </c>
      <c r="M377" s="11">
        <v>2312499.96</v>
      </c>
      <c r="N377" s="8" t="s">
        <v>16</v>
      </c>
      <c r="O377" s="8" t="s">
        <v>17</v>
      </c>
      <c r="P377" s="8" t="s">
        <v>18</v>
      </c>
      <c r="Q377" s="8" t="s">
        <v>18</v>
      </c>
      <c r="R377" s="8" t="s">
        <v>2110</v>
      </c>
      <c r="S377" s="8" t="s">
        <v>2120</v>
      </c>
      <c r="T377" s="8" t="s">
        <v>2121</v>
      </c>
      <c r="U377" s="8" t="s">
        <v>2122</v>
      </c>
      <c r="V377" s="8" t="s">
        <v>500</v>
      </c>
      <c r="W377" s="8">
        <f t="shared" si="12"/>
        <v>4</v>
      </c>
      <c r="X377" s="8">
        <f>K377*L377*N377</f>
        <v>184999.99679999999</v>
      </c>
    </row>
    <row r="378" spans="1:24" s="8" customFormat="1" ht="41.5" customHeight="1">
      <c r="A378" s="8" t="s">
        <v>2286</v>
      </c>
      <c r="B378" s="8" t="s">
        <v>2405</v>
      </c>
      <c r="C378" s="9">
        <v>45938.7402259722</v>
      </c>
      <c r="D378" s="8" t="s">
        <v>2056</v>
      </c>
      <c r="E378" s="8" t="s">
        <v>2057</v>
      </c>
      <c r="F378" s="8">
        <v>3</v>
      </c>
      <c r="G378" s="22" t="s">
        <v>2230</v>
      </c>
      <c r="H378" s="8" t="s">
        <v>502</v>
      </c>
      <c r="I378" s="2" t="str">
        <f t="shared" si="11"/>
        <v>GARDEX bóng mở BASE B 2.25L</v>
      </c>
      <c r="J378" s="8" t="s">
        <v>56</v>
      </c>
      <c r="K378" s="10">
        <v>4</v>
      </c>
      <c r="L378" s="10">
        <v>474074.07</v>
      </c>
      <c r="M378" s="11">
        <v>1896296.28</v>
      </c>
      <c r="N378" s="8" t="s">
        <v>16</v>
      </c>
      <c r="O378" s="8" t="s">
        <v>17</v>
      </c>
      <c r="P378" s="8" t="s">
        <v>18</v>
      </c>
      <c r="Q378" s="8" t="s">
        <v>18</v>
      </c>
      <c r="R378" s="8" t="s">
        <v>2110</v>
      </c>
      <c r="S378" s="8" t="s">
        <v>2120</v>
      </c>
      <c r="T378" s="8" t="s">
        <v>2121</v>
      </c>
      <c r="U378" s="8" t="s">
        <v>2122</v>
      </c>
      <c r="V378" s="8" t="s">
        <v>500</v>
      </c>
      <c r="W378" s="8">
        <f t="shared" si="12"/>
        <v>4</v>
      </c>
      <c r="X378" s="8">
        <f>K378*L378*N378</f>
        <v>151703.70240000001</v>
      </c>
    </row>
    <row r="379" spans="1:24" s="8" customFormat="1" ht="41.5" customHeight="1">
      <c r="A379" s="8" t="s">
        <v>2286</v>
      </c>
      <c r="B379" s="8" t="s">
        <v>2405</v>
      </c>
      <c r="C379" s="9">
        <v>45938.7402259722</v>
      </c>
      <c r="D379" s="8" t="s">
        <v>2056</v>
      </c>
      <c r="E379" s="8" t="s">
        <v>2057</v>
      </c>
      <c r="F379" s="8">
        <v>4</v>
      </c>
      <c r="G379" s="22" t="s">
        <v>2129</v>
      </c>
      <c r="H379" s="8" t="s">
        <v>254</v>
      </c>
      <c r="I379" s="2" t="str">
        <f t="shared" si="11"/>
        <v>Jotashield bền màu toàn diện Base a 13.5L</v>
      </c>
      <c r="J379" s="8" t="s">
        <v>54</v>
      </c>
      <c r="K379" s="10">
        <v>1</v>
      </c>
      <c r="L379" s="10">
        <v>3331481.48</v>
      </c>
      <c r="M379" s="11">
        <v>3331481.48</v>
      </c>
      <c r="N379" s="8" t="s">
        <v>16</v>
      </c>
      <c r="O379" s="8" t="s">
        <v>17</v>
      </c>
      <c r="P379" s="8" t="s">
        <v>18</v>
      </c>
      <c r="Q379" s="8" t="s">
        <v>18</v>
      </c>
      <c r="R379" s="8" t="s">
        <v>2110</v>
      </c>
      <c r="S379" s="8" t="s">
        <v>2120</v>
      </c>
      <c r="T379" s="8" t="s">
        <v>2121</v>
      </c>
      <c r="U379" s="8" t="s">
        <v>2122</v>
      </c>
      <c r="V379" s="8" t="s">
        <v>500</v>
      </c>
      <c r="W379" s="8">
        <f t="shared" si="12"/>
        <v>4</v>
      </c>
      <c r="X379" s="8">
        <f>K379*L379*N379</f>
        <v>266518.5184</v>
      </c>
    </row>
    <row r="380" spans="1:24" s="8" customFormat="1" ht="41.5" customHeight="1">
      <c r="A380" s="8" t="s">
        <v>2286</v>
      </c>
      <c r="B380" s="8" t="s">
        <v>2405</v>
      </c>
      <c r="C380" s="9">
        <v>45938.7402259722</v>
      </c>
      <c r="D380" s="8" t="s">
        <v>2056</v>
      </c>
      <c r="E380" s="8" t="s">
        <v>2057</v>
      </c>
      <c r="F380" s="8">
        <v>5</v>
      </c>
      <c r="G380" s="22" t="s">
        <v>2231</v>
      </c>
      <c r="H380" s="8" t="s">
        <v>503</v>
      </c>
      <c r="I380" s="2" t="str">
        <f t="shared" si="11"/>
        <v>Jotashield chống phai màu A 0.9L</v>
      </c>
      <c r="J380" s="8" t="s">
        <v>56</v>
      </c>
      <c r="K380" s="10">
        <v>3</v>
      </c>
      <c r="L380" s="10">
        <v>250000</v>
      </c>
      <c r="M380" s="11">
        <v>750000</v>
      </c>
      <c r="N380" s="8" t="s">
        <v>16</v>
      </c>
      <c r="O380" s="8" t="s">
        <v>17</v>
      </c>
      <c r="P380" s="8" t="s">
        <v>18</v>
      </c>
      <c r="Q380" s="8" t="s">
        <v>18</v>
      </c>
      <c r="R380" s="8" t="s">
        <v>2110</v>
      </c>
      <c r="S380" s="8" t="s">
        <v>2120</v>
      </c>
      <c r="T380" s="8" t="s">
        <v>2121</v>
      </c>
      <c r="U380" s="8" t="s">
        <v>2122</v>
      </c>
      <c r="V380" s="8" t="s">
        <v>500</v>
      </c>
      <c r="W380" s="8">
        <f t="shared" si="12"/>
        <v>4</v>
      </c>
      <c r="X380" s="8">
        <f>K380*L380*N380</f>
        <v>60000</v>
      </c>
    </row>
    <row r="381" spans="1:24" s="8" customFormat="1" ht="41.5" customHeight="1">
      <c r="A381" s="8" t="s">
        <v>2286</v>
      </c>
      <c r="B381" s="8" t="s">
        <v>2405</v>
      </c>
      <c r="C381" s="9">
        <v>45938.7402259722</v>
      </c>
      <c r="D381" s="8" t="s">
        <v>2056</v>
      </c>
      <c r="E381" s="8" t="s">
        <v>2057</v>
      </c>
      <c r="F381" s="8">
        <v>6</v>
      </c>
      <c r="G381" s="22" t="s">
        <v>1311</v>
      </c>
      <c r="H381" s="8" t="s">
        <v>181</v>
      </c>
      <c r="I381" s="2" t="str">
        <f t="shared" si="11"/>
        <v>Jotashield chống phai màu A4.5L</v>
      </c>
      <c r="J381" s="8" t="s">
        <v>56</v>
      </c>
      <c r="K381" s="10">
        <v>2</v>
      </c>
      <c r="L381" s="10">
        <v>1227777.78</v>
      </c>
      <c r="M381" s="11">
        <v>2455555.56</v>
      </c>
      <c r="N381" s="8" t="s">
        <v>16</v>
      </c>
      <c r="O381" s="8" t="s">
        <v>17</v>
      </c>
      <c r="P381" s="8" t="s">
        <v>18</v>
      </c>
      <c r="Q381" s="8" t="s">
        <v>18</v>
      </c>
      <c r="R381" s="8" t="s">
        <v>2110</v>
      </c>
      <c r="S381" s="8" t="s">
        <v>2120</v>
      </c>
      <c r="T381" s="8" t="s">
        <v>2121</v>
      </c>
      <c r="U381" s="8" t="s">
        <v>2122</v>
      </c>
      <c r="V381" s="8" t="s">
        <v>500</v>
      </c>
      <c r="W381" s="8">
        <f t="shared" si="12"/>
        <v>4</v>
      </c>
      <c r="X381" s="8">
        <f>K381*L381*N381</f>
        <v>196444.4448</v>
      </c>
    </row>
    <row r="382" spans="1:24" s="8" customFormat="1" ht="41.5" customHeight="1">
      <c r="A382" s="8" t="s">
        <v>2286</v>
      </c>
      <c r="B382" s="8" t="s">
        <v>2405</v>
      </c>
      <c r="C382" s="9">
        <v>45938.7402259722</v>
      </c>
      <c r="D382" s="8" t="s">
        <v>2056</v>
      </c>
      <c r="E382" s="8" t="s">
        <v>2057</v>
      </c>
      <c r="F382" s="8">
        <v>7</v>
      </c>
      <c r="G382" s="22" t="s">
        <v>1506</v>
      </c>
      <c r="H382" s="8" t="s">
        <v>504</v>
      </c>
      <c r="I382" s="2" t="str">
        <f t="shared" si="11"/>
        <v>Tough Shield Prime 5L</v>
      </c>
      <c r="J382" s="8" t="s">
        <v>56</v>
      </c>
      <c r="K382" s="10">
        <v>1</v>
      </c>
      <c r="L382" s="10">
        <v>571982.4</v>
      </c>
      <c r="M382" s="11">
        <v>571982.4</v>
      </c>
      <c r="N382" s="8" t="s">
        <v>16</v>
      </c>
      <c r="O382" s="8" t="s">
        <v>17</v>
      </c>
      <c r="P382" s="8" t="s">
        <v>18</v>
      </c>
      <c r="Q382" s="8" t="s">
        <v>18</v>
      </c>
      <c r="R382" s="8" t="s">
        <v>2110</v>
      </c>
      <c r="S382" s="8" t="s">
        <v>2120</v>
      </c>
      <c r="T382" s="8" t="s">
        <v>2121</v>
      </c>
      <c r="U382" s="8" t="s">
        <v>2122</v>
      </c>
      <c r="V382" s="8" t="s">
        <v>500</v>
      </c>
      <c r="W382" s="8">
        <f t="shared" si="12"/>
        <v>4</v>
      </c>
      <c r="X382" s="8">
        <f>K382*L382*N382</f>
        <v>45758.592000000004</v>
      </c>
    </row>
    <row r="383" spans="1:24" s="8" customFormat="1" ht="41.5" customHeight="1">
      <c r="A383" s="8" t="s">
        <v>2286</v>
      </c>
      <c r="B383" s="8" t="s">
        <v>2405</v>
      </c>
      <c r="C383" s="9">
        <v>45938.7402259722</v>
      </c>
      <c r="D383" s="8" t="s">
        <v>2056</v>
      </c>
      <c r="E383" s="8" t="s">
        <v>2057</v>
      </c>
      <c r="F383" s="8">
        <v>8</v>
      </c>
      <c r="G383" s="27" t="s">
        <v>102</v>
      </c>
      <c r="H383" s="8" t="s">
        <v>179</v>
      </c>
      <c r="I383" s="2" t="str">
        <f t="shared" si="11"/>
        <v>Majestic Primer 17L</v>
      </c>
      <c r="J383" s="8" t="s">
        <v>54</v>
      </c>
      <c r="K383" s="10">
        <v>2</v>
      </c>
      <c r="L383" s="10">
        <v>1407453.7</v>
      </c>
      <c r="M383" s="11">
        <v>2814907.4</v>
      </c>
      <c r="N383" s="8" t="s">
        <v>16</v>
      </c>
      <c r="O383" s="8" t="s">
        <v>17</v>
      </c>
      <c r="P383" s="8" t="s">
        <v>18</v>
      </c>
      <c r="Q383" s="8" t="s">
        <v>18</v>
      </c>
      <c r="R383" s="8" t="s">
        <v>2110</v>
      </c>
      <c r="S383" s="8" t="s">
        <v>2120</v>
      </c>
      <c r="T383" s="8" t="s">
        <v>2121</v>
      </c>
      <c r="U383" s="8" t="s">
        <v>2122</v>
      </c>
      <c r="V383" s="8" t="s">
        <v>500</v>
      </c>
      <c r="W383" s="8">
        <f t="shared" si="12"/>
        <v>4</v>
      </c>
      <c r="X383" s="8">
        <f>K383*L383*N383</f>
        <v>225192.592</v>
      </c>
    </row>
    <row r="384" spans="1:24" s="8" customFormat="1" ht="41.5" customHeight="1">
      <c r="A384" s="8" t="s">
        <v>2286</v>
      </c>
      <c r="B384" s="8" t="s">
        <v>2405</v>
      </c>
      <c r="C384" s="9">
        <v>45938.7402259722</v>
      </c>
      <c r="D384" s="8" t="s">
        <v>2056</v>
      </c>
      <c r="E384" s="8" t="s">
        <v>2057</v>
      </c>
      <c r="F384" s="8">
        <v>9</v>
      </c>
      <c r="G384" s="22" t="s">
        <v>101</v>
      </c>
      <c r="H384" s="8" t="s">
        <v>505</v>
      </c>
      <c r="I384" s="2" t="str">
        <f t="shared" si="11"/>
        <v>Majestic đẹp hoàn hảo bóng base A 13.5L</v>
      </c>
      <c r="J384" s="8" t="s">
        <v>54</v>
      </c>
      <c r="K384" s="10">
        <v>3</v>
      </c>
      <c r="L384" s="10">
        <v>2224074.0699999998</v>
      </c>
      <c r="M384" s="11">
        <v>6672222.21</v>
      </c>
      <c r="N384" s="8" t="s">
        <v>16</v>
      </c>
      <c r="O384" s="8" t="s">
        <v>17</v>
      </c>
      <c r="P384" s="8" t="s">
        <v>18</v>
      </c>
      <c r="Q384" s="8" t="s">
        <v>18</v>
      </c>
      <c r="R384" s="8" t="s">
        <v>2110</v>
      </c>
      <c r="S384" s="8" t="s">
        <v>2120</v>
      </c>
      <c r="T384" s="8" t="s">
        <v>2121</v>
      </c>
      <c r="U384" s="8" t="s">
        <v>2122</v>
      </c>
      <c r="V384" s="8" t="s">
        <v>500</v>
      </c>
      <c r="W384" s="8">
        <f t="shared" si="12"/>
        <v>4</v>
      </c>
      <c r="X384" s="8">
        <f>K384*L384*N384</f>
        <v>533777.77679999988</v>
      </c>
    </row>
    <row r="385" spans="1:24" s="8" customFormat="1" ht="41.5" customHeight="1">
      <c r="A385" s="8" t="s">
        <v>2286</v>
      </c>
      <c r="B385" s="8" t="s">
        <v>2405</v>
      </c>
      <c r="C385" s="9">
        <v>45938.7402259722</v>
      </c>
      <c r="D385" s="8" t="s">
        <v>2056</v>
      </c>
      <c r="E385" s="8" t="s">
        <v>2057</v>
      </c>
      <c r="F385" s="8">
        <v>10</v>
      </c>
      <c r="G385" s="27" t="s">
        <v>2232</v>
      </c>
      <c r="H385" s="8" t="s">
        <v>506</v>
      </c>
      <c r="I385" s="2" t="str">
        <f t="shared" si="11"/>
        <v>Majestic đẹp hoàn hảo mờ A 0.9L</v>
      </c>
      <c r="J385" s="8" t="s">
        <v>56</v>
      </c>
      <c r="K385" s="10">
        <v>2</v>
      </c>
      <c r="L385" s="10">
        <v>175925.93</v>
      </c>
      <c r="M385" s="11">
        <v>351851.86</v>
      </c>
      <c r="N385" s="8" t="s">
        <v>16</v>
      </c>
      <c r="O385" s="8" t="s">
        <v>17</v>
      </c>
      <c r="P385" s="8" t="s">
        <v>18</v>
      </c>
      <c r="Q385" s="8" t="s">
        <v>18</v>
      </c>
      <c r="R385" s="8" t="s">
        <v>2110</v>
      </c>
      <c r="S385" s="8" t="s">
        <v>2120</v>
      </c>
      <c r="T385" s="8" t="s">
        <v>2121</v>
      </c>
      <c r="U385" s="8" t="s">
        <v>2122</v>
      </c>
      <c r="V385" s="8" t="s">
        <v>500</v>
      </c>
      <c r="W385" s="8">
        <f t="shared" si="12"/>
        <v>4</v>
      </c>
      <c r="X385" s="8">
        <f>K385*L385*N385</f>
        <v>28148.148799999999</v>
      </c>
    </row>
    <row r="386" spans="1:24" s="8" customFormat="1" ht="41.5" customHeight="1">
      <c r="A386" s="8" t="s">
        <v>2286</v>
      </c>
      <c r="B386" s="8" t="s">
        <v>2405</v>
      </c>
      <c r="C386" s="9">
        <v>45938.7402259722</v>
      </c>
      <c r="D386" s="8" t="s">
        <v>2056</v>
      </c>
      <c r="E386" s="8" t="s">
        <v>2057</v>
      </c>
      <c r="F386" s="8">
        <v>11</v>
      </c>
      <c r="G386" s="22" t="s">
        <v>2233</v>
      </c>
      <c r="H386" s="8" t="s">
        <v>183</v>
      </c>
      <c r="I386" s="2" t="str">
        <f t="shared" si="11"/>
        <v>Jotun Waterguard light 20Kg</v>
      </c>
      <c r="J386" s="8" t="s">
        <v>54</v>
      </c>
      <c r="K386" s="10">
        <v>1</v>
      </c>
      <c r="L386" s="10">
        <v>1876074.07</v>
      </c>
      <c r="M386" s="11">
        <v>1876074.07</v>
      </c>
      <c r="N386" s="8" t="s">
        <v>16</v>
      </c>
      <c r="O386" s="8" t="s">
        <v>17</v>
      </c>
      <c r="P386" s="8" t="s">
        <v>18</v>
      </c>
      <c r="Q386" s="8" t="s">
        <v>18</v>
      </c>
      <c r="R386" s="8" t="s">
        <v>2110</v>
      </c>
      <c r="S386" s="8" t="s">
        <v>2120</v>
      </c>
      <c r="T386" s="8" t="s">
        <v>2121</v>
      </c>
      <c r="U386" s="8" t="s">
        <v>2122</v>
      </c>
      <c r="V386" s="8" t="s">
        <v>500</v>
      </c>
      <c r="W386" s="8">
        <f t="shared" si="12"/>
        <v>4</v>
      </c>
      <c r="X386" s="8">
        <f>K386*L386*N386</f>
        <v>150085.92560000002</v>
      </c>
    </row>
    <row r="387" spans="1:24" s="8" customFormat="1" ht="41.5" customHeight="1">
      <c r="A387" s="8" t="s">
        <v>2280</v>
      </c>
      <c r="B387" s="8" t="s">
        <v>2406</v>
      </c>
      <c r="C387" s="9">
        <v>45948.719511736097</v>
      </c>
      <c r="D387" s="8" t="s">
        <v>2056</v>
      </c>
      <c r="E387" s="8" t="s">
        <v>2057</v>
      </c>
      <c r="F387" s="8">
        <v>1</v>
      </c>
      <c r="G387" s="22" t="s">
        <v>1260</v>
      </c>
      <c r="H387" s="8" t="s">
        <v>265</v>
      </c>
      <c r="I387" s="2" t="str">
        <f t="shared" si="11"/>
        <v>Vữa rót sikagrout 214-11</v>
      </c>
      <c r="J387" s="8" t="s">
        <v>35</v>
      </c>
      <c r="K387" s="10">
        <v>250</v>
      </c>
      <c r="L387" s="10">
        <v>9629.6290000000008</v>
      </c>
      <c r="M387" s="11">
        <v>2407407.25</v>
      </c>
      <c r="N387" s="8" t="s">
        <v>16</v>
      </c>
      <c r="O387" s="8" t="s">
        <v>17</v>
      </c>
      <c r="P387" s="8" t="s">
        <v>18</v>
      </c>
      <c r="Q387" s="8" t="s">
        <v>18</v>
      </c>
      <c r="R387" s="8" t="s">
        <v>2110</v>
      </c>
      <c r="S387" s="8" t="s">
        <v>2123</v>
      </c>
      <c r="T387" s="8" t="s">
        <v>2124</v>
      </c>
      <c r="U387" s="8" t="s">
        <v>2125</v>
      </c>
      <c r="V387" s="8" t="s">
        <v>459</v>
      </c>
      <c r="W387" s="8">
        <f t="shared" si="12"/>
        <v>4</v>
      </c>
      <c r="X387" s="8">
        <f>K387*L387*N387</f>
        <v>192592.58000000002</v>
      </c>
    </row>
    <row r="388" spans="1:24" s="8" customFormat="1" ht="41.5" customHeight="1">
      <c r="A388" s="8" t="s">
        <v>2280</v>
      </c>
      <c r="B388" s="8" t="s">
        <v>2406</v>
      </c>
      <c r="C388" s="9">
        <v>45948.719511736097</v>
      </c>
      <c r="D388" s="8" t="s">
        <v>2056</v>
      </c>
      <c r="E388" s="8" t="s">
        <v>2057</v>
      </c>
      <c r="F388" s="8">
        <v>2</v>
      </c>
      <c r="G388" s="22" t="s">
        <v>155</v>
      </c>
      <c r="H388" s="8" t="s">
        <v>155</v>
      </c>
      <c r="I388" s="2" t="str">
        <f t="shared" si="11"/>
        <v>Chất biến đổi gỉ B05</v>
      </c>
      <c r="J388" s="8" t="s">
        <v>27</v>
      </c>
      <c r="K388" s="10">
        <v>40</v>
      </c>
      <c r="L388" s="10">
        <v>60185.184999999998</v>
      </c>
      <c r="M388" s="11">
        <v>2407407.4</v>
      </c>
      <c r="N388" s="8" t="s">
        <v>16</v>
      </c>
      <c r="O388" s="8" t="s">
        <v>17</v>
      </c>
      <c r="P388" s="8" t="s">
        <v>18</v>
      </c>
      <c r="Q388" s="8" t="s">
        <v>18</v>
      </c>
      <c r="R388" s="8" t="s">
        <v>2110</v>
      </c>
      <c r="S388" s="8" t="s">
        <v>2123</v>
      </c>
      <c r="T388" s="8" t="s">
        <v>2124</v>
      </c>
      <c r="U388" s="8" t="s">
        <v>2125</v>
      </c>
      <c r="V388" s="8" t="s">
        <v>459</v>
      </c>
      <c r="W388" s="8">
        <f t="shared" si="12"/>
        <v>4</v>
      </c>
      <c r="X388" s="8">
        <f>K388*L388*N388</f>
        <v>192592.592</v>
      </c>
    </row>
    <row r="389" spans="1:24" s="8" customFormat="1" ht="41.5" customHeight="1">
      <c r="A389" s="8" t="s">
        <v>2280</v>
      </c>
      <c r="B389" s="8" t="s">
        <v>2407</v>
      </c>
      <c r="C389" s="9">
        <v>45947.602128993101</v>
      </c>
      <c r="D389" s="8" t="s">
        <v>2056</v>
      </c>
      <c r="E389" s="8" t="s">
        <v>2057</v>
      </c>
      <c r="F389" s="8">
        <v>1</v>
      </c>
      <c r="G389" s="22" t="s">
        <v>57</v>
      </c>
      <c r="H389" s="8" t="s">
        <v>57</v>
      </c>
      <c r="I389" s="2" t="str">
        <f t="shared" si="11"/>
        <v>Băng cản nước HK Waterbar V20</v>
      </c>
      <c r="J389" s="8" t="s">
        <v>47</v>
      </c>
      <c r="K389" s="10">
        <v>60</v>
      </c>
      <c r="L389" s="10">
        <v>55092.6</v>
      </c>
      <c r="M389" s="11">
        <v>3305556</v>
      </c>
      <c r="N389" s="8" t="s">
        <v>16</v>
      </c>
      <c r="O389" s="8" t="s">
        <v>17</v>
      </c>
      <c r="P389" s="8" t="s">
        <v>18</v>
      </c>
      <c r="Q389" s="8" t="s">
        <v>18</v>
      </c>
      <c r="R389" s="8" t="s">
        <v>2110</v>
      </c>
      <c r="S389" s="8" t="s">
        <v>2123</v>
      </c>
      <c r="T389" s="8" t="s">
        <v>2124</v>
      </c>
      <c r="U389" s="8" t="s">
        <v>2125</v>
      </c>
      <c r="V389" s="8" t="s">
        <v>507</v>
      </c>
      <c r="W389" s="8">
        <f t="shared" si="12"/>
        <v>4</v>
      </c>
      <c r="X389" s="8">
        <f>K389*L389*N389</f>
        <v>264444.48</v>
      </c>
    </row>
    <row r="390" spans="1:24" s="8" customFormat="1" ht="41.5" customHeight="1">
      <c r="A390" s="8" t="s">
        <v>2280</v>
      </c>
      <c r="B390" s="8" t="s">
        <v>2408</v>
      </c>
      <c r="C390" s="9">
        <v>45946.589889571798</v>
      </c>
      <c r="D390" s="8" t="s">
        <v>2056</v>
      </c>
      <c r="E390" s="8" t="s">
        <v>2057</v>
      </c>
      <c r="F390" s="8">
        <v>1</v>
      </c>
      <c r="G390" s="22" t="s">
        <v>2234</v>
      </c>
      <c r="H390" s="8" t="s">
        <v>508</v>
      </c>
      <c r="I390" s="2" t="str">
        <f t="shared" ref="I390:I449" si="13">G390</f>
        <v>FLINTKOTE NO3-3.5 L</v>
      </c>
      <c r="J390" s="8" t="s">
        <v>173</v>
      </c>
      <c r="K390" s="10">
        <v>2</v>
      </c>
      <c r="L390" s="10">
        <v>388888.89</v>
      </c>
      <c r="M390" s="11">
        <v>777777.78</v>
      </c>
      <c r="N390" s="8" t="s">
        <v>16</v>
      </c>
      <c r="O390" s="8" t="s">
        <v>17</v>
      </c>
      <c r="P390" s="8" t="s">
        <v>18</v>
      </c>
      <c r="Q390" s="8" t="s">
        <v>18</v>
      </c>
      <c r="R390" s="8" t="s">
        <v>2110</v>
      </c>
      <c r="S390" s="8" t="s">
        <v>2123</v>
      </c>
      <c r="T390" s="8" t="s">
        <v>2124</v>
      </c>
      <c r="U390" s="8" t="s">
        <v>2125</v>
      </c>
      <c r="V390" s="8" t="s">
        <v>509</v>
      </c>
      <c r="W390" s="8">
        <f t="shared" si="12"/>
        <v>4</v>
      </c>
      <c r="X390" s="8">
        <f>K390*L390*N390</f>
        <v>62222.222400000006</v>
      </c>
    </row>
    <row r="391" spans="1:24" s="8" customFormat="1" ht="41.5" customHeight="1">
      <c r="A391" s="8" t="s">
        <v>2280</v>
      </c>
      <c r="B391" s="8" t="s">
        <v>2408</v>
      </c>
      <c r="C391" s="9">
        <v>45946.589889571798</v>
      </c>
      <c r="D391" s="8" t="s">
        <v>2056</v>
      </c>
      <c r="E391" s="8" t="s">
        <v>2057</v>
      </c>
      <c r="F391" s="8">
        <v>2</v>
      </c>
      <c r="G391" s="22" t="s">
        <v>1529</v>
      </c>
      <c r="H391" s="8" t="s">
        <v>510</v>
      </c>
      <c r="I391" s="2" t="str">
        <f t="shared" si="13"/>
        <v>Chất trám khe Sikaflex-134 bond &amp; Seal</v>
      </c>
      <c r="J391" s="8" t="s">
        <v>511</v>
      </c>
      <c r="K391" s="10">
        <v>10</v>
      </c>
      <c r="L391" s="10">
        <v>157407.51</v>
      </c>
      <c r="M391" s="11">
        <v>1574075.1</v>
      </c>
      <c r="N391" s="8" t="s">
        <v>16</v>
      </c>
      <c r="O391" s="8" t="s">
        <v>17</v>
      </c>
      <c r="P391" s="8" t="s">
        <v>18</v>
      </c>
      <c r="Q391" s="8" t="s">
        <v>18</v>
      </c>
      <c r="R391" s="8" t="s">
        <v>2110</v>
      </c>
      <c r="S391" s="8" t="s">
        <v>2123</v>
      </c>
      <c r="T391" s="8" t="s">
        <v>2124</v>
      </c>
      <c r="U391" s="8" t="s">
        <v>2125</v>
      </c>
      <c r="V391" s="8" t="s">
        <v>509</v>
      </c>
      <c r="W391" s="8">
        <f t="shared" si="12"/>
        <v>4</v>
      </c>
      <c r="X391" s="8">
        <f>K391*L391*N391</f>
        <v>125926.00800000002</v>
      </c>
    </row>
    <row r="392" spans="1:24" s="8" customFormat="1" ht="41.5" customHeight="1">
      <c r="A392" s="8" t="s">
        <v>2280</v>
      </c>
      <c r="B392" s="8" t="s">
        <v>2408</v>
      </c>
      <c r="C392" s="9">
        <v>45946.589889571798</v>
      </c>
      <c r="D392" s="8" t="s">
        <v>2056</v>
      </c>
      <c r="E392" s="8" t="s">
        <v>2057</v>
      </c>
      <c r="F392" s="8">
        <v>3</v>
      </c>
      <c r="G392" s="22" t="s">
        <v>1260</v>
      </c>
      <c r="H392" s="8" t="s">
        <v>265</v>
      </c>
      <c r="I392" s="2" t="str">
        <f t="shared" si="13"/>
        <v>Vữa rót sikagrout 214-11</v>
      </c>
      <c r="J392" s="8" t="s">
        <v>35</v>
      </c>
      <c r="K392" s="10">
        <v>200</v>
      </c>
      <c r="L392" s="10">
        <v>9629.6290000000008</v>
      </c>
      <c r="M392" s="11">
        <v>1925925.8</v>
      </c>
      <c r="N392" s="8" t="s">
        <v>16</v>
      </c>
      <c r="O392" s="8" t="s">
        <v>17</v>
      </c>
      <c r="P392" s="8" t="s">
        <v>18</v>
      </c>
      <c r="Q392" s="8" t="s">
        <v>18</v>
      </c>
      <c r="R392" s="8" t="s">
        <v>2110</v>
      </c>
      <c r="S392" s="8" t="s">
        <v>2123</v>
      </c>
      <c r="T392" s="8" t="s">
        <v>2124</v>
      </c>
      <c r="U392" s="8" t="s">
        <v>2125</v>
      </c>
      <c r="V392" s="8" t="s">
        <v>509</v>
      </c>
      <c r="W392" s="8">
        <f t="shared" si="12"/>
        <v>4</v>
      </c>
      <c r="X392" s="8">
        <f>K392*L392*N392</f>
        <v>154074.06400000001</v>
      </c>
    </row>
    <row r="393" spans="1:24" s="8" customFormat="1" ht="41.5" customHeight="1">
      <c r="A393" s="8" t="s">
        <v>2280</v>
      </c>
      <c r="B393" s="8" t="s">
        <v>2408</v>
      </c>
      <c r="C393" s="9">
        <v>45946.589889571798</v>
      </c>
      <c r="D393" s="8" t="s">
        <v>2056</v>
      </c>
      <c r="E393" s="8" t="s">
        <v>2057</v>
      </c>
      <c r="F393" s="8">
        <v>4</v>
      </c>
      <c r="G393" s="22" t="s">
        <v>2239</v>
      </c>
      <c r="H393" s="8" t="s">
        <v>512</v>
      </c>
      <c r="I393" s="2" t="str">
        <f t="shared" si="13"/>
        <v>Vữa rót không co ngót cá sấu CG Grout -25kg</v>
      </c>
      <c r="J393" s="8" t="s">
        <v>513</v>
      </c>
      <c r="K393" s="10">
        <v>25</v>
      </c>
      <c r="L393" s="10">
        <v>8518.52</v>
      </c>
      <c r="M393" s="11">
        <v>212963</v>
      </c>
      <c r="N393" s="8" t="s">
        <v>16</v>
      </c>
      <c r="O393" s="8" t="s">
        <v>17</v>
      </c>
      <c r="P393" s="8" t="s">
        <v>18</v>
      </c>
      <c r="Q393" s="8" t="s">
        <v>18</v>
      </c>
      <c r="R393" s="8" t="s">
        <v>2110</v>
      </c>
      <c r="S393" s="8" t="s">
        <v>2123</v>
      </c>
      <c r="T393" s="8" t="s">
        <v>2124</v>
      </c>
      <c r="U393" s="8" t="s">
        <v>2125</v>
      </c>
      <c r="V393" s="8" t="s">
        <v>509</v>
      </c>
      <c r="W393" s="8">
        <f t="shared" si="12"/>
        <v>4</v>
      </c>
      <c r="X393" s="8">
        <f>K393*L393*N393</f>
        <v>17037.04</v>
      </c>
    </row>
    <row r="394" spans="1:24" s="8" customFormat="1" ht="41.5" customHeight="1">
      <c r="A394" s="8" t="s">
        <v>2409</v>
      </c>
      <c r="B394" s="8" t="s">
        <v>2410</v>
      </c>
      <c r="C394" s="9">
        <v>45943.683697337998</v>
      </c>
      <c r="D394" s="8" t="s">
        <v>2056</v>
      </c>
      <c r="E394" s="8" t="s">
        <v>2057</v>
      </c>
      <c r="F394" s="8">
        <v>1</v>
      </c>
      <c r="G394" s="22" t="s">
        <v>514</v>
      </c>
      <c r="H394" s="8" t="s">
        <v>514</v>
      </c>
      <c r="I394" s="2" t="str">
        <f t="shared" si="13"/>
        <v>Vỏ cầu chì</v>
      </c>
      <c r="J394" s="8" t="s">
        <v>15</v>
      </c>
      <c r="K394" s="10">
        <v>5</v>
      </c>
      <c r="L394" s="10">
        <v>20000</v>
      </c>
      <c r="M394" s="11">
        <v>100000</v>
      </c>
      <c r="N394" s="8" t="s">
        <v>16</v>
      </c>
      <c r="O394" s="8" t="s">
        <v>17</v>
      </c>
      <c r="P394" s="8" t="s">
        <v>18</v>
      </c>
      <c r="Q394" s="8" t="s">
        <v>18</v>
      </c>
      <c r="R394" s="8" t="s">
        <v>2115</v>
      </c>
      <c r="S394" s="8" t="s">
        <v>2411</v>
      </c>
      <c r="T394" s="8" t="s">
        <v>2412</v>
      </c>
      <c r="U394" s="8" t="s">
        <v>2413</v>
      </c>
      <c r="V394" s="8" t="s">
        <v>515</v>
      </c>
      <c r="W394" s="8">
        <f t="shared" si="12"/>
        <v>4</v>
      </c>
      <c r="X394" s="8">
        <f>K394*L394*N394</f>
        <v>8000</v>
      </c>
    </row>
    <row r="395" spans="1:24" s="8" customFormat="1" ht="41.5" customHeight="1">
      <c r="A395" s="8" t="s">
        <v>2409</v>
      </c>
      <c r="B395" s="8" t="s">
        <v>2410</v>
      </c>
      <c r="C395" s="9">
        <v>45943.683697337998</v>
      </c>
      <c r="D395" s="8" t="s">
        <v>2056</v>
      </c>
      <c r="E395" s="8" t="s">
        <v>2057</v>
      </c>
      <c r="F395" s="8">
        <v>2</v>
      </c>
      <c r="G395" s="22" t="s">
        <v>516</v>
      </c>
      <c r="H395" s="8" t="s">
        <v>516</v>
      </c>
      <c r="I395" s="2" t="str">
        <f t="shared" si="13"/>
        <v>Cầu chì sứ 2A (hộp 20 cái)</v>
      </c>
      <c r="J395" s="8" t="s">
        <v>15</v>
      </c>
      <c r="K395" s="10">
        <v>5</v>
      </c>
      <c r="L395" s="10">
        <v>5000</v>
      </c>
      <c r="M395" s="11">
        <v>25000</v>
      </c>
      <c r="N395" s="8" t="s">
        <v>16</v>
      </c>
      <c r="O395" s="8" t="s">
        <v>17</v>
      </c>
      <c r="P395" s="8" t="s">
        <v>18</v>
      </c>
      <c r="Q395" s="8" t="s">
        <v>18</v>
      </c>
      <c r="R395" s="8" t="s">
        <v>2115</v>
      </c>
      <c r="S395" s="8" t="s">
        <v>2411</v>
      </c>
      <c r="T395" s="8" t="s">
        <v>2412</v>
      </c>
      <c r="U395" s="8" t="s">
        <v>2413</v>
      </c>
      <c r="V395" s="8" t="s">
        <v>515</v>
      </c>
      <c r="W395" s="8">
        <f t="shared" si="12"/>
        <v>4</v>
      </c>
      <c r="X395" s="8">
        <f>K395*L395*N395</f>
        <v>2000</v>
      </c>
    </row>
    <row r="396" spans="1:24" s="8" customFormat="1" ht="41.5" customHeight="1">
      <c r="A396" s="8" t="s">
        <v>2409</v>
      </c>
      <c r="B396" s="8" t="s">
        <v>2410</v>
      </c>
      <c r="C396" s="9">
        <v>45943.683697337998</v>
      </c>
      <c r="D396" s="8" t="s">
        <v>2056</v>
      </c>
      <c r="E396" s="8" t="s">
        <v>2057</v>
      </c>
      <c r="F396" s="8">
        <v>3</v>
      </c>
      <c r="G396" s="22" t="s">
        <v>2240</v>
      </c>
      <c r="H396" s="8" t="s">
        <v>517</v>
      </c>
      <c r="I396" s="2" t="str">
        <f t="shared" si="13"/>
        <v>MDP1132-ốc công nghiệp CĐ 3x16A IP67</v>
      </c>
      <c r="J396" s="8" t="s">
        <v>19</v>
      </c>
      <c r="K396" s="10">
        <v>20</v>
      </c>
      <c r="L396" s="10">
        <v>80000</v>
      </c>
      <c r="M396" s="11">
        <v>1600000</v>
      </c>
      <c r="N396" s="8" t="s">
        <v>16</v>
      </c>
      <c r="O396" s="8" t="s">
        <v>17</v>
      </c>
      <c r="P396" s="8" t="s">
        <v>18</v>
      </c>
      <c r="Q396" s="8" t="s">
        <v>18</v>
      </c>
      <c r="R396" s="8" t="s">
        <v>2115</v>
      </c>
      <c r="S396" s="8" t="s">
        <v>2411</v>
      </c>
      <c r="T396" s="8" t="s">
        <v>2412</v>
      </c>
      <c r="U396" s="8" t="s">
        <v>2413</v>
      </c>
      <c r="V396" s="8" t="s">
        <v>515</v>
      </c>
      <c r="W396" s="8">
        <f t="shared" si="12"/>
        <v>4</v>
      </c>
      <c r="X396" s="8">
        <f>K396*L396*N396</f>
        <v>128000</v>
      </c>
    </row>
    <row r="397" spans="1:24" s="8" customFormat="1" ht="41.5" customHeight="1">
      <c r="A397" s="8" t="s">
        <v>2409</v>
      </c>
      <c r="B397" s="8" t="s">
        <v>2410</v>
      </c>
      <c r="C397" s="9">
        <v>45943.683697337998</v>
      </c>
      <c r="D397" s="8" t="s">
        <v>2056</v>
      </c>
      <c r="E397" s="8" t="s">
        <v>2057</v>
      </c>
      <c r="F397" s="8">
        <v>4</v>
      </c>
      <c r="G397" s="22" t="s">
        <v>2241</v>
      </c>
      <c r="H397" s="8" t="s">
        <v>518</v>
      </c>
      <c r="I397" s="2" t="str">
        <f t="shared" si="13"/>
        <v>MDP0132-phíc cắm CN 3x16 A IP67</v>
      </c>
      <c r="J397" s="8" t="s">
        <v>19</v>
      </c>
      <c r="K397" s="10">
        <v>5</v>
      </c>
      <c r="L397" s="10">
        <v>70000</v>
      </c>
      <c r="M397" s="11">
        <v>350000</v>
      </c>
      <c r="N397" s="8" t="s">
        <v>16</v>
      </c>
      <c r="O397" s="8" t="s">
        <v>17</v>
      </c>
      <c r="P397" s="8" t="s">
        <v>18</v>
      </c>
      <c r="Q397" s="8" t="s">
        <v>18</v>
      </c>
      <c r="R397" s="8" t="s">
        <v>2115</v>
      </c>
      <c r="S397" s="8" t="s">
        <v>2411</v>
      </c>
      <c r="T397" s="8" t="s">
        <v>2412</v>
      </c>
      <c r="U397" s="8" t="s">
        <v>2413</v>
      </c>
      <c r="V397" s="8" t="s">
        <v>515</v>
      </c>
      <c r="W397" s="8">
        <f t="shared" si="12"/>
        <v>4</v>
      </c>
      <c r="X397" s="8">
        <f>K397*L397*N397</f>
        <v>28000</v>
      </c>
    </row>
    <row r="398" spans="1:24" s="8" customFormat="1" ht="41.5" customHeight="1">
      <c r="A398" s="8" t="s">
        <v>2409</v>
      </c>
      <c r="B398" s="8" t="s">
        <v>2410</v>
      </c>
      <c r="C398" s="9">
        <v>45943.683697337998</v>
      </c>
      <c r="D398" s="8" t="s">
        <v>2056</v>
      </c>
      <c r="E398" s="8" t="s">
        <v>2057</v>
      </c>
      <c r="F398" s="8">
        <v>5</v>
      </c>
      <c r="G398" s="22" t="s">
        <v>519</v>
      </c>
      <c r="H398" s="8" t="s">
        <v>519</v>
      </c>
      <c r="I398" s="2" t="str">
        <f t="shared" si="13"/>
        <v>Cos kim đặc bọc 1-12 (túi 1000c)</v>
      </c>
      <c r="J398" s="8" t="s">
        <v>15</v>
      </c>
      <c r="K398" s="10">
        <v>100</v>
      </c>
      <c r="L398" s="10">
        <v>400</v>
      </c>
      <c r="M398" s="11">
        <v>40000</v>
      </c>
      <c r="N398" s="8" t="s">
        <v>16</v>
      </c>
      <c r="O398" s="8" t="s">
        <v>17</v>
      </c>
      <c r="P398" s="8" t="s">
        <v>18</v>
      </c>
      <c r="Q398" s="8" t="s">
        <v>18</v>
      </c>
      <c r="R398" s="8" t="s">
        <v>2115</v>
      </c>
      <c r="S398" s="8" t="s">
        <v>2411</v>
      </c>
      <c r="T398" s="8" t="s">
        <v>2412</v>
      </c>
      <c r="U398" s="8" t="s">
        <v>2413</v>
      </c>
      <c r="V398" s="8" t="s">
        <v>515</v>
      </c>
      <c r="W398" s="8">
        <f t="shared" si="12"/>
        <v>4</v>
      </c>
      <c r="X398" s="8">
        <f>K398*L398*N398</f>
        <v>3200</v>
      </c>
    </row>
    <row r="399" spans="1:24" s="8" customFormat="1" ht="41.5" customHeight="1">
      <c r="A399" s="8" t="s">
        <v>2409</v>
      </c>
      <c r="B399" s="8" t="s">
        <v>2410</v>
      </c>
      <c r="C399" s="9">
        <v>45943.683697337998</v>
      </c>
      <c r="D399" s="8" t="s">
        <v>2056</v>
      </c>
      <c r="E399" s="8" t="s">
        <v>2057</v>
      </c>
      <c r="F399" s="8">
        <v>6</v>
      </c>
      <c r="G399" s="22" t="s">
        <v>520</v>
      </c>
      <c r="H399" s="8" t="s">
        <v>520</v>
      </c>
      <c r="I399" s="2" t="str">
        <f t="shared" si="13"/>
        <v>Đồng hồ vạn năng 1021R</v>
      </c>
      <c r="J399" s="8" t="s">
        <v>15</v>
      </c>
      <c r="K399" s="10">
        <v>1</v>
      </c>
      <c r="L399" s="10">
        <v>2200000</v>
      </c>
      <c r="M399" s="11">
        <v>2200000</v>
      </c>
      <c r="N399" s="8" t="s">
        <v>16</v>
      </c>
      <c r="O399" s="8" t="s">
        <v>17</v>
      </c>
      <c r="P399" s="8" t="s">
        <v>18</v>
      </c>
      <c r="Q399" s="8" t="s">
        <v>18</v>
      </c>
      <c r="R399" s="8" t="s">
        <v>2115</v>
      </c>
      <c r="S399" s="8" t="s">
        <v>2411</v>
      </c>
      <c r="T399" s="8" t="s">
        <v>2412</v>
      </c>
      <c r="U399" s="8" t="s">
        <v>2413</v>
      </c>
      <c r="V399" s="8" t="s">
        <v>515</v>
      </c>
      <c r="W399" s="8">
        <f t="shared" si="12"/>
        <v>4</v>
      </c>
      <c r="X399" s="8">
        <f>K399*L399*N399</f>
        <v>176000</v>
      </c>
    </row>
    <row r="400" spans="1:24" s="8" customFormat="1" ht="41.5" customHeight="1">
      <c r="A400" s="8" t="s">
        <v>2409</v>
      </c>
      <c r="B400" s="8" t="s">
        <v>2410</v>
      </c>
      <c r="C400" s="9">
        <v>45943.683697337998</v>
      </c>
      <c r="D400" s="8" t="s">
        <v>2056</v>
      </c>
      <c r="E400" s="8" t="s">
        <v>2057</v>
      </c>
      <c r="F400" s="8">
        <v>7</v>
      </c>
      <c r="G400" s="22" t="s">
        <v>521</v>
      </c>
      <c r="H400" s="8" t="s">
        <v>521</v>
      </c>
      <c r="I400" s="2" t="str">
        <f t="shared" si="13"/>
        <v>Chia 3 công nghiệp 3x16A IP44</v>
      </c>
      <c r="J400" s="8" t="s">
        <v>19</v>
      </c>
      <c r="K400" s="10">
        <v>5</v>
      </c>
      <c r="L400" s="10">
        <v>100000</v>
      </c>
      <c r="M400" s="11">
        <v>500000</v>
      </c>
      <c r="N400" s="8" t="s">
        <v>16</v>
      </c>
      <c r="O400" s="8" t="s">
        <v>17</v>
      </c>
      <c r="P400" s="8" t="s">
        <v>18</v>
      </c>
      <c r="Q400" s="8" t="s">
        <v>18</v>
      </c>
      <c r="R400" s="8" t="s">
        <v>2115</v>
      </c>
      <c r="S400" s="8" t="s">
        <v>2411</v>
      </c>
      <c r="T400" s="8" t="s">
        <v>2412</v>
      </c>
      <c r="U400" s="8" t="s">
        <v>2413</v>
      </c>
      <c r="V400" s="8" t="s">
        <v>515</v>
      </c>
      <c r="W400" s="8">
        <f t="shared" si="12"/>
        <v>4</v>
      </c>
      <c r="X400" s="8">
        <f>K400*L400*N400</f>
        <v>40000</v>
      </c>
    </row>
    <row r="401" spans="1:24" s="8" customFormat="1" ht="41.5" customHeight="1">
      <c r="A401" s="8" t="s">
        <v>2281</v>
      </c>
      <c r="B401" s="8" t="s">
        <v>2414</v>
      </c>
      <c r="C401" s="9">
        <v>45953.601111481497</v>
      </c>
      <c r="D401" s="8" t="s">
        <v>2056</v>
      </c>
      <c r="E401" s="8" t="s">
        <v>2057</v>
      </c>
      <c r="F401" s="8">
        <v>1</v>
      </c>
      <c r="G401" s="27" t="s">
        <v>2140</v>
      </c>
      <c r="H401" s="8" t="s">
        <v>267</v>
      </c>
      <c r="I401" s="2" t="str">
        <f t="shared" si="13"/>
        <v>Thép ống hộp</v>
      </c>
      <c r="J401" s="8" t="s">
        <v>35</v>
      </c>
      <c r="K401" s="10">
        <v>9525.14</v>
      </c>
      <c r="L401" s="10">
        <v>17500.005000000001</v>
      </c>
      <c r="M401" s="11">
        <v>166690000</v>
      </c>
      <c r="N401" s="8" t="s">
        <v>30</v>
      </c>
      <c r="O401" s="8" t="s">
        <v>17</v>
      </c>
      <c r="P401" s="8" t="s">
        <v>18</v>
      </c>
      <c r="Q401" s="8" t="s">
        <v>18</v>
      </c>
      <c r="R401" s="8" t="s">
        <v>2115</v>
      </c>
      <c r="S401" s="8" t="s">
        <v>2126</v>
      </c>
      <c r="T401" s="8" t="s">
        <v>2127</v>
      </c>
      <c r="U401" s="8" t="s">
        <v>2128</v>
      </c>
      <c r="V401" s="8" t="s">
        <v>522</v>
      </c>
      <c r="W401" s="8">
        <f t="shared" si="12"/>
        <v>4</v>
      </c>
      <c r="X401" s="8">
        <f>K401*L401*N401</f>
        <v>16668999.762570001</v>
      </c>
    </row>
    <row r="402" spans="1:24" s="8" customFormat="1" ht="41.5" customHeight="1">
      <c r="A402" s="8" t="s">
        <v>2281</v>
      </c>
      <c r="B402" s="8" t="s">
        <v>2415</v>
      </c>
      <c r="C402" s="9">
        <v>45944.397353194399</v>
      </c>
      <c r="D402" s="8" t="s">
        <v>2056</v>
      </c>
      <c r="E402" s="8" t="s">
        <v>2057</v>
      </c>
      <c r="F402" s="8">
        <v>1</v>
      </c>
      <c r="G402" s="27" t="s">
        <v>2140</v>
      </c>
      <c r="H402" s="8" t="s">
        <v>267</v>
      </c>
      <c r="I402" s="2" t="str">
        <f t="shared" si="13"/>
        <v>Thép ống hộp</v>
      </c>
      <c r="J402" s="8" t="s">
        <v>35</v>
      </c>
      <c r="K402" s="10">
        <v>4980.1819999999998</v>
      </c>
      <c r="L402" s="10">
        <v>17200</v>
      </c>
      <c r="M402" s="11">
        <v>85659130</v>
      </c>
      <c r="N402" s="8" t="s">
        <v>30</v>
      </c>
      <c r="O402" s="8" t="s">
        <v>17</v>
      </c>
      <c r="P402" s="8" t="s">
        <v>18</v>
      </c>
      <c r="Q402" s="8" t="s">
        <v>18</v>
      </c>
      <c r="R402" s="8" t="s">
        <v>2115</v>
      </c>
      <c r="S402" s="8" t="s">
        <v>2126</v>
      </c>
      <c r="T402" s="8" t="s">
        <v>2127</v>
      </c>
      <c r="U402" s="8" t="s">
        <v>2128</v>
      </c>
      <c r="V402" s="8" t="s">
        <v>523</v>
      </c>
      <c r="W402" s="8">
        <f t="shared" si="12"/>
        <v>4</v>
      </c>
      <c r="X402" s="8">
        <f>K402*L402*N402</f>
        <v>8565913.0399999991</v>
      </c>
    </row>
    <row r="403" spans="1:24" s="8" customFormat="1" ht="41.5" customHeight="1">
      <c r="A403" s="8" t="s">
        <v>2302</v>
      </c>
      <c r="B403" s="8" t="s">
        <v>2416</v>
      </c>
      <c r="C403" s="9">
        <v>45953.6745288889</v>
      </c>
      <c r="D403" s="8" t="s">
        <v>2056</v>
      </c>
      <c r="E403" s="8" t="s">
        <v>2057</v>
      </c>
      <c r="F403" s="8">
        <v>1</v>
      </c>
      <c r="G403" s="27" t="s">
        <v>2140</v>
      </c>
      <c r="H403" s="8" t="s">
        <v>68</v>
      </c>
      <c r="I403" s="2" t="str">
        <f t="shared" si="13"/>
        <v>Thép ống hộp</v>
      </c>
      <c r="J403" s="8" t="s">
        <v>62</v>
      </c>
      <c r="K403" s="10">
        <v>685.8</v>
      </c>
      <c r="L403" s="10">
        <v>17272.73</v>
      </c>
      <c r="M403" s="11">
        <v>11845638</v>
      </c>
      <c r="N403" s="8" t="s">
        <v>30</v>
      </c>
      <c r="O403" s="8" t="s">
        <v>17</v>
      </c>
      <c r="P403" s="8" t="s">
        <v>18</v>
      </c>
      <c r="Q403" s="8" t="s">
        <v>18</v>
      </c>
      <c r="R403" s="8" t="s">
        <v>2115</v>
      </c>
      <c r="S403" s="8" t="s">
        <v>2137</v>
      </c>
      <c r="T403" s="8" t="s">
        <v>2138</v>
      </c>
      <c r="U403" s="8" t="s">
        <v>2139</v>
      </c>
      <c r="V403" s="8" t="s">
        <v>522</v>
      </c>
      <c r="W403" s="8">
        <f t="shared" si="12"/>
        <v>4</v>
      </c>
      <c r="X403" s="8">
        <f>K403*L403*N403</f>
        <v>1184563.8233999999</v>
      </c>
    </row>
    <row r="404" spans="1:24" s="8" customFormat="1" ht="41.5" customHeight="1">
      <c r="A404" s="8" t="s">
        <v>2302</v>
      </c>
      <c r="B404" s="8" t="s">
        <v>2416</v>
      </c>
      <c r="C404" s="9">
        <v>45953.6745288889</v>
      </c>
      <c r="D404" s="8" t="s">
        <v>2056</v>
      </c>
      <c r="E404" s="8" t="s">
        <v>2057</v>
      </c>
      <c r="F404" s="8">
        <v>2</v>
      </c>
      <c r="G404" s="27" t="s">
        <v>2140</v>
      </c>
      <c r="H404" s="8" t="s">
        <v>134</v>
      </c>
      <c r="I404" s="2" t="str">
        <f t="shared" si="13"/>
        <v>Thép ống hộp</v>
      </c>
      <c r="J404" s="8" t="s">
        <v>62</v>
      </c>
      <c r="K404" s="10">
        <v>356.4</v>
      </c>
      <c r="L404" s="10">
        <v>17272.73</v>
      </c>
      <c r="M404" s="11">
        <v>6156001</v>
      </c>
      <c r="N404" s="8" t="s">
        <v>30</v>
      </c>
      <c r="O404" s="8" t="s">
        <v>17</v>
      </c>
      <c r="P404" s="8" t="s">
        <v>18</v>
      </c>
      <c r="Q404" s="8" t="s">
        <v>18</v>
      </c>
      <c r="R404" s="8" t="s">
        <v>2115</v>
      </c>
      <c r="S404" s="8" t="s">
        <v>2137</v>
      </c>
      <c r="T404" s="8" t="s">
        <v>2138</v>
      </c>
      <c r="U404" s="8" t="s">
        <v>2139</v>
      </c>
      <c r="V404" s="8" t="s">
        <v>522</v>
      </c>
      <c r="W404" s="8">
        <f t="shared" si="12"/>
        <v>4</v>
      </c>
      <c r="X404" s="8">
        <f>K404*L404*N404</f>
        <v>615600.09719999996</v>
      </c>
    </row>
    <row r="405" spans="1:24" s="8" customFormat="1" ht="41.5" customHeight="1">
      <c r="A405" s="8" t="s">
        <v>2302</v>
      </c>
      <c r="B405" s="8" t="s">
        <v>2416</v>
      </c>
      <c r="C405" s="9">
        <v>45953.6745288889</v>
      </c>
      <c r="D405" s="8" t="s">
        <v>2056</v>
      </c>
      <c r="E405" s="8" t="s">
        <v>2057</v>
      </c>
      <c r="F405" s="8">
        <v>3</v>
      </c>
      <c r="G405" s="22" t="s">
        <v>159</v>
      </c>
      <c r="H405" s="8" t="s">
        <v>159</v>
      </c>
      <c r="I405" s="2" t="str">
        <f t="shared" si="13"/>
        <v>Hộp Inox 304</v>
      </c>
      <c r="J405" s="8" t="s">
        <v>62</v>
      </c>
      <c r="K405" s="10">
        <v>850.03</v>
      </c>
      <c r="L405" s="10">
        <v>57000</v>
      </c>
      <c r="M405" s="11">
        <v>48451710</v>
      </c>
      <c r="N405" s="8" t="s">
        <v>30</v>
      </c>
      <c r="O405" s="8" t="s">
        <v>17</v>
      </c>
      <c r="P405" s="8" t="s">
        <v>18</v>
      </c>
      <c r="Q405" s="8" t="s">
        <v>18</v>
      </c>
      <c r="R405" s="8" t="s">
        <v>2115</v>
      </c>
      <c r="S405" s="8" t="s">
        <v>2137</v>
      </c>
      <c r="T405" s="8" t="s">
        <v>2138</v>
      </c>
      <c r="U405" s="8" t="s">
        <v>2139</v>
      </c>
      <c r="V405" s="8" t="s">
        <v>522</v>
      </c>
      <c r="W405" s="8">
        <f t="shared" si="12"/>
        <v>4</v>
      </c>
      <c r="X405" s="8">
        <f>K405*L405*N405</f>
        <v>4845171</v>
      </c>
    </row>
    <row r="406" spans="1:24" s="8" customFormat="1" ht="41.5" customHeight="1">
      <c r="A406" s="8" t="s">
        <v>2302</v>
      </c>
      <c r="B406" s="8" t="s">
        <v>2416</v>
      </c>
      <c r="C406" s="9">
        <v>45953.6745288889</v>
      </c>
      <c r="D406" s="8" t="s">
        <v>2056</v>
      </c>
      <c r="E406" s="8" t="s">
        <v>2057</v>
      </c>
      <c r="F406" s="8">
        <v>4</v>
      </c>
      <c r="G406" s="27" t="s">
        <v>2140</v>
      </c>
      <c r="H406" s="8" t="s">
        <v>75</v>
      </c>
      <c r="I406" s="2" t="str">
        <f t="shared" si="13"/>
        <v>Thép ống hộp</v>
      </c>
      <c r="J406" s="8" t="s">
        <v>62</v>
      </c>
      <c r="K406" s="10">
        <v>472.5</v>
      </c>
      <c r="L406" s="10">
        <v>17272.73</v>
      </c>
      <c r="M406" s="11">
        <v>8161365</v>
      </c>
      <c r="N406" s="8" t="s">
        <v>30</v>
      </c>
      <c r="O406" s="8" t="s">
        <v>17</v>
      </c>
      <c r="P406" s="8" t="s">
        <v>18</v>
      </c>
      <c r="Q406" s="8" t="s">
        <v>18</v>
      </c>
      <c r="R406" s="8" t="s">
        <v>2115</v>
      </c>
      <c r="S406" s="8" t="s">
        <v>2137</v>
      </c>
      <c r="T406" s="8" t="s">
        <v>2138</v>
      </c>
      <c r="U406" s="8" t="s">
        <v>2139</v>
      </c>
      <c r="V406" s="8" t="s">
        <v>522</v>
      </c>
      <c r="W406" s="8">
        <f t="shared" si="12"/>
        <v>4</v>
      </c>
      <c r="X406" s="8">
        <f>K406*L406*N406</f>
        <v>816136.49250000005</v>
      </c>
    </row>
    <row r="407" spans="1:24" s="8" customFormat="1" ht="41.5" customHeight="1">
      <c r="A407" s="8" t="s">
        <v>2302</v>
      </c>
      <c r="B407" s="8" t="s">
        <v>2416</v>
      </c>
      <c r="C407" s="9">
        <v>45953.6745288889</v>
      </c>
      <c r="D407" s="8" t="s">
        <v>2056</v>
      </c>
      <c r="E407" s="8" t="s">
        <v>2057</v>
      </c>
      <c r="F407" s="8">
        <v>5</v>
      </c>
      <c r="G407" s="22" t="s">
        <v>1346</v>
      </c>
      <c r="H407" s="8" t="s">
        <v>70</v>
      </c>
      <c r="I407" s="2" t="str">
        <f t="shared" si="13"/>
        <v>Tôn xốp</v>
      </c>
      <c r="J407" s="8" t="s">
        <v>71</v>
      </c>
      <c r="K407" s="10">
        <v>246</v>
      </c>
      <c r="L407" s="10">
        <v>142545.45000000001</v>
      </c>
      <c r="M407" s="11">
        <v>35066181</v>
      </c>
      <c r="N407" s="8" t="s">
        <v>30</v>
      </c>
      <c r="O407" s="8" t="s">
        <v>17</v>
      </c>
      <c r="P407" s="8" t="s">
        <v>18</v>
      </c>
      <c r="Q407" s="8" t="s">
        <v>18</v>
      </c>
      <c r="R407" s="8" t="s">
        <v>2115</v>
      </c>
      <c r="S407" s="8" t="s">
        <v>2137</v>
      </c>
      <c r="T407" s="8" t="s">
        <v>2138</v>
      </c>
      <c r="U407" s="8" t="s">
        <v>2139</v>
      </c>
      <c r="V407" s="8" t="s">
        <v>522</v>
      </c>
      <c r="W407" s="8">
        <f t="shared" si="12"/>
        <v>4</v>
      </c>
      <c r="X407" s="8">
        <f>K407*L407*N407</f>
        <v>3506618.0700000003</v>
      </c>
    </row>
    <row r="408" spans="1:24" s="8" customFormat="1" ht="41.5" customHeight="1">
      <c r="A408" s="8" t="s">
        <v>2302</v>
      </c>
      <c r="B408" s="8" t="s">
        <v>2416</v>
      </c>
      <c r="C408" s="9">
        <v>45953.6745288889</v>
      </c>
      <c r="D408" s="8" t="s">
        <v>2056</v>
      </c>
      <c r="E408" s="8" t="s">
        <v>2057</v>
      </c>
      <c r="F408" s="8">
        <v>6</v>
      </c>
      <c r="G408" s="27" t="s">
        <v>2140</v>
      </c>
      <c r="H408" s="8" t="s">
        <v>524</v>
      </c>
      <c r="I408" s="2" t="str">
        <f t="shared" si="13"/>
        <v>Thép ống hộp</v>
      </c>
      <c r="J408" s="8" t="s">
        <v>62</v>
      </c>
      <c r="K408" s="10">
        <v>292.5</v>
      </c>
      <c r="L408" s="10">
        <v>24727.27</v>
      </c>
      <c r="M408" s="11">
        <v>7232726</v>
      </c>
      <c r="N408" s="8" t="s">
        <v>30</v>
      </c>
      <c r="O408" s="8" t="s">
        <v>17</v>
      </c>
      <c r="P408" s="8" t="s">
        <v>18</v>
      </c>
      <c r="Q408" s="8" t="s">
        <v>18</v>
      </c>
      <c r="R408" s="8" t="s">
        <v>2115</v>
      </c>
      <c r="S408" s="8" t="s">
        <v>2137</v>
      </c>
      <c r="T408" s="8" t="s">
        <v>2138</v>
      </c>
      <c r="U408" s="8" t="s">
        <v>2139</v>
      </c>
      <c r="V408" s="8" t="s">
        <v>522</v>
      </c>
      <c r="W408" s="8">
        <f t="shared" si="12"/>
        <v>4</v>
      </c>
      <c r="X408" s="8">
        <f>K408*L408*N408</f>
        <v>723272.64750000008</v>
      </c>
    </row>
    <row r="409" spans="1:24" s="8" customFormat="1" ht="41.5" customHeight="1">
      <c r="A409" s="8" t="s">
        <v>2302</v>
      </c>
      <c r="B409" s="8" t="s">
        <v>2416</v>
      </c>
      <c r="C409" s="9">
        <v>45953.6745288889</v>
      </c>
      <c r="D409" s="8" t="s">
        <v>2056</v>
      </c>
      <c r="E409" s="8" t="s">
        <v>2057</v>
      </c>
      <c r="F409" s="8">
        <v>7</v>
      </c>
      <c r="G409" s="27" t="s">
        <v>2140</v>
      </c>
      <c r="H409" s="8" t="s">
        <v>525</v>
      </c>
      <c r="I409" s="2" t="str">
        <f t="shared" si="13"/>
        <v>Thép ống hộp</v>
      </c>
      <c r="J409" s="8" t="s">
        <v>62</v>
      </c>
      <c r="K409" s="10">
        <v>435.9</v>
      </c>
      <c r="L409" s="10">
        <v>17272.73</v>
      </c>
      <c r="M409" s="11">
        <v>7529183</v>
      </c>
      <c r="N409" s="8" t="s">
        <v>30</v>
      </c>
      <c r="O409" s="8" t="s">
        <v>17</v>
      </c>
      <c r="P409" s="8" t="s">
        <v>18</v>
      </c>
      <c r="Q409" s="8" t="s">
        <v>18</v>
      </c>
      <c r="R409" s="8" t="s">
        <v>2115</v>
      </c>
      <c r="S409" s="8" t="s">
        <v>2137</v>
      </c>
      <c r="T409" s="8" t="s">
        <v>2138</v>
      </c>
      <c r="U409" s="8" t="s">
        <v>2139</v>
      </c>
      <c r="V409" s="8" t="s">
        <v>522</v>
      </c>
      <c r="W409" s="8">
        <f t="shared" si="12"/>
        <v>4</v>
      </c>
      <c r="X409" s="8">
        <f>K409*L409*N409</f>
        <v>752918.30070000002</v>
      </c>
    </row>
    <row r="410" spans="1:24" s="8" customFormat="1" ht="41.5" customHeight="1">
      <c r="A410" s="8" t="s">
        <v>2302</v>
      </c>
      <c r="B410" s="8" t="s">
        <v>2417</v>
      </c>
      <c r="C410" s="9">
        <v>45947.714730104199</v>
      </c>
      <c r="D410" s="8" t="s">
        <v>2056</v>
      </c>
      <c r="E410" s="8" t="s">
        <v>2057</v>
      </c>
      <c r="F410" s="8">
        <v>1</v>
      </c>
      <c r="G410" s="22" t="s">
        <v>1346</v>
      </c>
      <c r="H410" s="8" t="s">
        <v>70</v>
      </c>
      <c r="I410" s="2" t="str">
        <f t="shared" si="13"/>
        <v>Tôn xốp</v>
      </c>
      <c r="J410" s="8" t="s">
        <v>71</v>
      </c>
      <c r="K410" s="10">
        <v>146</v>
      </c>
      <c r="L410" s="10">
        <v>130000</v>
      </c>
      <c r="M410" s="11">
        <v>18980000</v>
      </c>
      <c r="N410" s="8" t="s">
        <v>30</v>
      </c>
      <c r="O410" s="8" t="s">
        <v>17</v>
      </c>
      <c r="P410" s="8" t="s">
        <v>18</v>
      </c>
      <c r="Q410" s="8" t="s">
        <v>18</v>
      </c>
      <c r="R410" s="8" t="s">
        <v>2115</v>
      </c>
      <c r="S410" s="8" t="s">
        <v>2137</v>
      </c>
      <c r="T410" s="8" t="s">
        <v>2138</v>
      </c>
      <c r="U410" s="8" t="s">
        <v>2139</v>
      </c>
      <c r="V410" s="8" t="s">
        <v>507</v>
      </c>
      <c r="W410" s="8">
        <f t="shared" si="12"/>
        <v>4</v>
      </c>
      <c r="X410" s="8">
        <f>K410*L410*N410</f>
        <v>1898000</v>
      </c>
    </row>
    <row r="411" spans="1:24" s="8" customFormat="1" ht="41.5" customHeight="1">
      <c r="A411" s="8" t="s">
        <v>2302</v>
      </c>
      <c r="B411" s="8" t="s">
        <v>2418</v>
      </c>
      <c r="C411" s="9">
        <v>45942.675052071798</v>
      </c>
      <c r="D411" s="8" t="s">
        <v>2056</v>
      </c>
      <c r="E411" s="8" t="s">
        <v>2057</v>
      </c>
      <c r="F411" s="8">
        <v>1</v>
      </c>
      <c r="G411" s="22" t="s">
        <v>1346</v>
      </c>
      <c r="H411" s="8" t="s">
        <v>70</v>
      </c>
      <c r="I411" s="2" t="str">
        <f t="shared" si="13"/>
        <v>Tôn xốp</v>
      </c>
      <c r="J411" s="8" t="s">
        <v>71</v>
      </c>
      <c r="K411" s="10">
        <v>254</v>
      </c>
      <c r="L411" s="10">
        <v>130000</v>
      </c>
      <c r="M411" s="11">
        <v>33020000</v>
      </c>
      <c r="N411" s="8" t="s">
        <v>30</v>
      </c>
      <c r="O411" s="8" t="s">
        <v>17</v>
      </c>
      <c r="P411" s="8" t="s">
        <v>18</v>
      </c>
      <c r="Q411" s="8" t="s">
        <v>18</v>
      </c>
      <c r="R411" s="8" t="s">
        <v>2115</v>
      </c>
      <c r="S411" s="8" t="s">
        <v>2137</v>
      </c>
      <c r="T411" s="8" t="s">
        <v>2138</v>
      </c>
      <c r="U411" s="8" t="s">
        <v>2139</v>
      </c>
      <c r="V411" s="8" t="s">
        <v>526</v>
      </c>
      <c r="W411" s="8">
        <f t="shared" si="12"/>
        <v>4</v>
      </c>
      <c r="X411" s="8">
        <f>K411*L411*N411</f>
        <v>3302000</v>
      </c>
    </row>
    <row r="412" spans="1:24" s="8" customFormat="1" ht="41.5" customHeight="1">
      <c r="A412" s="8" t="s">
        <v>2302</v>
      </c>
      <c r="B412" s="8" t="s">
        <v>2419</v>
      </c>
      <c r="C412" s="9">
        <v>45938.665906331</v>
      </c>
      <c r="D412" s="8" t="s">
        <v>2056</v>
      </c>
      <c r="E412" s="8" t="s">
        <v>2057</v>
      </c>
      <c r="F412" s="8">
        <v>1</v>
      </c>
      <c r="G412" s="22" t="s">
        <v>1346</v>
      </c>
      <c r="H412" s="8" t="s">
        <v>70</v>
      </c>
      <c r="I412" s="2" t="str">
        <f t="shared" si="13"/>
        <v>Tôn xốp</v>
      </c>
      <c r="J412" s="8" t="s">
        <v>71</v>
      </c>
      <c r="K412" s="10">
        <v>45</v>
      </c>
      <c r="L412" s="10">
        <v>142545.45000000001</v>
      </c>
      <c r="M412" s="11">
        <v>6414545</v>
      </c>
      <c r="N412" s="8" t="s">
        <v>30</v>
      </c>
      <c r="O412" s="8" t="s">
        <v>17</v>
      </c>
      <c r="P412" s="8" t="s">
        <v>18</v>
      </c>
      <c r="Q412" s="8" t="s">
        <v>18</v>
      </c>
      <c r="R412" s="8" t="s">
        <v>2115</v>
      </c>
      <c r="S412" s="8" t="s">
        <v>2137</v>
      </c>
      <c r="T412" s="8" t="s">
        <v>2138</v>
      </c>
      <c r="U412" s="8" t="s">
        <v>2139</v>
      </c>
      <c r="V412" s="8" t="s">
        <v>500</v>
      </c>
      <c r="W412" s="8">
        <f t="shared" si="12"/>
        <v>4</v>
      </c>
      <c r="X412" s="8">
        <f>K412*L412*N412</f>
        <v>641454.52500000014</v>
      </c>
    </row>
    <row r="413" spans="1:24" s="8" customFormat="1" ht="41.5" customHeight="1">
      <c r="A413" s="8" t="s">
        <v>2302</v>
      </c>
      <c r="B413" s="8" t="s">
        <v>2419</v>
      </c>
      <c r="C413" s="9">
        <v>45938.665906331</v>
      </c>
      <c r="D413" s="8" t="s">
        <v>2056</v>
      </c>
      <c r="E413" s="8" t="s">
        <v>2057</v>
      </c>
      <c r="F413" s="8">
        <v>2</v>
      </c>
      <c r="G413" s="22" t="s">
        <v>159</v>
      </c>
      <c r="H413" s="8" t="s">
        <v>159</v>
      </c>
      <c r="I413" s="2" t="str">
        <f t="shared" si="13"/>
        <v>Hộp Inox 304</v>
      </c>
      <c r="J413" s="8" t="s">
        <v>62</v>
      </c>
      <c r="K413" s="10">
        <v>121.68</v>
      </c>
      <c r="L413" s="10">
        <v>57000</v>
      </c>
      <c r="M413" s="11">
        <v>6935760</v>
      </c>
      <c r="N413" s="8" t="s">
        <v>30</v>
      </c>
      <c r="O413" s="8" t="s">
        <v>17</v>
      </c>
      <c r="P413" s="8" t="s">
        <v>18</v>
      </c>
      <c r="Q413" s="8" t="s">
        <v>18</v>
      </c>
      <c r="R413" s="8" t="s">
        <v>2115</v>
      </c>
      <c r="S413" s="8" t="s">
        <v>2137</v>
      </c>
      <c r="T413" s="8" t="s">
        <v>2138</v>
      </c>
      <c r="U413" s="8" t="s">
        <v>2139</v>
      </c>
      <c r="V413" s="8" t="s">
        <v>500</v>
      </c>
      <c r="W413" s="8">
        <f t="shared" si="12"/>
        <v>4</v>
      </c>
      <c r="X413" s="8">
        <f>K413*L413*N413</f>
        <v>693576</v>
      </c>
    </row>
    <row r="414" spans="1:24" s="8" customFormat="1" ht="41.5" customHeight="1">
      <c r="A414" s="8" t="s">
        <v>2302</v>
      </c>
      <c r="B414" s="8" t="s">
        <v>2419</v>
      </c>
      <c r="C414" s="9">
        <v>45938.665906331</v>
      </c>
      <c r="D414" s="8" t="s">
        <v>2056</v>
      </c>
      <c r="E414" s="8" t="s">
        <v>2057</v>
      </c>
      <c r="F414" s="8">
        <v>3</v>
      </c>
      <c r="G414" s="22" t="s">
        <v>1346</v>
      </c>
      <c r="H414" s="8" t="s">
        <v>413</v>
      </c>
      <c r="I414" s="2" t="str">
        <f t="shared" si="13"/>
        <v>Tôn xốp</v>
      </c>
      <c r="J414" s="8" t="s">
        <v>71</v>
      </c>
      <c r="K414" s="10">
        <v>149.1</v>
      </c>
      <c r="L414" s="10">
        <v>156000</v>
      </c>
      <c r="M414" s="11">
        <v>23259600</v>
      </c>
      <c r="N414" s="8" t="s">
        <v>30</v>
      </c>
      <c r="O414" s="8" t="s">
        <v>17</v>
      </c>
      <c r="P414" s="8" t="s">
        <v>18</v>
      </c>
      <c r="Q414" s="8" t="s">
        <v>18</v>
      </c>
      <c r="R414" s="8" t="s">
        <v>2115</v>
      </c>
      <c r="S414" s="8" t="s">
        <v>2137</v>
      </c>
      <c r="T414" s="8" t="s">
        <v>2138</v>
      </c>
      <c r="U414" s="8" t="s">
        <v>2139</v>
      </c>
      <c r="V414" s="8" t="s">
        <v>500</v>
      </c>
      <c r="W414" s="8">
        <f t="shared" si="12"/>
        <v>4</v>
      </c>
      <c r="X414" s="8">
        <f>K414*L414*N414</f>
        <v>2325960</v>
      </c>
    </row>
    <row r="415" spans="1:24" s="8" customFormat="1" ht="41.5" customHeight="1">
      <c r="A415" s="8" t="s">
        <v>2302</v>
      </c>
      <c r="B415" s="8" t="s">
        <v>2420</v>
      </c>
      <c r="C415" s="9">
        <v>45934.682948518501</v>
      </c>
      <c r="D415" s="8" t="s">
        <v>2056</v>
      </c>
      <c r="E415" s="8" t="s">
        <v>2057</v>
      </c>
      <c r="F415" s="8">
        <v>1</v>
      </c>
      <c r="G415" s="22" t="s">
        <v>1346</v>
      </c>
      <c r="H415" s="8" t="s">
        <v>70</v>
      </c>
      <c r="I415" s="2" t="str">
        <f t="shared" si="13"/>
        <v>Tôn xốp</v>
      </c>
      <c r="J415" s="8" t="s">
        <v>71</v>
      </c>
      <c r="K415" s="10">
        <v>171.2</v>
      </c>
      <c r="L415" s="10">
        <v>142545.45000000001</v>
      </c>
      <c r="M415" s="11">
        <v>24403781</v>
      </c>
      <c r="N415" s="8" t="s">
        <v>30</v>
      </c>
      <c r="O415" s="8" t="s">
        <v>17</v>
      </c>
      <c r="P415" s="8" t="s">
        <v>18</v>
      </c>
      <c r="Q415" s="8" t="s">
        <v>18</v>
      </c>
      <c r="R415" s="8" t="s">
        <v>2115</v>
      </c>
      <c r="S415" s="8" t="s">
        <v>2137</v>
      </c>
      <c r="T415" s="8" t="s">
        <v>2138</v>
      </c>
      <c r="U415" s="8" t="s">
        <v>2139</v>
      </c>
      <c r="V415" s="8" t="s">
        <v>527</v>
      </c>
      <c r="W415" s="8">
        <f t="shared" si="12"/>
        <v>4</v>
      </c>
      <c r="X415" s="8">
        <f>K415*L415*N415</f>
        <v>2440378.1039999998</v>
      </c>
    </row>
    <row r="416" spans="1:24" s="8" customFormat="1" ht="41.5" customHeight="1">
      <c r="A416" s="8" t="s">
        <v>2302</v>
      </c>
      <c r="B416" s="8" t="s">
        <v>2420</v>
      </c>
      <c r="C416" s="9">
        <v>45934.682948518501</v>
      </c>
      <c r="D416" s="8" t="s">
        <v>2056</v>
      </c>
      <c r="E416" s="8" t="s">
        <v>2057</v>
      </c>
      <c r="F416" s="8">
        <v>2</v>
      </c>
      <c r="G416" s="27" t="s">
        <v>2140</v>
      </c>
      <c r="H416" s="8" t="s">
        <v>423</v>
      </c>
      <c r="I416" s="2" t="str">
        <f t="shared" si="13"/>
        <v>Thép ống hộp</v>
      </c>
      <c r="J416" s="8" t="s">
        <v>62</v>
      </c>
      <c r="K416" s="10">
        <v>181</v>
      </c>
      <c r="L416" s="10">
        <v>16000</v>
      </c>
      <c r="M416" s="11">
        <v>2896000</v>
      </c>
      <c r="N416" s="8" t="s">
        <v>30</v>
      </c>
      <c r="O416" s="8" t="s">
        <v>17</v>
      </c>
      <c r="P416" s="8" t="s">
        <v>18</v>
      </c>
      <c r="Q416" s="8" t="s">
        <v>18</v>
      </c>
      <c r="R416" s="8" t="s">
        <v>2115</v>
      </c>
      <c r="S416" s="8" t="s">
        <v>2137</v>
      </c>
      <c r="T416" s="8" t="s">
        <v>2138</v>
      </c>
      <c r="U416" s="8" t="s">
        <v>2139</v>
      </c>
      <c r="V416" s="8" t="s">
        <v>527</v>
      </c>
      <c r="W416" s="8">
        <f t="shared" si="12"/>
        <v>4</v>
      </c>
      <c r="X416" s="8">
        <f>K416*L416*N416</f>
        <v>289600</v>
      </c>
    </row>
    <row r="417" spans="1:24" s="8" customFormat="1" ht="41.5" customHeight="1">
      <c r="A417" s="8" t="s">
        <v>2309</v>
      </c>
      <c r="B417" s="8" t="s">
        <v>2421</v>
      </c>
      <c r="C417" s="9">
        <v>45961.662041898097</v>
      </c>
      <c r="D417" s="8" t="s">
        <v>2056</v>
      </c>
      <c r="E417" s="8" t="s">
        <v>2057</v>
      </c>
      <c r="F417" s="8">
        <v>1</v>
      </c>
      <c r="G417" s="22" t="s">
        <v>2243</v>
      </c>
      <c r="H417" s="8" t="s">
        <v>528</v>
      </c>
      <c r="I417" s="2" t="str">
        <f t="shared" si="13"/>
        <v>Gỗ ván ép phủ phim KT 12mm x 1220 x 2440</v>
      </c>
      <c r="J417" s="8" t="s">
        <v>114</v>
      </c>
      <c r="K417" s="10">
        <v>30</v>
      </c>
      <c r="L417" s="10">
        <v>250000</v>
      </c>
      <c r="M417" s="11">
        <v>7500000</v>
      </c>
      <c r="N417" s="8" t="s">
        <v>16</v>
      </c>
      <c r="O417" s="8" t="s">
        <v>17</v>
      </c>
      <c r="P417" s="8" t="s">
        <v>18</v>
      </c>
      <c r="Q417" s="8" t="s">
        <v>18</v>
      </c>
      <c r="R417" s="8" t="s">
        <v>2115</v>
      </c>
      <c r="S417" s="8" t="s">
        <v>2142</v>
      </c>
      <c r="T417" s="8" t="s">
        <v>2143</v>
      </c>
      <c r="U417" s="8" t="s">
        <v>2144</v>
      </c>
      <c r="V417" s="8" t="s">
        <v>529</v>
      </c>
      <c r="W417" s="8">
        <f t="shared" si="12"/>
        <v>4</v>
      </c>
      <c r="X417" s="8">
        <f>K417*L417*N417</f>
        <v>600000</v>
      </c>
    </row>
    <row r="418" spans="1:24" s="8" customFormat="1" ht="41.5" customHeight="1">
      <c r="A418" s="8" t="s">
        <v>2280</v>
      </c>
      <c r="B418" s="8" t="s">
        <v>2422</v>
      </c>
      <c r="C418" s="9">
        <v>45931.6132608681</v>
      </c>
      <c r="D418" s="8" t="s">
        <v>2056</v>
      </c>
      <c r="E418" s="8" t="s">
        <v>2057</v>
      </c>
      <c r="F418" s="8">
        <v>1</v>
      </c>
      <c r="G418" s="22" t="s">
        <v>1579</v>
      </c>
      <c r="H418" s="8" t="s">
        <v>530</v>
      </c>
      <c r="I418" s="2" t="str">
        <f t="shared" si="13"/>
        <v>Máy khoan 13 mmdp4020 (DP4020)</v>
      </c>
      <c r="J418" s="8" t="s">
        <v>15</v>
      </c>
      <c r="K418" s="10">
        <v>1</v>
      </c>
      <c r="L418" s="10">
        <v>1435185</v>
      </c>
      <c r="M418" s="11">
        <v>1435185</v>
      </c>
      <c r="N418" s="8" t="s">
        <v>16</v>
      </c>
      <c r="O418" s="8" t="s">
        <v>17</v>
      </c>
      <c r="P418" s="8" t="s">
        <v>18</v>
      </c>
      <c r="Q418" s="8" t="s">
        <v>18</v>
      </c>
      <c r="R418" s="8" t="s">
        <v>2110</v>
      </c>
      <c r="S418" s="8" t="s">
        <v>2205</v>
      </c>
      <c r="T418" s="8" t="s">
        <v>2206</v>
      </c>
      <c r="U418" s="8" t="s">
        <v>2207</v>
      </c>
      <c r="V418" s="8" t="s">
        <v>531</v>
      </c>
      <c r="W418" s="8">
        <f t="shared" si="12"/>
        <v>4</v>
      </c>
      <c r="X418" s="8">
        <f>K418*L418*N418</f>
        <v>114814.8</v>
      </c>
    </row>
    <row r="419" spans="1:24" s="8" customFormat="1" ht="41.5" customHeight="1">
      <c r="A419" s="8" t="s">
        <v>2312</v>
      </c>
      <c r="B419" s="8" t="s">
        <v>2423</v>
      </c>
      <c r="C419" s="9">
        <v>45935.464464976903</v>
      </c>
      <c r="D419" s="8" t="s">
        <v>2208</v>
      </c>
      <c r="E419" s="8" t="s">
        <v>2057</v>
      </c>
      <c r="F419" s="8">
        <v>1</v>
      </c>
      <c r="G419" s="2">
        <v>642</v>
      </c>
      <c r="H419" s="8" t="s">
        <v>135</v>
      </c>
      <c r="I419" s="2">
        <f t="shared" si="13"/>
        <v>642</v>
      </c>
      <c r="J419" s="8" t="s">
        <v>27</v>
      </c>
      <c r="K419" s="10">
        <v>12.135999999999999</v>
      </c>
      <c r="L419" s="10">
        <v>19074.07</v>
      </c>
      <c r="M419" s="11">
        <v>231481</v>
      </c>
      <c r="N419" s="8" t="s">
        <v>16</v>
      </c>
      <c r="O419" s="8" t="s">
        <v>17</v>
      </c>
      <c r="P419" s="8" t="s">
        <v>18</v>
      </c>
      <c r="Q419" s="8" t="s">
        <v>18</v>
      </c>
      <c r="R419" s="8" t="s">
        <v>2110</v>
      </c>
      <c r="S419" s="8" t="s">
        <v>2209</v>
      </c>
      <c r="T419" s="8" t="s">
        <v>2210</v>
      </c>
      <c r="U419" s="8" t="s">
        <v>2242</v>
      </c>
      <c r="V419" s="8" t="s">
        <v>532</v>
      </c>
      <c r="W419" s="8">
        <f t="shared" si="12"/>
        <v>4</v>
      </c>
      <c r="X419" s="8">
        <f>K419*L419*N419</f>
        <v>18518.633081599997</v>
      </c>
    </row>
    <row r="420" spans="1:24" s="8" customFormat="1" ht="41.5" customHeight="1">
      <c r="A420" s="8" t="s">
        <v>2314</v>
      </c>
      <c r="B420" s="8" t="s">
        <v>2424</v>
      </c>
      <c r="C420" s="9">
        <v>45960.692215335701</v>
      </c>
      <c r="D420" s="8" t="s">
        <v>2056</v>
      </c>
      <c r="E420" s="8" t="s">
        <v>2057</v>
      </c>
      <c r="F420" s="8">
        <v>1</v>
      </c>
      <c r="G420" s="22" t="s">
        <v>2243</v>
      </c>
      <c r="H420" s="8" t="s">
        <v>287</v>
      </c>
      <c r="I420" s="2" t="str">
        <f t="shared" si="13"/>
        <v>Gỗ ván ép phủ phim KT 12mm x 1220 x 2440</v>
      </c>
      <c r="J420" s="8" t="s">
        <v>114</v>
      </c>
      <c r="K420" s="10">
        <v>250</v>
      </c>
      <c r="L420" s="10">
        <v>252379</v>
      </c>
      <c r="M420" s="11">
        <v>63094750</v>
      </c>
      <c r="N420" s="8" t="s">
        <v>16</v>
      </c>
      <c r="O420" s="8" t="s">
        <v>17</v>
      </c>
      <c r="P420" s="8" t="s">
        <v>18</v>
      </c>
      <c r="Q420" s="8" t="s">
        <v>18</v>
      </c>
      <c r="R420" s="8" t="s">
        <v>2145</v>
      </c>
      <c r="S420" s="8" t="s">
        <v>2146</v>
      </c>
      <c r="T420" s="8" t="s">
        <v>2147</v>
      </c>
      <c r="U420" s="8" t="s">
        <v>2148</v>
      </c>
      <c r="V420" s="8" t="s">
        <v>533</v>
      </c>
      <c r="W420" s="8">
        <f t="shared" si="12"/>
        <v>4</v>
      </c>
      <c r="X420" s="8">
        <f>K420*L420*N420</f>
        <v>5047580</v>
      </c>
    </row>
    <row r="421" spans="1:24" s="8" customFormat="1" ht="41.5" customHeight="1">
      <c r="A421" s="8" t="s">
        <v>2316</v>
      </c>
      <c r="B421" s="8" t="s">
        <v>2266</v>
      </c>
      <c r="C421" s="9">
        <v>45931.704408159698</v>
      </c>
      <c r="D421" s="8" t="s">
        <v>2056</v>
      </c>
      <c r="E421" s="8" t="s">
        <v>2057</v>
      </c>
      <c r="F421" s="8">
        <v>1</v>
      </c>
      <c r="G421" s="22" t="s">
        <v>2160</v>
      </c>
      <c r="H421" s="8" t="s">
        <v>113</v>
      </c>
      <c r="I421" s="2" t="str">
        <f t="shared" si="13"/>
        <v>Ván ép phủ phim 2 mặt Kt 2440x1220*15 mm</v>
      </c>
      <c r="J421" s="8" t="s">
        <v>114</v>
      </c>
      <c r="K421" s="10">
        <v>300</v>
      </c>
      <c r="L421" s="10">
        <v>280000</v>
      </c>
      <c r="M421" s="11">
        <v>84000000</v>
      </c>
      <c r="N421" s="8" t="s">
        <v>16</v>
      </c>
      <c r="O421" s="8" t="s">
        <v>289</v>
      </c>
      <c r="P421" s="8" t="s">
        <v>534</v>
      </c>
      <c r="Q421" s="8" t="s">
        <v>291</v>
      </c>
      <c r="R421" s="8" t="s">
        <v>2115</v>
      </c>
      <c r="S421" s="8" t="s">
        <v>2211</v>
      </c>
      <c r="T421" s="8" t="s">
        <v>2212</v>
      </c>
      <c r="U421" s="8" t="s">
        <v>2318</v>
      </c>
      <c r="V421" s="8" t="s">
        <v>531</v>
      </c>
      <c r="W421" s="8">
        <f t="shared" si="12"/>
        <v>4</v>
      </c>
      <c r="X421" s="8">
        <f>K421*L421*N421</f>
        <v>6720000</v>
      </c>
    </row>
    <row r="422" spans="1:24" s="8" customFormat="1" ht="41.5" customHeight="1">
      <c r="A422" s="8" t="s">
        <v>2316</v>
      </c>
      <c r="B422" s="8" t="s">
        <v>2266</v>
      </c>
      <c r="C422" s="9">
        <v>45931.704408159698</v>
      </c>
      <c r="D422" s="8" t="s">
        <v>2056</v>
      </c>
      <c r="E422" s="8" t="s">
        <v>2057</v>
      </c>
      <c r="F422" s="8">
        <v>2</v>
      </c>
      <c r="G422" s="2">
        <v>642</v>
      </c>
      <c r="H422" s="8" t="s">
        <v>535</v>
      </c>
      <c r="I422" s="2">
        <f t="shared" si="13"/>
        <v>642</v>
      </c>
      <c r="J422" s="8" t="s">
        <v>164</v>
      </c>
      <c r="K422" s="10">
        <v>1</v>
      </c>
      <c r="L422" s="10">
        <v>2700000</v>
      </c>
      <c r="M422" s="11">
        <v>2700000</v>
      </c>
      <c r="N422" s="8" t="s">
        <v>16</v>
      </c>
      <c r="O422" s="8" t="s">
        <v>289</v>
      </c>
      <c r="P422" s="8" t="s">
        <v>534</v>
      </c>
      <c r="Q422" s="8" t="s">
        <v>291</v>
      </c>
      <c r="R422" s="8" t="s">
        <v>2115</v>
      </c>
      <c r="S422" s="8" t="s">
        <v>2211</v>
      </c>
      <c r="T422" s="8" t="s">
        <v>2212</v>
      </c>
      <c r="U422" s="8" t="s">
        <v>2318</v>
      </c>
      <c r="V422" s="8" t="s">
        <v>531</v>
      </c>
      <c r="W422" s="8">
        <f>ROUNDUP(MONTH(V422)/3,0)</f>
        <v>4</v>
      </c>
      <c r="X422" s="8">
        <f>K422*L422*N422</f>
        <v>216000</v>
      </c>
    </row>
    <row r="423" spans="1:24" s="8" customFormat="1" ht="41.5" customHeight="1">
      <c r="A423" s="8" t="s">
        <v>2281</v>
      </c>
      <c r="B423" s="8" t="s">
        <v>2426</v>
      </c>
      <c r="C423" s="9">
        <v>45934.726043078699</v>
      </c>
      <c r="D423" s="8" t="s">
        <v>2056</v>
      </c>
      <c r="E423" s="8" t="s">
        <v>2057</v>
      </c>
      <c r="F423" s="8">
        <v>1</v>
      </c>
      <c r="G423" s="22" t="s">
        <v>2164</v>
      </c>
      <c r="H423" s="8" t="s">
        <v>537</v>
      </c>
      <c r="I423" s="2" t="str">
        <f t="shared" si="13"/>
        <v>Đèn led chiếu pha 200W, model CP01-200W/G03, án</v>
      </c>
      <c r="J423" s="8" t="s">
        <v>19</v>
      </c>
      <c r="K423" s="10">
        <v>10</v>
      </c>
      <c r="L423" s="10">
        <v>487500</v>
      </c>
      <c r="M423" s="11">
        <v>4875000</v>
      </c>
      <c r="N423" s="8" t="s">
        <v>16</v>
      </c>
      <c r="O423" s="8" t="s">
        <v>17</v>
      </c>
      <c r="P423" s="8" t="s">
        <v>18</v>
      </c>
      <c r="Q423" s="8" t="s">
        <v>18</v>
      </c>
      <c r="R423" s="8" t="s">
        <v>2115</v>
      </c>
      <c r="S423" s="8" t="s">
        <v>2274</v>
      </c>
      <c r="T423" s="8" t="s">
        <v>2275</v>
      </c>
      <c r="U423" s="8" t="s">
        <v>2276</v>
      </c>
      <c r="V423" s="8" t="s">
        <v>527</v>
      </c>
      <c r="W423" s="8">
        <f>ROUNDUP(MONTH(V423)/3,0)</f>
        <v>4</v>
      </c>
      <c r="X423" s="8">
        <f>K423*L423*N423</f>
        <v>390000</v>
      </c>
    </row>
    <row r="424" spans="1:24" s="8" customFormat="1" ht="41.5" customHeight="1">
      <c r="A424" s="8" t="s">
        <v>2281</v>
      </c>
      <c r="B424" s="8" t="s">
        <v>2426</v>
      </c>
      <c r="C424" s="9">
        <v>45934.726043078699</v>
      </c>
      <c r="D424" s="8" t="s">
        <v>2056</v>
      </c>
      <c r="E424" s="8" t="s">
        <v>2057</v>
      </c>
      <c r="F424" s="8">
        <v>2</v>
      </c>
      <c r="G424" s="22" t="s">
        <v>538</v>
      </c>
      <c r="H424" s="8" t="s">
        <v>538</v>
      </c>
      <c r="I424" s="2" t="str">
        <f t="shared" si="13"/>
        <v>Đèn pin G8-332, ánh sáng trắng</v>
      </c>
      <c r="J424" s="8" t="s">
        <v>53</v>
      </c>
      <c r="K424" s="10">
        <v>10</v>
      </c>
      <c r="L424" s="10">
        <v>136608.32999999999</v>
      </c>
      <c r="M424" s="11">
        <v>1366083</v>
      </c>
      <c r="N424" s="8" t="s">
        <v>16</v>
      </c>
      <c r="O424" s="8" t="s">
        <v>17</v>
      </c>
      <c r="P424" s="8" t="s">
        <v>18</v>
      </c>
      <c r="Q424" s="8" t="s">
        <v>18</v>
      </c>
      <c r="R424" s="8" t="s">
        <v>2115</v>
      </c>
      <c r="S424" s="8" t="s">
        <v>2274</v>
      </c>
      <c r="T424" s="8" t="s">
        <v>2275</v>
      </c>
      <c r="U424" s="8" t="s">
        <v>2276</v>
      </c>
      <c r="V424" s="8" t="s">
        <v>527</v>
      </c>
      <c r="W424" s="8">
        <f>ROUNDUP(MONTH(V424)/3,0)</f>
        <v>4</v>
      </c>
      <c r="X424" s="8">
        <f>K424*L424*N424</f>
        <v>109286.66399999999</v>
      </c>
    </row>
    <row r="425" spans="1:24" s="8" customFormat="1" ht="41.5" customHeight="1">
      <c r="A425" s="8" t="s">
        <v>2427</v>
      </c>
      <c r="B425" s="8" t="s">
        <v>2428</v>
      </c>
      <c r="C425" s="9">
        <v>45950.455993553202</v>
      </c>
      <c r="D425" s="8" t="s">
        <v>2056</v>
      </c>
      <c r="E425" s="8" t="s">
        <v>2057</v>
      </c>
      <c r="F425" s="8">
        <v>1</v>
      </c>
      <c r="G425" s="22" t="s">
        <v>539</v>
      </c>
      <c r="H425" s="8" t="s">
        <v>539</v>
      </c>
      <c r="I425" s="2" t="str">
        <f t="shared" si="13"/>
        <v>Bạt nhựa PP</v>
      </c>
      <c r="J425" s="8" t="s">
        <v>127</v>
      </c>
      <c r="K425" s="10">
        <v>1</v>
      </c>
      <c r="L425" s="10">
        <v>400000</v>
      </c>
      <c r="M425" s="11">
        <v>400000</v>
      </c>
      <c r="N425" s="8" t="s">
        <v>16</v>
      </c>
      <c r="O425" s="8" t="s">
        <v>17</v>
      </c>
      <c r="P425" s="8" t="s">
        <v>18</v>
      </c>
      <c r="Q425" s="8" t="s">
        <v>18</v>
      </c>
      <c r="R425" s="8" t="s">
        <v>2115</v>
      </c>
      <c r="S425" s="8" t="s">
        <v>2248</v>
      </c>
      <c r="T425" s="8" t="s">
        <v>2249</v>
      </c>
      <c r="U425" s="8" t="s">
        <v>2250</v>
      </c>
      <c r="V425" s="8" t="s">
        <v>540</v>
      </c>
      <c r="W425" s="8">
        <f>ROUNDUP(MONTH(V425)/3,0)</f>
        <v>4</v>
      </c>
      <c r="X425" s="8">
        <f>K425*L425*N425</f>
        <v>32000</v>
      </c>
    </row>
    <row r="426" spans="1:24" s="8" customFormat="1" ht="41.5" customHeight="1">
      <c r="A426" s="8" t="s">
        <v>2427</v>
      </c>
      <c r="B426" s="8" t="s">
        <v>2429</v>
      </c>
      <c r="C426" s="9">
        <v>45950.455761712998</v>
      </c>
      <c r="D426" s="8" t="s">
        <v>2056</v>
      </c>
      <c r="E426" s="8" t="s">
        <v>2057</v>
      </c>
      <c r="F426" s="8">
        <v>1</v>
      </c>
      <c r="G426" s="27" t="s">
        <v>1194</v>
      </c>
      <c r="H426" s="8" t="s">
        <v>203</v>
      </c>
      <c r="I426" s="2" t="str">
        <f t="shared" si="13"/>
        <v>Bát ren D16</v>
      </c>
      <c r="J426" s="8" t="s">
        <v>15</v>
      </c>
      <c r="K426" s="10">
        <v>500</v>
      </c>
      <c r="L426" s="10">
        <v>14400</v>
      </c>
      <c r="M426" s="11">
        <v>7200000</v>
      </c>
      <c r="N426" s="8" t="s">
        <v>30</v>
      </c>
      <c r="O426" s="8" t="s">
        <v>17</v>
      </c>
      <c r="P426" s="8" t="s">
        <v>18</v>
      </c>
      <c r="Q426" s="8" t="s">
        <v>18</v>
      </c>
      <c r="R426" s="8" t="s">
        <v>2115</v>
      </c>
      <c r="S426" s="8" t="s">
        <v>2248</v>
      </c>
      <c r="T426" s="8" t="s">
        <v>2249</v>
      </c>
      <c r="U426" s="8" t="s">
        <v>2250</v>
      </c>
      <c r="V426" s="8" t="s">
        <v>540</v>
      </c>
      <c r="W426" s="8">
        <f>ROUNDUP(MONTH(V426)/3,0)</f>
        <v>4</v>
      </c>
      <c r="X426" s="8">
        <f>K426*L426*N426</f>
        <v>720000</v>
      </c>
    </row>
    <row r="427" spans="1:24" s="8" customFormat="1" ht="41.5" customHeight="1">
      <c r="A427" s="8" t="s">
        <v>2427</v>
      </c>
      <c r="B427" s="8" t="s">
        <v>2429</v>
      </c>
      <c r="C427" s="9">
        <v>45950.455761712998</v>
      </c>
      <c r="D427" s="8" t="s">
        <v>2056</v>
      </c>
      <c r="E427" s="8" t="s">
        <v>2057</v>
      </c>
      <c r="F427" s="8">
        <v>2</v>
      </c>
      <c r="G427" s="22" t="s">
        <v>627</v>
      </c>
      <c r="H427" s="8" t="s">
        <v>541</v>
      </c>
      <c r="I427" s="2" t="str">
        <f t="shared" si="13"/>
        <v>Bát ren D12 mạ</v>
      </c>
      <c r="J427" s="8" t="s">
        <v>15</v>
      </c>
      <c r="K427" s="10">
        <v>300</v>
      </c>
      <c r="L427" s="10">
        <v>13500</v>
      </c>
      <c r="M427" s="11">
        <v>4050000</v>
      </c>
      <c r="N427" s="8" t="s">
        <v>30</v>
      </c>
      <c r="O427" s="8" t="s">
        <v>17</v>
      </c>
      <c r="P427" s="8" t="s">
        <v>18</v>
      </c>
      <c r="Q427" s="8" t="s">
        <v>18</v>
      </c>
      <c r="R427" s="8" t="s">
        <v>2115</v>
      </c>
      <c r="S427" s="8" t="s">
        <v>2248</v>
      </c>
      <c r="T427" s="8" t="s">
        <v>2249</v>
      </c>
      <c r="U427" s="8" t="s">
        <v>2250</v>
      </c>
      <c r="V427" s="8" t="s">
        <v>540</v>
      </c>
      <c r="W427" s="8">
        <f>ROUNDUP(MONTH(V427)/3,0)</f>
        <v>4</v>
      </c>
      <c r="X427" s="8">
        <f>K427*L427*N427</f>
        <v>405000</v>
      </c>
    </row>
    <row r="428" spans="1:24" s="8" customFormat="1" ht="41.5" customHeight="1">
      <c r="A428" s="8" t="s">
        <v>2427</v>
      </c>
      <c r="B428" s="8" t="s">
        <v>2429</v>
      </c>
      <c r="C428" s="9">
        <v>45950.455761712998</v>
      </c>
      <c r="D428" s="8" t="s">
        <v>2056</v>
      </c>
      <c r="E428" s="8" t="s">
        <v>2057</v>
      </c>
      <c r="F428" s="8">
        <v>3</v>
      </c>
      <c r="G428" s="22" t="s">
        <v>300</v>
      </c>
      <c r="H428" s="8" t="s">
        <v>300</v>
      </c>
      <c r="I428" s="2" t="str">
        <f t="shared" si="13"/>
        <v>Côn sắt D16</v>
      </c>
      <c r="J428" s="8" t="s">
        <v>15</v>
      </c>
      <c r="K428" s="10">
        <v>1000</v>
      </c>
      <c r="L428" s="10">
        <v>17300</v>
      </c>
      <c r="M428" s="11">
        <v>17300000</v>
      </c>
      <c r="N428" s="8" t="s">
        <v>30</v>
      </c>
      <c r="O428" s="8" t="s">
        <v>17</v>
      </c>
      <c r="P428" s="8" t="s">
        <v>18</v>
      </c>
      <c r="Q428" s="8" t="s">
        <v>18</v>
      </c>
      <c r="R428" s="8" t="s">
        <v>2115</v>
      </c>
      <c r="S428" s="8" t="s">
        <v>2248</v>
      </c>
      <c r="T428" s="8" t="s">
        <v>2249</v>
      </c>
      <c r="U428" s="8" t="s">
        <v>2250</v>
      </c>
      <c r="V428" s="8" t="s">
        <v>540</v>
      </c>
      <c r="W428" s="8">
        <f>ROUNDUP(MONTH(V428)/3,0)</f>
        <v>4</v>
      </c>
      <c r="X428" s="8">
        <f>K428*L428*N428</f>
        <v>1730000</v>
      </c>
    </row>
    <row r="429" spans="1:24" s="8" customFormat="1" ht="41.5" customHeight="1">
      <c r="A429" s="8" t="s">
        <v>2427</v>
      </c>
      <c r="B429" s="8" t="s">
        <v>2430</v>
      </c>
      <c r="C429" s="9">
        <v>45940.486455949103</v>
      </c>
      <c r="D429" s="8" t="s">
        <v>2056</v>
      </c>
      <c r="E429" s="8" t="s">
        <v>2057</v>
      </c>
      <c r="F429" s="8">
        <v>1</v>
      </c>
      <c r="G429" s="22" t="s">
        <v>623</v>
      </c>
      <c r="H429" s="8" t="s">
        <v>301</v>
      </c>
      <c r="I429" s="2" t="str">
        <f t="shared" si="13"/>
        <v>Bao jumbo 90*90*120cm</v>
      </c>
      <c r="J429" s="8" t="s">
        <v>15</v>
      </c>
      <c r="K429" s="10">
        <v>150</v>
      </c>
      <c r="L429" s="10">
        <v>70000</v>
      </c>
      <c r="M429" s="11">
        <v>10500000</v>
      </c>
      <c r="N429" s="8" t="s">
        <v>16</v>
      </c>
      <c r="O429" s="8" t="s">
        <v>17</v>
      </c>
      <c r="P429" s="8" t="s">
        <v>18</v>
      </c>
      <c r="Q429" s="8" t="s">
        <v>18</v>
      </c>
      <c r="R429" s="8" t="s">
        <v>2115</v>
      </c>
      <c r="S429" s="8" t="s">
        <v>2248</v>
      </c>
      <c r="T429" s="8" t="s">
        <v>2249</v>
      </c>
      <c r="U429" s="8" t="s">
        <v>2250</v>
      </c>
      <c r="V429" s="8" t="s">
        <v>487</v>
      </c>
      <c r="W429" s="8">
        <f>ROUNDUP(MONTH(V429)/3,0)</f>
        <v>4</v>
      </c>
      <c r="X429" s="8">
        <f>K429*L429*N429</f>
        <v>840000</v>
      </c>
    </row>
    <row r="430" spans="1:24" s="8" customFormat="1" ht="41.5" customHeight="1">
      <c r="A430" s="8" t="s">
        <v>2427</v>
      </c>
      <c r="B430" s="8" t="s">
        <v>2430</v>
      </c>
      <c r="C430" s="9">
        <v>45940.486455949103</v>
      </c>
      <c r="D430" s="8" t="s">
        <v>2056</v>
      </c>
      <c r="E430" s="8" t="s">
        <v>2057</v>
      </c>
      <c r="F430" s="8">
        <v>2</v>
      </c>
      <c r="G430" s="22" t="s">
        <v>539</v>
      </c>
      <c r="H430" s="8" t="s">
        <v>539</v>
      </c>
      <c r="I430" s="2" t="str">
        <f t="shared" si="13"/>
        <v>Bạt nhựa PP</v>
      </c>
      <c r="J430" s="8" t="s">
        <v>127</v>
      </c>
      <c r="K430" s="10">
        <v>1</v>
      </c>
      <c r="L430" s="10">
        <v>400000</v>
      </c>
      <c r="M430" s="11">
        <v>400000</v>
      </c>
      <c r="N430" s="8" t="s">
        <v>16</v>
      </c>
      <c r="O430" s="8" t="s">
        <v>17</v>
      </c>
      <c r="P430" s="8" t="s">
        <v>18</v>
      </c>
      <c r="Q430" s="8" t="s">
        <v>18</v>
      </c>
      <c r="R430" s="8" t="s">
        <v>2115</v>
      </c>
      <c r="S430" s="8" t="s">
        <v>2248</v>
      </c>
      <c r="T430" s="8" t="s">
        <v>2249</v>
      </c>
      <c r="U430" s="8" t="s">
        <v>2250</v>
      </c>
      <c r="V430" s="8" t="s">
        <v>487</v>
      </c>
      <c r="W430" s="8">
        <f>ROUNDUP(MONTH(V430)/3,0)</f>
        <v>4</v>
      </c>
      <c r="X430" s="8">
        <f>K430*L430*N430</f>
        <v>32000</v>
      </c>
    </row>
    <row r="431" spans="1:24" s="8" customFormat="1" ht="41.5" customHeight="1">
      <c r="A431" s="8" t="s">
        <v>2427</v>
      </c>
      <c r="B431" s="8" t="s">
        <v>2431</v>
      </c>
      <c r="C431" s="9">
        <v>45940.486271944399</v>
      </c>
      <c r="D431" s="8" t="s">
        <v>2056</v>
      </c>
      <c r="E431" s="8" t="s">
        <v>2057</v>
      </c>
      <c r="F431" s="8">
        <v>1</v>
      </c>
      <c r="G431" s="22" t="s">
        <v>300</v>
      </c>
      <c r="H431" s="8" t="s">
        <v>300</v>
      </c>
      <c r="I431" s="2" t="str">
        <f t="shared" si="13"/>
        <v>Côn sắt D16</v>
      </c>
      <c r="J431" s="8" t="s">
        <v>15</v>
      </c>
      <c r="K431" s="10">
        <v>1000</v>
      </c>
      <c r="L431" s="10">
        <v>17300</v>
      </c>
      <c r="M431" s="11">
        <v>17300000</v>
      </c>
      <c r="N431" s="8" t="s">
        <v>30</v>
      </c>
      <c r="O431" s="8" t="s">
        <v>17</v>
      </c>
      <c r="P431" s="8" t="s">
        <v>18</v>
      </c>
      <c r="Q431" s="8" t="s">
        <v>18</v>
      </c>
      <c r="R431" s="8" t="s">
        <v>2115</v>
      </c>
      <c r="S431" s="8" t="s">
        <v>2248</v>
      </c>
      <c r="T431" s="8" t="s">
        <v>2249</v>
      </c>
      <c r="U431" s="8" t="s">
        <v>2250</v>
      </c>
      <c r="V431" s="8" t="s">
        <v>487</v>
      </c>
      <c r="W431" s="8">
        <f>ROUNDUP(MONTH(V431)/3,0)</f>
        <v>4</v>
      </c>
      <c r="X431" s="8">
        <f>K431*L431*N431</f>
        <v>1730000</v>
      </c>
    </row>
    <row r="432" spans="1:24" s="8" customFormat="1" ht="41.5" customHeight="1">
      <c r="A432" s="8" t="s">
        <v>2281</v>
      </c>
      <c r="B432" s="8" t="s">
        <v>2432</v>
      </c>
      <c r="C432" s="9">
        <v>45932.733493576401</v>
      </c>
      <c r="D432" s="8" t="s">
        <v>2056</v>
      </c>
      <c r="E432" s="8" t="s">
        <v>2057</v>
      </c>
      <c r="F432" s="8">
        <v>1</v>
      </c>
      <c r="G432" s="27" t="s">
        <v>2140</v>
      </c>
      <c r="H432" s="8" t="s">
        <v>110</v>
      </c>
      <c r="I432" s="2" t="str">
        <f t="shared" si="13"/>
        <v>Thép ống hộp</v>
      </c>
      <c r="J432" s="8" t="s">
        <v>62</v>
      </c>
      <c r="K432" s="10">
        <v>3822</v>
      </c>
      <c r="L432" s="10">
        <v>15364</v>
      </c>
      <c r="M432" s="11">
        <v>58721208</v>
      </c>
      <c r="N432" s="8" t="s">
        <v>30</v>
      </c>
      <c r="O432" s="8" t="s">
        <v>17</v>
      </c>
      <c r="P432" s="8" t="s">
        <v>18</v>
      </c>
      <c r="Q432" s="8" t="s">
        <v>18</v>
      </c>
      <c r="R432" s="8" t="s">
        <v>2155</v>
      </c>
      <c r="S432" s="8" t="s">
        <v>2433</v>
      </c>
      <c r="T432" s="8" t="s">
        <v>2434</v>
      </c>
      <c r="U432" s="8" t="s">
        <v>2435</v>
      </c>
      <c r="V432" s="8" t="s">
        <v>542</v>
      </c>
      <c r="W432" s="8">
        <f>ROUNDUP(MONTH(V432)/3,0)</f>
        <v>4</v>
      </c>
      <c r="X432" s="8">
        <f>K432*L432*N432</f>
        <v>5872120.8000000007</v>
      </c>
    </row>
    <row r="433" spans="1:24" s="8" customFormat="1" ht="41.5" customHeight="1">
      <c r="A433" s="8" t="s">
        <v>2281</v>
      </c>
      <c r="B433" s="8" t="s">
        <v>2432</v>
      </c>
      <c r="C433" s="9">
        <v>45932.733493576401</v>
      </c>
      <c r="D433" s="8" t="s">
        <v>2056</v>
      </c>
      <c r="E433" s="8" t="s">
        <v>2057</v>
      </c>
      <c r="F433" s="8">
        <v>2</v>
      </c>
      <c r="G433" s="27" t="s">
        <v>2140</v>
      </c>
      <c r="H433" s="8" t="s">
        <v>64</v>
      </c>
      <c r="I433" s="2" t="str">
        <f t="shared" si="13"/>
        <v>Thép ống hộp</v>
      </c>
      <c r="J433" s="8" t="s">
        <v>62</v>
      </c>
      <c r="K433" s="10">
        <v>2416</v>
      </c>
      <c r="L433" s="10">
        <v>15364</v>
      </c>
      <c r="M433" s="11">
        <v>37119424</v>
      </c>
      <c r="N433" s="8" t="s">
        <v>30</v>
      </c>
      <c r="O433" s="8" t="s">
        <v>17</v>
      </c>
      <c r="P433" s="8" t="s">
        <v>18</v>
      </c>
      <c r="Q433" s="8" t="s">
        <v>18</v>
      </c>
      <c r="R433" s="8" t="s">
        <v>2155</v>
      </c>
      <c r="S433" s="8" t="s">
        <v>2433</v>
      </c>
      <c r="T433" s="8" t="s">
        <v>2434</v>
      </c>
      <c r="U433" s="8" t="s">
        <v>2435</v>
      </c>
      <c r="V433" s="8" t="s">
        <v>542</v>
      </c>
      <c r="W433" s="8">
        <f>ROUNDUP(MONTH(V433)/3,0)</f>
        <v>4</v>
      </c>
      <c r="X433" s="8">
        <f>K433*L433*N433</f>
        <v>3711942.4000000004</v>
      </c>
    </row>
    <row r="434" spans="1:24" s="8" customFormat="1" ht="41.5" customHeight="1">
      <c r="A434" s="8" t="s">
        <v>2336</v>
      </c>
      <c r="B434" s="8" t="s">
        <v>2436</v>
      </c>
      <c r="C434" s="9">
        <v>45979.502256238397</v>
      </c>
      <c r="D434" s="8" t="s">
        <v>2062</v>
      </c>
      <c r="E434" s="8" t="s">
        <v>2057</v>
      </c>
      <c r="F434" s="8">
        <v>1</v>
      </c>
      <c r="G434" s="2">
        <v>635</v>
      </c>
      <c r="H434" s="8" t="s">
        <v>543</v>
      </c>
      <c r="I434" s="2">
        <f t="shared" si="13"/>
        <v>635</v>
      </c>
      <c r="M434" s="11">
        <v>2800</v>
      </c>
      <c r="N434" s="8" t="s">
        <v>30</v>
      </c>
      <c r="O434" s="8" t="s">
        <v>17</v>
      </c>
      <c r="P434" s="8" t="s">
        <v>18</v>
      </c>
      <c r="Q434" s="8" t="s">
        <v>18</v>
      </c>
      <c r="S434" s="8" t="s">
        <v>2216</v>
      </c>
      <c r="T434" s="8" t="s">
        <v>2217</v>
      </c>
      <c r="V434" s="8" t="s">
        <v>402</v>
      </c>
      <c r="W434" s="8">
        <f>ROUNDUP(MONTH(V434)/3,0)</f>
        <v>4</v>
      </c>
      <c r="X434" s="8">
        <f>K434*L434*N434</f>
        <v>0</v>
      </c>
    </row>
    <row r="435" spans="1:24" s="8" customFormat="1" ht="41.5" customHeight="1">
      <c r="A435" s="8" t="s">
        <v>2336</v>
      </c>
      <c r="B435" s="8" t="s">
        <v>2437</v>
      </c>
      <c r="C435" s="9">
        <v>45979.5022562269</v>
      </c>
      <c r="D435" s="8" t="s">
        <v>2062</v>
      </c>
      <c r="E435" s="8" t="s">
        <v>2057</v>
      </c>
      <c r="F435" s="8">
        <v>1</v>
      </c>
      <c r="G435" s="2">
        <v>635</v>
      </c>
      <c r="H435" s="8" t="s">
        <v>143</v>
      </c>
      <c r="I435" s="2">
        <f t="shared" si="13"/>
        <v>635</v>
      </c>
      <c r="M435" s="11">
        <v>20443</v>
      </c>
      <c r="N435" s="8" t="s">
        <v>30</v>
      </c>
      <c r="O435" s="8" t="s">
        <v>17</v>
      </c>
      <c r="P435" s="8" t="s">
        <v>18</v>
      </c>
      <c r="Q435" s="8" t="s">
        <v>18</v>
      </c>
      <c r="S435" s="8" t="s">
        <v>2216</v>
      </c>
      <c r="T435" s="8" t="s">
        <v>2217</v>
      </c>
      <c r="V435" s="8" t="s">
        <v>402</v>
      </c>
      <c r="W435" s="8">
        <f>ROUNDUP(MONTH(V435)/3,0)</f>
        <v>4</v>
      </c>
      <c r="X435" s="8">
        <f>K435*L435*N435</f>
        <v>0</v>
      </c>
    </row>
    <row r="436" spans="1:24" s="8" customFormat="1" ht="41.5" customHeight="1">
      <c r="A436" s="8" t="s">
        <v>2336</v>
      </c>
      <c r="B436" s="8" t="s">
        <v>2438</v>
      </c>
      <c r="C436" s="9">
        <v>45979.502204907403</v>
      </c>
      <c r="D436" s="8" t="s">
        <v>2062</v>
      </c>
      <c r="E436" s="8" t="s">
        <v>2057</v>
      </c>
      <c r="F436" s="8">
        <v>1</v>
      </c>
      <c r="G436" s="2">
        <v>635</v>
      </c>
      <c r="H436" s="8" t="s">
        <v>116</v>
      </c>
      <c r="I436" s="2">
        <f t="shared" si="13"/>
        <v>635</v>
      </c>
      <c r="M436" s="11">
        <v>20000</v>
      </c>
      <c r="N436" s="8" t="s">
        <v>30</v>
      </c>
      <c r="O436" s="8" t="s">
        <v>17</v>
      </c>
      <c r="P436" s="8" t="s">
        <v>18</v>
      </c>
      <c r="Q436" s="8" t="s">
        <v>18</v>
      </c>
      <c r="S436" s="8" t="s">
        <v>2216</v>
      </c>
      <c r="T436" s="8" t="s">
        <v>2217</v>
      </c>
      <c r="V436" s="8" t="s">
        <v>402</v>
      </c>
      <c r="W436" s="8">
        <f>ROUNDUP(MONTH(V436)/3,0)</f>
        <v>4</v>
      </c>
      <c r="X436" s="8">
        <f>K436*L436*N436</f>
        <v>0</v>
      </c>
    </row>
    <row r="437" spans="1:24" s="8" customFormat="1" ht="41.5" customHeight="1">
      <c r="A437" s="8" t="s">
        <v>2336</v>
      </c>
      <c r="B437" s="8" t="s">
        <v>2439</v>
      </c>
      <c r="C437" s="9">
        <v>45979.501451319396</v>
      </c>
      <c r="D437" s="8" t="s">
        <v>2062</v>
      </c>
      <c r="E437" s="8" t="s">
        <v>2057</v>
      </c>
      <c r="F437" s="8">
        <v>1</v>
      </c>
      <c r="G437" s="2">
        <v>635</v>
      </c>
      <c r="H437" s="8" t="s">
        <v>143</v>
      </c>
      <c r="I437" s="2">
        <f t="shared" si="13"/>
        <v>635</v>
      </c>
      <c r="M437" s="11">
        <v>20000</v>
      </c>
      <c r="N437" s="8" t="s">
        <v>30</v>
      </c>
      <c r="O437" s="8" t="s">
        <v>17</v>
      </c>
      <c r="P437" s="8" t="s">
        <v>18</v>
      </c>
      <c r="Q437" s="8" t="s">
        <v>18</v>
      </c>
      <c r="S437" s="8" t="s">
        <v>2216</v>
      </c>
      <c r="T437" s="8" t="s">
        <v>2217</v>
      </c>
      <c r="V437" s="8" t="s">
        <v>402</v>
      </c>
      <c r="W437" s="8">
        <f>ROUNDUP(MONTH(V437)/3,0)</f>
        <v>4</v>
      </c>
      <c r="X437" s="8">
        <f>K437*L437*N437</f>
        <v>0</v>
      </c>
    </row>
    <row r="438" spans="1:24" s="8" customFormat="1" ht="41.5" customHeight="1">
      <c r="A438" s="8" t="s">
        <v>2336</v>
      </c>
      <c r="B438" s="8" t="s">
        <v>2440</v>
      </c>
      <c r="C438" s="9">
        <v>45979.5014513079</v>
      </c>
      <c r="D438" s="8" t="s">
        <v>2062</v>
      </c>
      <c r="E438" s="8" t="s">
        <v>2057</v>
      </c>
      <c r="F438" s="8">
        <v>1</v>
      </c>
      <c r="G438" s="2">
        <v>635</v>
      </c>
      <c r="H438" s="8" t="s">
        <v>143</v>
      </c>
      <c r="I438" s="2">
        <f t="shared" si="13"/>
        <v>635</v>
      </c>
      <c r="M438" s="11">
        <v>20000</v>
      </c>
      <c r="N438" s="8" t="s">
        <v>30</v>
      </c>
      <c r="O438" s="8" t="s">
        <v>17</v>
      </c>
      <c r="P438" s="8" t="s">
        <v>18</v>
      </c>
      <c r="Q438" s="8" t="s">
        <v>18</v>
      </c>
      <c r="S438" s="8" t="s">
        <v>2216</v>
      </c>
      <c r="T438" s="8" t="s">
        <v>2217</v>
      </c>
      <c r="V438" s="8" t="s">
        <v>402</v>
      </c>
      <c r="W438" s="8">
        <f>ROUNDUP(MONTH(V438)/3,0)</f>
        <v>4</v>
      </c>
      <c r="X438" s="8">
        <f>K438*L438*N438</f>
        <v>0</v>
      </c>
    </row>
    <row r="439" spans="1:24" s="8" customFormat="1" ht="41.5" customHeight="1">
      <c r="A439" s="8" t="s">
        <v>2336</v>
      </c>
      <c r="B439" s="8" t="s">
        <v>2441</v>
      </c>
      <c r="C439" s="9">
        <v>45979.501390486097</v>
      </c>
      <c r="D439" s="8" t="s">
        <v>2062</v>
      </c>
      <c r="E439" s="8" t="s">
        <v>2057</v>
      </c>
      <c r="F439" s="8">
        <v>1</v>
      </c>
      <c r="G439" s="2">
        <v>635</v>
      </c>
      <c r="H439" s="8" t="s">
        <v>117</v>
      </c>
      <c r="I439" s="2">
        <f t="shared" si="13"/>
        <v>635</v>
      </c>
      <c r="M439" s="11">
        <v>50000</v>
      </c>
      <c r="N439" s="8" t="s">
        <v>30</v>
      </c>
      <c r="O439" s="8" t="s">
        <v>17</v>
      </c>
      <c r="P439" s="8" t="s">
        <v>18</v>
      </c>
      <c r="Q439" s="8" t="s">
        <v>18</v>
      </c>
      <c r="S439" s="8" t="s">
        <v>2216</v>
      </c>
      <c r="T439" s="8" t="s">
        <v>2217</v>
      </c>
      <c r="V439" s="8" t="s">
        <v>402</v>
      </c>
      <c r="W439" s="8">
        <f>ROUNDUP(MONTH(V439)/3,0)</f>
        <v>4</v>
      </c>
      <c r="X439" s="8">
        <f>K439*L439*N439</f>
        <v>0</v>
      </c>
    </row>
    <row r="440" spans="1:24" s="8" customFormat="1" ht="41.5" customHeight="1">
      <c r="A440" s="8" t="s">
        <v>2339</v>
      </c>
      <c r="B440" s="8" t="s">
        <v>2442</v>
      </c>
      <c r="C440" s="9">
        <v>45977.388384236103</v>
      </c>
      <c r="D440" s="8" t="s">
        <v>2218</v>
      </c>
      <c r="E440" s="8" t="s">
        <v>2057</v>
      </c>
      <c r="F440" s="8">
        <v>1</v>
      </c>
      <c r="G440" s="2">
        <v>635</v>
      </c>
      <c r="H440" s="8" t="s">
        <v>118</v>
      </c>
      <c r="I440" s="2">
        <f t="shared" si="13"/>
        <v>635</v>
      </c>
      <c r="M440" s="11">
        <v>50000</v>
      </c>
      <c r="N440" s="8" t="s">
        <v>30</v>
      </c>
      <c r="O440" s="8" t="s">
        <v>17</v>
      </c>
      <c r="P440" s="8" t="s">
        <v>18</v>
      </c>
      <c r="Q440" s="8" t="s">
        <v>18</v>
      </c>
      <c r="S440" s="8" t="s">
        <v>2340</v>
      </c>
      <c r="T440" s="8" t="s">
        <v>2341</v>
      </c>
      <c r="V440" s="8" t="s">
        <v>544</v>
      </c>
      <c r="W440" s="8">
        <f>ROUNDUP(MONTH(V440)/3,0)</f>
        <v>4</v>
      </c>
      <c r="X440" s="8">
        <f>K440*L440*N440</f>
        <v>0</v>
      </c>
    </row>
    <row r="441" spans="1:24" s="8" customFormat="1" ht="41.5" customHeight="1">
      <c r="A441" s="8" t="s">
        <v>2339</v>
      </c>
      <c r="B441" s="8" t="s">
        <v>2443</v>
      </c>
      <c r="C441" s="9">
        <v>45977.3119966667</v>
      </c>
      <c r="D441" s="8" t="s">
        <v>2218</v>
      </c>
      <c r="E441" s="8" t="s">
        <v>2057</v>
      </c>
      <c r="F441" s="8">
        <v>1</v>
      </c>
      <c r="G441" s="2">
        <v>635</v>
      </c>
      <c r="H441" s="8" t="s">
        <v>118</v>
      </c>
      <c r="I441" s="2">
        <f t="shared" si="13"/>
        <v>635</v>
      </c>
      <c r="M441" s="11">
        <v>20000</v>
      </c>
      <c r="N441" s="8" t="s">
        <v>30</v>
      </c>
      <c r="O441" s="8" t="s">
        <v>17</v>
      </c>
      <c r="P441" s="8" t="s">
        <v>18</v>
      </c>
      <c r="Q441" s="8" t="s">
        <v>18</v>
      </c>
      <c r="S441" s="8" t="s">
        <v>2219</v>
      </c>
      <c r="T441" s="8" t="s">
        <v>2220</v>
      </c>
      <c r="V441" s="8" t="s">
        <v>544</v>
      </c>
      <c r="W441" s="8">
        <f>ROUNDUP(MONTH(V441)/3,0)</f>
        <v>4</v>
      </c>
      <c r="X441" s="8">
        <f>K441*L441*N441</f>
        <v>0</v>
      </c>
    </row>
    <row r="442" spans="1:24" s="8" customFormat="1" ht="41.5" customHeight="1">
      <c r="A442" s="8" t="s">
        <v>2339</v>
      </c>
      <c r="B442" s="8" t="s">
        <v>2444</v>
      </c>
      <c r="C442" s="9">
        <v>45977.304369953701</v>
      </c>
      <c r="D442" s="8" t="s">
        <v>2218</v>
      </c>
      <c r="E442" s="8" t="s">
        <v>2057</v>
      </c>
      <c r="F442" s="8">
        <v>1</v>
      </c>
      <c r="G442" s="2">
        <v>635</v>
      </c>
      <c r="H442" s="8" t="s">
        <v>118</v>
      </c>
      <c r="I442" s="2">
        <f t="shared" si="13"/>
        <v>635</v>
      </c>
      <c r="M442" s="11">
        <v>20000</v>
      </c>
      <c r="N442" s="8" t="s">
        <v>30</v>
      </c>
      <c r="O442" s="8" t="s">
        <v>17</v>
      </c>
      <c r="P442" s="8" t="s">
        <v>18</v>
      </c>
      <c r="Q442" s="8" t="s">
        <v>18</v>
      </c>
      <c r="S442" s="8" t="s">
        <v>2219</v>
      </c>
      <c r="T442" s="8" t="s">
        <v>2220</v>
      </c>
      <c r="V442" s="8" t="s">
        <v>544</v>
      </c>
      <c r="W442" s="8">
        <f>ROUNDUP(MONTH(V442)/3,0)</f>
        <v>4</v>
      </c>
      <c r="X442" s="8">
        <f>K442*L442*N442</f>
        <v>0</v>
      </c>
    </row>
    <row r="443" spans="1:24" s="8" customFormat="1" ht="41.5" customHeight="1">
      <c r="A443" s="8" t="s">
        <v>2339</v>
      </c>
      <c r="B443" s="8" t="s">
        <v>2445</v>
      </c>
      <c r="C443" s="9">
        <v>45977.296185034698</v>
      </c>
      <c r="D443" s="8" t="s">
        <v>2218</v>
      </c>
      <c r="E443" s="8" t="s">
        <v>2057</v>
      </c>
      <c r="F443" s="8">
        <v>1</v>
      </c>
      <c r="G443" s="2">
        <v>635</v>
      </c>
      <c r="H443" s="8" t="s">
        <v>118</v>
      </c>
      <c r="I443" s="2">
        <f t="shared" si="13"/>
        <v>635</v>
      </c>
      <c r="M443" s="11">
        <v>20000</v>
      </c>
      <c r="N443" s="8" t="s">
        <v>30</v>
      </c>
      <c r="O443" s="8" t="s">
        <v>17</v>
      </c>
      <c r="P443" s="8" t="s">
        <v>18</v>
      </c>
      <c r="Q443" s="8" t="s">
        <v>18</v>
      </c>
      <c r="S443" s="8" t="s">
        <v>2219</v>
      </c>
      <c r="T443" s="8" t="s">
        <v>2220</v>
      </c>
      <c r="V443" s="8" t="s">
        <v>544</v>
      </c>
      <c r="W443" s="8">
        <f>ROUNDUP(MONTH(V443)/3,0)</f>
        <v>4</v>
      </c>
      <c r="X443" s="8">
        <f>K443*L443*N443</f>
        <v>0</v>
      </c>
    </row>
    <row r="444" spans="1:24" s="8" customFormat="1" ht="41.5" customHeight="1">
      <c r="A444" s="8" t="s">
        <v>2339</v>
      </c>
      <c r="B444" s="8" t="s">
        <v>2446</v>
      </c>
      <c r="C444" s="9">
        <v>45977.289592083303</v>
      </c>
      <c r="D444" s="8" t="s">
        <v>2218</v>
      </c>
      <c r="E444" s="8" t="s">
        <v>2057</v>
      </c>
      <c r="F444" s="8">
        <v>1</v>
      </c>
      <c r="G444" s="2">
        <v>635</v>
      </c>
      <c r="H444" s="8" t="s">
        <v>118</v>
      </c>
      <c r="I444" s="2">
        <f t="shared" si="13"/>
        <v>635</v>
      </c>
      <c r="M444" s="11">
        <v>20000</v>
      </c>
      <c r="N444" s="8" t="s">
        <v>30</v>
      </c>
      <c r="O444" s="8" t="s">
        <v>17</v>
      </c>
      <c r="P444" s="8" t="s">
        <v>18</v>
      </c>
      <c r="Q444" s="8" t="s">
        <v>18</v>
      </c>
      <c r="S444" s="8" t="s">
        <v>2219</v>
      </c>
      <c r="T444" s="8" t="s">
        <v>2220</v>
      </c>
      <c r="V444" s="8" t="s">
        <v>544</v>
      </c>
      <c r="W444" s="8">
        <f>ROUNDUP(MONTH(V444)/3,0)</f>
        <v>4</v>
      </c>
      <c r="X444" s="8">
        <f>K444*L444*N444</f>
        <v>0</v>
      </c>
    </row>
    <row r="445" spans="1:24" s="8" customFormat="1" ht="41.5" customHeight="1">
      <c r="A445" s="8" t="s">
        <v>2339</v>
      </c>
      <c r="B445" s="8" t="s">
        <v>2447</v>
      </c>
      <c r="C445" s="9">
        <v>45977.289531388902</v>
      </c>
      <c r="D445" s="8" t="s">
        <v>2218</v>
      </c>
      <c r="E445" s="8" t="s">
        <v>2057</v>
      </c>
      <c r="F445" s="8">
        <v>1</v>
      </c>
      <c r="G445" s="2">
        <v>635</v>
      </c>
      <c r="H445" s="8" t="s">
        <v>118</v>
      </c>
      <c r="I445" s="2">
        <f t="shared" si="13"/>
        <v>635</v>
      </c>
      <c r="M445" s="11">
        <v>27600</v>
      </c>
      <c r="N445" s="8" t="s">
        <v>30</v>
      </c>
      <c r="O445" s="8" t="s">
        <v>17</v>
      </c>
      <c r="P445" s="8" t="s">
        <v>18</v>
      </c>
      <c r="Q445" s="8" t="s">
        <v>18</v>
      </c>
      <c r="S445" s="8" t="s">
        <v>2219</v>
      </c>
      <c r="T445" s="8" t="s">
        <v>2220</v>
      </c>
      <c r="V445" s="8" t="s">
        <v>544</v>
      </c>
      <c r="W445" s="8">
        <f>ROUNDUP(MONTH(V445)/3,0)</f>
        <v>4</v>
      </c>
      <c r="X445" s="8">
        <f>K445*L445*N445</f>
        <v>0</v>
      </c>
    </row>
    <row r="446" spans="1:24" s="8" customFormat="1" ht="41.5" customHeight="1">
      <c r="A446" s="8" t="s">
        <v>2339</v>
      </c>
      <c r="B446" s="8" t="s">
        <v>2448</v>
      </c>
      <c r="C446" s="9">
        <v>45977.286747928199</v>
      </c>
      <c r="D446" s="8" t="s">
        <v>2218</v>
      </c>
      <c r="E446" s="8" t="s">
        <v>2057</v>
      </c>
      <c r="F446" s="8">
        <v>1</v>
      </c>
      <c r="G446" s="2">
        <v>635</v>
      </c>
      <c r="H446" s="8" t="s">
        <v>118</v>
      </c>
      <c r="I446" s="2">
        <f t="shared" si="13"/>
        <v>635</v>
      </c>
      <c r="M446" s="11">
        <v>20000</v>
      </c>
      <c r="N446" s="8" t="s">
        <v>30</v>
      </c>
      <c r="O446" s="8" t="s">
        <v>17</v>
      </c>
      <c r="P446" s="8" t="s">
        <v>18</v>
      </c>
      <c r="Q446" s="8" t="s">
        <v>18</v>
      </c>
      <c r="S446" s="8" t="s">
        <v>2219</v>
      </c>
      <c r="T446" s="8" t="s">
        <v>2220</v>
      </c>
      <c r="V446" s="8" t="s">
        <v>544</v>
      </c>
      <c r="W446" s="8">
        <f>ROUNDUP(MONTH(V446)/3,0)</f>
        <v>4</v>
      </c>
      <c r="X446" s="8">
        <f>K446*L446*N446</f>
        <v>0</v>
      </c>
    </row>
    <row r="447" spans="1:24" s="8" customFormat="1" ht="41.5" customHeight="1">
      <c r="A447" s="8" t="s">
        <v>2339</v>
      </c>
      <c r="B447" s="8" t="s">
        <v>2449</v>
      </c>
      <c r="C447" s="9">
        <v>45977.284986319399</v>
      </c>
      <c r="D447" s="8" t="s">
        <v>2218</v>
      </c>
      <c r="E447" s="8" t="s">
        <v>2057</v>
      </c>
      <c r="F447" s="8">
        <v>1</v>
      </c>
      <c r="G447" s="2">
        <v>635</v>
      </c>
      <c r="H447" s="8" t="s">
        <v>118</v>
      </c>
      <c r="I447" s="2">
        <f t="shared" si="13"/>
        <v>635</v>
      </c>
      <c r="M447" s="11">
        <v>20000</v>
      </c>
      <c r="N447" s="8" t="s">
        <v>30</v>
      </c>
      <c r="O447" s="8" t="s">
        <v>17</v>
      </c>
      <c r="P447" s="8" t="s">
        <v>18</v>
      </c>
      <c r="Q447" s="8" t="s">
        <v>18</v>
      </c>
      <c r="S447" s="8" t="s">
        <v>2219</v>
      </c>
      <c r="T447" s="8" t="s">
        <v>2220</v>
      </c>
      <c r="V447" s="8" t="s">
        <v>544</v>
      </c>
      <c r="W447" s="8">
        <f>ROUNDUP(MONTH(V447)/3,0)</f>
        <v>4</v>
      </c>
      <c r="X447" s="8">
        <f>K447*L447*N447</f>
        <v>0</v>
      </c>
    </row>
    <row r="448" spans="1:24" s="8" customFormat="1" ht="41.5" customHeight="1">
      <c r="A448" s="8" t="s">
        <v>2339</v>
      </c>
      <c r="B448" s="8" t="s">
        <v>2450</v>
      </c>
      <c r="C448" s="9">
        <v>45977.283603310199</v>
      </c>
      <c r="D448" s="8" t="s">
        <v>2218</v>
      </c>
      <c r="E448" s="8" t="s">
        <v>2057</v>
      </c>
      <c r="F448" s="8">
        <v>1</v>
      </c>
      <c r="G448" s="2">
        <v>635</v>
      </c>
      <c r="H448" s="8" t="s">
        <v>118</v>
      </c>
      <c r="I448" s="2">
        <f t="shared" si="13"/>
        <v>635</v>
      </c>
      <c r="M448" s="11">
        <v>20000</v>
      </c>
      <c r="N448" s="8" t="s">
        <v>30</v>
      </c>
      <c r="O448" s="8" t="s">
        <v>17</v>
      </c>
      <c r="P448" s="8" t="s">
        <v>18</v>
      </c>
      <c r="Q448" s="8" t="s">
        <v>18</v>
      </c>
      <c r="S448" s="8" t="s">
        <v>2219</v>
      </c>
      <c r="T448" s="8" t="s">
        <v>2220</v>
      </c>
      <c r="V448" s="8" t="s">
        <v>544</v>
      </c>
      <c r="W448" s="8">
        <f>ROUNDUP(MONTH(V448)/3,0)</f>
        <v>4</v>
      </c>
      <c r="X448" s="8">
        <f>K448*L448*N448</f>
        <v>0</v>
      </c>
    </row>
    <row r="449" spans="1:24" s="8" customFormat="1" ht="41.5" customHeight="1">
      <c r="A449" s="8" t="s">
        <v>2339</v>
      </c>
      <c r="B449" s="8" t="s">
        <v>2451</v>
      </c>
      <c r="C449" s="9">
        <v>45977.281724629604</v>
      </c>
      <c r="D449" s="8" t="s">
        <v>2218</v>
      </c>
      <c r="E449" s="8" t="s">
        <v>2057</v>
      </c>
      <c r="F449" s="8">
        <v>1</v>
      </c>
      <c r="G449" s="2">
        <v>635</v>
      </c>
      <c r="H449" s="8" t="s">
        <v>118</v>
      </c>
      <c r="I449" s="2">
        <f t="shared" si="13"/>
        <v>635</v>
      </c>
      <c r="M449" s="11">
        <v>20000</v>
      </c>
      <c r="N449" s="8" t="s">
        <v>30</v>
      </c>
      <c r="O449" s="8" t="s">
        <v>17</v>
      </c>
      <c r="P449" s="8" t="s">
        <v>18</v>
      </c>
      <c r="Q449" s="8" t="s">
        <v>18</v>
      </c>
      <c r="S449" s="8" t="s">
        <v>2219</v>
      </c>
      <c r="T449" s="8" t="s">
        <v>2220</v>
      </c>
      <c r="V449" s="8" t="s">
        <v>544</v>
      </c>
      <c r="W449" s="8">
        <f>ROUNDUP(MONTH(V449)/3,0)</f>
        <v>4</v>
      </c>
      <c r="X449" s="8">
        <f>K449*L449*N449</f>
        <v>0</v>
      </c>
    </row>
    <row r="450" spans="1:24" s="8" customFormat="1" ht="41.5" customHeight="1">
      <c r="A450" s="8" t="s">
        <v>2339</v>
      </c>
      <c r="B450" s="8" t="s">
        <v>2452</v>
      </c>
      <c r="C450" s="9">
        <v>45977.280668657397</v>
      </c>
      <c r="D450" s="8" t="s">
        <v>2218</v>
      </c>
      <c r="E450" s="8" t="s">
        <v>2057</v>
      </c>
      <c r="F450" s="8">
        <v>1</v>
      </c>
      <c r="G450" s="2">
        <v>635</v>
      </c>
      <c r="H450" s="8" t="s">
        <v>118</v>
      </c>
      <c r="I450" s="2">
        <f t="shared" ref="I450:I513" si="14">G450</f>
        <v>635</v>
      </c>
      <c r="M450" s="11">
        <v>20000</v>
      </c>
      <c r="N450" s="8" t="s">
        <v>30</v>
      </c>
      <c r="O450" s="8" t="s">
        <v>17</v>
      </c>
      <c r="P450" s="8" t="s">
        <v>18</v>
      </c>
      <c r="Q450" s="8" t="s">
        <v>18</v>
      </c>
      <c r="S450" s="8" t="s">
        <v>2219</v>
      </c>
      <c r="T450" s="8" t="s">
        <v>2220</v>
      </c>
      <c r="V450" s="8" t="s">
        <v>544</v>
      </c>
      <c r="W450" s="8">
        <f>ROUNDUP(MONTH(V450)/3,0)</f>
        <v>4</v>
      </c>
      <c r="X450" s="8">
        <f>K450*L450*N450</f>
        <v>0</v>
      </c>
    </row>
    <row r="451" spans="1:24" s="8" customFormat="1" ht="41.5" customHeight="1">
      <c r="A451" s="8" t="s">
        <v>2339</v>
      </c>
      <c r="B451" s="8" t="s">
        <v>2453</v>
      </c>
      <c r="C451" s="9">
        <v>45977.278818159699</v>
      </c>
      <c r="D451" s="8" t="s">
        <v>2218</v>
      </c>
      <c r="E451" s="8" t="s">
        <v>2057</v>
      </c>
      <c r="F451" s="8">
        <v>1</v>
      </c>
      <c r="G451" s="2">
        <v>635</v>
      </c>
      <c r="H451" s="8" t="s">
        <v>118</v>
      </c>
      <c r="I451" s="2">
        <f t="shared" si="14"/>
        <v>635</v>
      </c>
      <c r="M451" s="11">
        <v>20000</v>
      </c>
      <c r="N451" s="8" t="s">
        <v>30</v>
      </c>
      <c r="O451" s="8" t="s">
        <v>17</v>
      </c>
      <c r="P451" s="8" t="s">
        <v>18</v>
      </c>
      <c r="Q451" s="8" t="s">
        <v>18</v>
      </c>
      <c r="S451" s="8" t="s">
        <v>2219</v>
      </c>
      <c r="T451" s="8" t="s">
        <v>2220</v>
      </c>
      <c r="V451" s="8" t="s">
        <v>544</v>
      </c>
      <c r="W451" s="8">
        <f>ROUNDUP(MONTH(V451)/3,0)</f>
        <v>4</v>
      </c>
      <c r="X451" s="8">
        <f>K451*L451*N451</f>
        <v>0</v>
      </c>
    </row>
    <row r="452" spans="1:24" s="8" customFormat="1" ht="41.5" customHeight="1">
      <c r="A452" s="8" t="s">
        <v>2339</v>
      </c>
      <c r="B452" s="8" t="s">
        <v>2454</v>
      </c>
      <c r="C452" s="9">
        <v>45977.264671041703</v>
      </c>
      <c r="D452" s="8" t="s">
        <v>2218</v>
      </c>
      <c r="E452" s="8" t="s">
        <v>2057</v>
      </c>
      <c r="F452" s="8">
        <v>1</v>
      </c>
      <c r="G452" s="2">
        <v>635</v>
      </c>
      <c r="H452" s="8" t="s">
        <v>118</v>
      </c>
      <c r="I452" s="2">
        <f t="shared" si="14"/>
        <v>635</v>
      </c>
      <c r="M452" s="11">
        <v>40000</v>
      </c>
      <c r="N452" s="8" t="s">
        <v>30</v>
      </c>
      <c r="O452" s="8" t="s">
        <v>17</v>
      </c>
      <c r="P452" s="8" t="s">
        <v>18</v>
      </c>
      <c r="Q452" s="8" t="s">
        <v>18</v>
      </c>
      <c r="S452" s="8" t="s">
        <v>2219</v>
      </c>
      <c r="T452" s="8" t="s">
        <v>2220</v>
      </c>
      <c r="V452" s="8" t="s">
        <v>544</v>
      </c>
      <c r="W452" s="8">
        <f>ROUNDUP(MONTH(V452)/3,0)</f>
        <v>4</v>
      </c>
      <c r="X452" s="8">
        <f>K452*L452*N452</f>
        <v>0</v>
      </c>
    </row>
    <row r="453" spans="1:24" s="8" customFormat="1" ht="41.5" customHeight="1">
      <c r="A453" s="8" t="s">
        <v>2339</v>
      </c>
      <c r="B453" s="8" t="s">
        <v>2455</v>
      </c>
      <c r="C453" s="9">
        <v>45977.264670960598</v>
      </c>
      <c r="D453" s="8" t="s">
        <v>2218</v>
      </c>
      <c r="E453" s="8" t="s">
        <v>2057</v>
      </c>
      <c r="F453" s="8">
        <v>1</v>
      </c>
      <c r="G453" s="2">
        <v>635</v>
      </c>
      <c r="H453" s="8" t="s">
        <v>118</v>
      </c>
      <c r="I453" s="2">
        <f t="shared" si="14"/>
        <v>635</v>
      </c>
      <c r="M453" s="11">
        <v>73600</v>
      </c>
      <c r="N453" s="8" t="s">
        <v>30</v>
      </c>
      <c r="O453" s="8" t="s">
        <v>17</v>
      </c>
      <c r="P453" s="8" t="s">
        <v>18</v>
      </c>
      <c r="Q453" s="8" t="s">
        <v>18</v>
      </c>
      <c r="S453" s="8" t="s">
        <v>2219</v>
      </c>
      <c r="T453" s="8" t="s">
        <v>2220</v>
      </c>
      <c r="V453" s="8" t="s">
        <v>544</v>
      </c>
      <c r="W453" s="8">
        <f>ROUNDUP(MONTH(V453)/3,0)</f>
        <v>4</v>
      </c>
      <c r="X453" s="8">
        <f>K453*L453*N453</f>
        <v>0</v>
      </c>
    </row>
    <row r="454" spans="1:24" s="8" customFormat="1" ht="41.5" customHeight="1">
      <c r="A454" s="8" t="s">
        <v>2339</v>
      </c>
      <c r="B454" s="8" t="s">
        <v>2456</v>
      </c>
      <c r="C454" s="9">
        <v>45977.264670844903</v>
      </c>
      <c r="D454" s="8" t="s">
        <v>2218</v>
      </c>
      <c r="E454" s="8" t="s">
        <v>2057</v>
      </c>
      <c r="F454" s="8">
        <v>1</v>
      </c>
      <c r="G454" s="2">
        <v>635</v>
      </c>
      <c r="H454" s="8" t="s">
        <v>118</v>
      </c>
      <c r="I454" s="2">
        <f t="shared" si="14"/>
        <v>635</v>
      </c>
      <c r="M454" s="11">
        <v>20000</v>
      </c>
      <c r="N454" s="8" t="s">
        <v>30</v>
      </c>
      <c r="O454" s="8" t="s">
        <v>17</v>
      </c>
      <c r="P454" s="8" t="s">
        <v>18</v>
      </c>
      <c r="Q454" s="8" t="s">
        <v>18</v>
      </c>
      <c r="S454" s="8" t="s">
        <v>2219</v>
      </c>
      <c r="T454" s="8" t="s">
        <v>2220</v>
      </c>
      <c r="V454" s="8" t="s">
        <v>544</v>
      </c>
      <c r="W454" s="8">
        <f>ROUNDUP(MONTH(V454)/3,0)</f>
        <v>4</v>
      </c>
      <c r="X454" s="8">
        <f>K454*L454*N454</f>
        <v>0</v>
      </c>
    </row>
    <row r="455" spans="1:24" s="8" customFormat="1" ht="41.5" customHeight="1">
      <c r="A455" s="8" t="s">
        <v>2339</v>
      </c>
      <c r="B455" s="8" t="s">
        <v>2457</v>
      </c>
      <c r="C455" s="9">
        <v>45977.264609699101</v>
      </c>
      <c r="D455" s="8" t="s">
        <v>2218</v>
      </c>
      <c r="E455" s="8" t="s">
        <v>2057</v>
      </c>
      <c r="F455" s="8">
        <v>1</v>
      </c>
      <c r="G455" s="2">
        <v>635</v>
      </c>
      <c r="H455" s="8" t="s">
        <v>118</v>
      </c>
      <c r="I455" s="2">
        <f t="shared" si="14"/>
        <v>635</v>
      </c>
      <c r="M455" s="11">
        <v>20000</v>
      </c>
      <c r="N455" s="8" t="s">
        <v>30</v>
      </c>
      <c r="O455" s="8" t="s">
        <v>17</v>
      </c>
      <c r="P455" s="8" t="s">
        <v>18</v>
      </c>
      <c r="Q455" s="8" t="s">
        <v>18</v>
      </c>
      <c r="S455" s="8" t="s">
        <v>2219</v>
      </c>
      <c r="T455" s="8" t="s">
        <v>2220</v>
      </c>
      <c r="V455" s="8" t="s">
        <v>544</v>
      </c>
      <c r="W455" s="8">
        <f>ROUNDUP(MONTH(V455)/3,0)</f>
        <v>4</v>
      </c>
      <c r="X455" s="8">
        <f>K455*L455*N455</f>
        <v>0</v>
      </c>
    </row>
    <row r="456" spans="1:24" s="8" customFormat="1" ht="41.5" customHeight="1">
      <c r="A456" s="8" t="s">
        <v>2339</v>
      </c>
      <c r="B456" s="8" t="s">
        <v>2458</v>
      </c>
      <c r="C456" s="9">
        <v>45977.259166932898</v>
      </c>
      <c r="D456" s="8" t="s">
        <v>2218</v>
      </c>
      <c r="E456" s="8" t="s">
        <v>2057</v>
      </c>
      <c r="F456" s="8">
        <v>1</v>
      </c>
      <c r="G456" s="2">
        <v>635</v>
      </c>
      <c r="H456" s="8" t="s">
        <v>118</v>
      </c>
      <c r="I456" s="2">
        <f t="shared" si="14"/>
        <v>635</v>
      </c>
      <c r="M456" s="11">
        <v>20000</v>
      </c>
      <c r="N456" s="8" t="s">
        <v>30</v>
      </c>
      <c r="O456" s="8" t="s">
        <v>17</v>
      </c>
      <c r="P456" s="8" t="s">
        <v>18</v>
      </c>
      <c r="Q456" s="8" t="s">
        <v>18</v>
      </c>
      <c r="S456" s="8" t="s">
        <v>2219</v>
      </c>
      <c r="T456" s="8" t="s">
        <v>2220</v>
      </c>
      <c r="V456" s="8" t="s">
        <v>544</v>
      </c>
      <c r="W456" s="8">
        <f>ROUNDUP(MONTH(V456)/3,0)</f>
        <v>4</v>
      </c>
      <c r="X456" s="8">
        <f>K456*L456*N456</f>
        <v>0</v>
      </c>
    </row>
    <row r="457" spans="1:24" s="8" customFormat="1" ht="41.5" customHeight="1">
      <c r="A457" s="8" t="s">
        <v>2339</v>
      </c>
      <c r="B457" s="8" t="s">
        <v>2459</v>
      </c>
      <c r="C457" s="9">
        <v>45977.251057013898</v>
      </c>
      <c r="D457" s="8" t="s">
        <v>2218</v>
      </c>
      <c r="E457" s="8" t="s">
        <v>2057</v>
      </c>
      <c r="F457" s="8">
        <v>1</v>
      </c>
      <c r="G457" s="2">
        <v>635</v>
      </c>
      <c r="H457" s="8" t="s">
        <v>118</v>
      </c>
      <c r="I457" s="2">
        <f t="shared" si="14"/>
        <v>635</v>
      </c>
      <c r="M457" s="11">
        <v>20000</v>
      </c>
      <c r="N457" s="8" t="s">
        <v>30</v>
      </c>
      <c r="O457" s="8" t="s">
        <v>17</v>
      </c>
      <c r="P457" s="8" t="s">
        <v>18</v>
      </c>
      <c r="Q457" s="8" t="s">
        <v>18</v>
      </c>
      <c r="S457" s="8" t="s">
        <v>2219</v>
      </c>
      <c r="T457" s="8" t="s">
        <v>2220</v>
      </c>
      <c r="V457" s="8" t="s">
        <v>544</v>
      </c>
      <c r="W457" s="8">
        <f>ROUNDUP(MONTH(V457)/3,0)</f>
        <v>4</v>
      </c>
      <c r="X457" s="8">
        <f>K457*L457*N457</f>
        <v>0</v>
      </c>
    </row>
    <row r="458" spans="1:24" s="8" customFormat="1" ht="41.5" customHeight="1">
      <c r="A458" s="8" t="s">
        <v>2339</v>
      </c>
      <c r="B458" s="8" t="s">
        <v>2460</v>
      </c>
      <c r="C458" s="9">
        <v>45977.251056967601</v>
      </c>
      <c r="D458" s="8" t="s">
        <v>2218</v>
      </c>
      <c r="E458" s="8" t="s">
        <v>2057</v>
      </c>
      <c r="F458" s="8">
        <v>1</v>
      </c>
      <c r="G458" s="2">
        <v>635</v>
      </c>
      <c r="H458" s="8" t="s">
        <v>118</v>
      </c>
      <c r="I458" s="2">
        <f t="shared" si="14"/>
        <v>635</v>
      </c>
      <c r="M458" s="11">
        <v>20000</v>
      </c>
      <c r="N458" s="8" t="s">
        <v>30</v>
      </c>
      <c r="O458" s="8" t="s">
        <v>17</v>
      </c>
      <c r="P458" s="8" t="s">
        <v>18</v>
      </c>
      <c r="Q458" s="8" t="s">
        <v>18</v>
      </c>
      <c r="S458" s="8" t="s">
        <v>2219</v>
      </c>
      <c r="T458" s="8" t="s">
        <v>2220</v>
      </c>
      <c r="V458" s="8" t="s">
        <v>544</v>
      </c>
      <c r="W458" s="8">
        <f>ROUNDUP(MONTH(V458)/3,0)</f>
        <v>4</v>
      </c>
      <c r="X458" s="8">
        <f>K458*L458*N458</f>
        <v>0</v>
      </c>
    </row>
    <row r="459" spans="1:24" s="8" customFormat="1" ht="41.5" customHeight="1">
      <c r="A459" s="8" t="s">
        <v>2339</v>
      </c>
      <c r="B459" s="8" t="s">
        <v>2461</v>
      </c>
      <c r="C459" s="9">
        <v>45977.2445900116</v>
      </c>
      <c r="D459" s="8" t="s">
        <v>2218</v>
      </c>
      <c r="E459" s="8" t="s">
        <v>2057</v>
      </c>
      <c r="F459" s="8">
        <v>1</v>
      </c>
      <c r="G459" s="2">
        <v>635</v>
      </c>
      <c r="H459" s="8" t="s">
        <v>118</v>
      </c>
      <c r="I459" s="2">
        <f t="shared" si="14"/>
        <v>635</v>
      </c>
      <c r="M459" s="11">
        <v>21085</v>
      </c>
      <c r="N459" s="8" t="s">
        <v>30</v>
      </c>
      <c r="O459" s="8" t="s">
        <v>17</v>
      </c>
      <c r="P459" s="8" t="s">
        <v>18</v>
      </c>
      <c r="Q459" s="8" t="s">
        <v>18</v>
      </c>
      <c r="S459" s="8" t="s">
        <v>2219</v>
      </c>
      <c r="T459" s="8" t="s">
        <v>2220</v>
      </c>
      <c r="V459" s="8" t="s">
        <v>544</v>
      </c>
      <c r="W459" s="8">
        <f>ROUNDUP(MONTH(V459)/3,0)</f>
        <v>4</v>
      </c>
      <c r="X459" s="8">
        <f>K459*L459*N459</f>
        <v>0</v>
      </c>
    </row>
    <row r="460" spans="1:24" s="8" customFormat="1" ht="41.5" customHeight="1">
      <c r="A460" s="8" t="s">
        <v>2339</v>
      </c>
      <c r="B460" s="8" t="s">
        <v>2462</v>
      </c>
      <c r="C460" s="9">
        <v>45977.242406134297</v>
      </c>
      <c r="D460" s="8" t="s">
        <v>2218</v>
      </c>
      <c r="E460" s="8" t="s">
        <v>2057</v>
      </c>
      <c r="F460" s="8">
        <v>1</v>
      </c>
      <c r="G460" s="2">
        <v>635</v>
      </c>
      <c r="H460" s="8" t="s">
        <v>118</v>
      </c>
      <c r="I460" s="2">
        <f t="shared" si="14"/>
        <v>635</v>
      </c>
      <c r="M460" s="11">
        <v>20000</v>
      </c>
      <c r="N460" s="8" t="s">
        <v>30</v>
      </c>
      <c r="O460" s="8" t="s">
        <v>17</v>
      </c>
      <c r="P460" s="8" t="s">
        <v>18</v>
      </c>
      <c r="Q460" s="8" t="s">
        <v>18</v>
      </c>
      <c r="S460" s="8" t="s">
        <v>2219</v>
      </c>
      <c r="T460" s="8" t="s">
        <v>2220</v>
      </c>
      <c r="V460" s="8" t="s">
        <v>544</v>
      </c>
      <c r="W460" s="8">
        <f>ROUNDUP(MONTH(V460)/3,0)</f>
        <v>4</v>
      </c>
      <c r="X460" s="8">
        <f>K460*L460*N460</f>
        <v>0</v>
      </c>
    </row>
    <row r="461" spans="1:24" s="8" customFormat="1" ht="41.5" customHeight="1">
      <c r="A461" s="8" t="s">
        <v>2463</v>
      </c>
      <c r="B461" s="8" t="s">
        <v>2464</v>
      </c>
      <c r="C461" s="9">
        <v>45928.648103576401</v>
      </c>
      <c r="D461" s="8" t="s">
        <v>2056</v>
      </c>
      <c r="E461" s="8" t="s">
        <v>2057</v>
      </c>
      <c r="F461" s="8">
        <v>1</v>
      </c>
      <c r="G461" s="22" t="s">
        <v>1270</v>
      </c>
      <c r="H461" s="8" t="s">
        <v>545</v>
      </c>
      <c r="I461" s="2" t="str">
        <f t="shared" si="14"/>
        <v>Ống uPVC DN90 PN6 C2</v>
      </c>
      <c r="J461" s="8" t="s">
        <v>47</v>
      </c>
      <c r="K461" s="10">
        <v>1000</v>
      </c>
      <c r="L461" s="10">
        <v>49564.93</v>
      </c>
      <c r="M461" s="11">
        <v>49564930</v>
      </c>
      <c r="N461" s="8" t="s">
        <v>16</v>
      </c>
      <c r="O461" s="8" t="s">
        <v>17</v>
      </c>
      <c r="P461" s="8" t="s">
        <v>18</v>
      </c>
      <c r="Q461" s="8" t="s">
        <v>18</v>
      </c>
      <c r="R461" s="8" t="s">
        <v>2115</v>
      </c>
      <c r="S461" s="8" t="s">
        <v>2465</v>
      </c>
      <c r="T461" s="8" t="s">
        <v>2466</v>
      </c>
      <c r="U461" s="8" t="s">
        <v>2467</v>
      </c>
      <c r="V461" s="8" t="s">
        <v>546</v>
      </c>
      <c r="W461" s="8">
        <f>ROUNDUP(MONTH(V461)/3,0)</f>
        <v>3</v>
      </c>
      <c r="X461" s="8">
        <f>K461*L461*N461</f>
        <v>3965194.4</v>
      </c>
    </row>
    <row r="462" spans="1:24" s="8" customFormat="1" ht="41.5" customHeight="1">
      <c r="A462" s="8" t="s">
        <v>2463</v>
      </c>
      <c r="B462" s="8" t="s">
        <v>2464</v>
      </c>
      <c r="C462" s="9">
        <v>45928.648103576401</v>
      </c>
      <c r="D462" s="8" t="s">
        <v>2056</v>
      </c>
      <c r="E462" s="8" t="s">
        <v>2057</v>
      </c>
      <c r="F462" s="8">
        <v>2</v>
      </c>
      <c r="G462" s="22" t="s">
        <v>2088</v>
      </c>
      <c r="H462" s="8" t="s">
        <v>547</v>
      </c>
      <c r="I462" s="2" t="str">
        <f t="shared" si="14"/>
        <v>ống uPVC DN110 PN6 C2</v>
      </c>
      <c r="J462" s="8" t="s">
        <v>47</v>
      </c>
      <c r="K462" s="10">
        <v>1000</v>
      </c>
      <c r="L462" s="10">
        <v>72500.91</v>
      </c>
      <c r="M462" s="11">
        <v>72500910</v>
      </c>
      <c r="N462" s="8" t="s">
        <v>16</v>
      </c>
      <c r="O462" s="8" t="s">
        <v>17</v>
      </c>
      <c r="P462" s="8" t="s">
        <v>18</v>
      </c>
      <c r="Q462" s="8" t="s">
        <v>18</v>
      </c>
      <c r="R462" s="8" t="s">
        <v>2115</v>
      </c>
      <c r="S462" s="8" t="s">
        <v>2465</v>
      </c>
      <c r="T462" s="8" t="s">
        <v>2466</v>
      </c>
      <c r="U462" s="8" t="s">
        <v>2467</v>
      </c>
      <c r="V462" s="8" t="s">
        <v>546</v>
      </c>
      <c r="W462" s="8">
        <f>ROUNDUP(MONTH(V462)/3,0)</f>
        <v>3</v>
      </c>
      <c r="X462" s="8">
        <f>K462*L462*N462</f>
        <v>5800072.7999999998</v>
      </c>
    </row>
    <row r="463" spans="1:24" s="8" customFormat="1" ht="41.5" customHeight="1">
      <c r="A463" s="8" t="s">
        <v>2463</v>
      </c>
      <c r="B463" s="8" t="s">
        <v>2468</v>
      </c>
      <c r="C463" s="9">
        <v>45925.6094177431</v>
      </c>
      <c r="D463" s="8" t="s">
        <v>2056</v>
      </c>
      <c r="E463" s="8" t="s">
        <v>2057</v>
      </c>
      <c r="F463" s="8">
        <v>1</v>
      </c>
      <c r="G463" s="22" t="s">
        <v>1376</v>
      </c>
      <c r="H463" s="8" t="s">
        <v>548</v>
      </c>
      <c r="I463" s="2" t="str">
        <f t="shared" si="14"/>
        <v>Dây điện SIK 1Cx4.0 HKIV</v>
      </c>
      <c r="J463" s="8" t="s">
        <v>549</v>
      </c>
      <c r="K463" s="10">
        <v>2</v>
      </c>
      <c r="L463" s="10">
        <v>4104100</v>
      </c>
      <c r="M463" s="11">
        <v>8208200</v>
      </c>
      <c r="N463" s="8" t="s">
        <v>16</v>
      </c>
      <c r="O463" s="8" t="s">
        <v>17</v>
      </c>
      <c r="P463" s="8" t="s">
        <v>18</v>
      </c>
      <c r="Q463" s="8" t="s">
        <v>18</v>
      </c>
      <c r="R463" s="8" t="s">
        <v>2115</v>
      </c>
      <c r="S463" s="8" t="s">
        <v>2465</v>
      </c>
      <c r="T463" s="8" t="s">
        <v>2466</v>
      </c>
      <c r="U463" s="8" t="s">
        <v>2467</v>
      </c>
      <c r="V463" s="8" t="s">
        <v>550</v>
      </c>
      <c r="W463" s="8">
        <f>ROUNDUP(MONTH(V463)/3,0)</f>
        <v>3</v>
      </c>
      <c r="X463" s="8">
        <f>K463*L463*N463</f>
        <v>656656</v>
      </c>
    </row>
    <row r="464" spans="1:24" s="8" customFormat="1" ht="41.5" customHeight="1">
      <c r="A464" s="8" t="s">
        <v>2463</v>
      </c>
      <c r="B464" s="8" t="s">
        <v>2468</v>
      </c>
      <c r="C464" s="9">
        <v>45925.6094177431</v>
      </c>
      <c r="D464" s="8" t="s">
        <v>2056</v>
      </c>
      <c r="E464" s="8" t="s">
        <v>2057</v>
      </c>
      <c r="F464" s="8">
        <v>2</v>
      </c>
      <c r="G464" s="22" t="s">
        <v>1314</v>
      </c>
      <c r="H464" s="8" t="s">
        <v>551</v>
      </c>
      <c r="I464" s="2" t="str">
        <f t="shared" si="14"/>
        <v>Dây điện SIK 1Cx2.5 HKIV</v>
      </c>
      <c r="J464" s="8" t="s">
        <v>549</v>
      </c>
      <c r="K464" s="10">
        <v>2</v>
      </c>
      <c r="L464" s="10">
        <v>2752750</v>
      </c>
      <c r="M464" s="11">
        <v>5505500</v>
      </c>
      <c r="N464" s="8" t="s">
        <v>16</v>
      </c>
      <c r="O464" s="8" t="s">
        <v>17</v>
      </c>
      <c r="P464" s="8" t="s">
        <v>18</v>
      </c>
      <c r="Q464" s="8" t="s">
        <v>18</v>
      </c>
      <c r="R464" s="8" t="s">
        <v>2115</v>
      </c>
      <c r="S464" s="8" t="s">
        <v>2465</v>
      </c>
      <c r="T464" s="8" t="s">
        <v>2466</v>
      </c>
      <c r="U464" s="8" t="s">
        <v>2467</v>
      </c>
      <c r="V464" s="8" t="s">
        <v>550</v>
      </c>
      <c r="W464" s="8">
        <f>ROUNDUP(MONTH(V464)/3,0)</f>
        <v>3</v>
      </c>
      <c r="X464" s="8">
        <f>K464*L464*N464</f>
        <v>440440</v>
      </c>
    </row>
    <row r="465" spans="1:24" s="8" customFormat="1" ht="41.5" customHeight="1">
      <c r="A465" s="8" t="s">
        <v>2463</v>
      </c>
      <c r="B465" s="8" t="s">
        <v>2468</v>
      </c>
      <c r="C465" s="9">
        <v>45925.6094177431</v>
      </c>
      <c r="D465" s="8" t="s">
        <v>2056</v>
      </c>
      <c r="E465" s="8" t="s">
        <v>2057</v>
      </c>
      <c r="F465" s="8">
        <v>3</v>
      </c>
      <c r="G465" s="22" t="s">
        <v>1289</v>
      </c>
      <c r="H465" s="8" t="s">
        <v>552</v>
      </c>
      <c r="I465" s="2" t="str">
        <f t="shared" si="14"/>
        <v>Dây điện SIK 1Cx1.5 HKIV</v>
      </c>
      <c r="J465" s="8" t="s">
        <v>549</v>
      </c>
      <c r="K465" s="10">
        <v>3</v>
      </c>
      <c r="L465" s="10">
        <v>1701700</v>
      </c>
      <c r="M465" s="11">
        <v>5105100</v>
      </c>
      <c r="N465" s="8" t="s">
        <v>16</v>
      </c>
      <c r="O465" s="8" t="s">
        <v>17</v>
      </c>
      <c r="P465" s="8" t="s">
        <v>18</v>
      </c>
      <c r="Q465" s="8" t="s">
        <v>18</v>
      </c>
      <c r="R465" s="8" t="s">
        <v>2115</v>
      </c>
      <c r="S465" s="8" t="s">
        <v>2465</v>
      </c>
      <c r="T465" s="8" t="s">
        <v>2466</v>
      </c>
      <c r="U465" s="8" t="s">
        <v>2467</v>
      </c>
      <c r="V465" s="8" t="s">
        <v>550</v>
      </c>
      <c r="W465" s="8">
        <f>ROUNDUP(MONTH(V465)/3,0)</f>
        <v>3</v>
      </c>
      <c r="X465" s="8">
        <f>K465*L465*N465</f>
        <v>408408</v>
      </c>
    </row>
    <row r="466" spans="1:24" s="8" customFormat="1" ht="41.5" customHeight="1">
      <c r="A466" s="8" t="s">
        <v>2463</v>
      </c>
      <c r="B466" s="8" t="s">
        <v>2468</v>
      </c>
      <c r="C466" s="9">
        <v>45925.6094177431</v>
      </c>
      <c r="D466" s="8" t="s">
        <v>2056</v>
      </c>
      <c r="E466" s="8" t="s">
        <v>2057</v>
      </c>
      <c r="F466" s="8">
        <v>4</v>
      </c>
      <c r="G466" s="22" t="s">
        <v>2251</v>
      </c>
      <c r="H466" s="8" t="s">
        <v>553</v>
      </c>
      <c r="I466" s="2" t="str">
        <f t="shared" si="14"/>
        <v>Dây điện SIK 2Cx0.75 HVCTFK</v>
      </c>
      <c r="J466" s="8" t="s">
        <v>549</v>
      </c>
      <c r="K466" s="10">
        <v>2</v>
      </c>
      <c r="L466" s="10">
        <v>2302300</v>
      </c>
      <c r="M466" s="11">
        <v>4604600</v>
      </c>
      <c r="N466" s="8" t="s">
        <v>16</v>
      </c>
      <c r="O466" s="8" t="s">
        <v>17</v>
      </c>
      <c r="P466" s="8" t="s">
        <v>18</v>
      </c>
      <c r="Q466" s="8" t="s">
        <v>18</v>
      </c>
      <c r="R466" s="8" t="s">
        <v>2115</v>
      </c>
      <c r="S466" s="8" t="s">
        <v>2465</v>
      </c>
      <c r="T466" s="8" t="s">
        <v>2466</v>
      </c>
      <c r="U466" s="8" t="s">
        <v>2467</v>
      </c>
      <c r="V466" s="8" t="s">
        <v>550</v>
      </c>
      <c r="W466" s="8">
        <f>ROUNDUP(MONTH(V466)/3,0)</f>
        <v>3</v>
      </c>
      <c r="X466" s="8">
        <f>K466*L466*N466</f>
        <v>368368</v>
      </c>
    </row>
    <row r="467" spans="1:24" s="8" customFormat="1" ht="41.5" customHeight="1">
      <c r="A467" s="8" t="s">
        <v>2463</v>
      </c>
      <c r="B467" s="8" t="s">
        <v>2468</v>
      </c>
      <c r="C467" s="9">
        <v>45925.6094177431</v>
      </c>
      <c r="D467" s="8" t="s">
        <v>2056</v>
      </c>
      <c r="E467" s="8" t="s">
        <v>2057</v>
      </c>
      <c r="F467" s="8">
        <v>5</v>
      </c>
      <c r="G467" s="22" t="s">
        <v>1316</v>
      </c>
      <c r="H467" s="8" t="s">
        <v>554</v>
      </c>
      <c r="I467" s="2" t="str">
        <f t="shared" si="14"/>
        <v>Dây điện SIK 2Cx1.5 HVCTFK</v>
      </c>
      <c r="J467" s="8" t="s">
        <v>549</v>
      </c>
      <c r="K467" s="10">
        <v>2</v>
      </c>
      <c r="L467" s="10">
        <v>4104100</v>
      </c>
      <c r="M467" s="11">
        <v>8208200</v>
      </c>
      <c r="N467" s="8" t="s">
        <v>16</v>
      </c>
      <c r="O467" s="8" t="s">
        <v>17</v>
      </c>
      <c r="P467" s="8" t="s">
        <v>18</v>
      </c>
      <c r="Q467" s="8" t="s">
        <v>18</v>
      </c>
      <c r="R467" s="8" t="s">
        <v>2115</v>
      </c>
      <c r="S467" s="8" t="s">
        <v>2465</v>
      </c>
      <c r="T467" s="8" t="s">
        <v>2466</v>
      </c>
      <c r="U467" s="8" t="s">
        <v>2467</v>
      </c>
      <c r="V467" s="8" t="s">
        <v>550</v>
      </c>
      <c r="W467" s="8">
        <f>ROUNDUP(MONTH(V467)/3,0)</f>
        <v>3</v>
      </c>
      <c r="X467" s="8">
        <f>K467*L467*N467</f>
        <v>656656</v>
      </c>
    </row>
    <row r="468" spans="1:24" s="8" customFormat="1" ht="41.5" customHeight="1">
      <c r="A468" s="8" t="s">
        <v>2463</v>
      </c>
      <c r="B468" s="8" t="s">
        <v>2468</v>
      </c>
      <c r="C468" s="9">
        <v>45925.6094177431</v>
      </c>
      <c r="D468" s="8" t="s">
        <v>2056</v>
      </c>
      <c r="E468" s="8" t="s">
        <v>2057</v>
      </c>
      <c r="F468" s="8">
        <v>6</v>
      </c>
      <c r="G468" s="22" t="s">
        <v>1327</v>
      </c>
      <c r="H468" s="8" t="s">
        <v>555</v>
      </c>
      <c r="I468" s="2" t="str">
        <f t="shared" si="14"/>
        <v>Dây điện SIK 2Cx2.5 HVCTFK</v>
      </c>
      <c r="J468" s="8" t="s">
        <v>549</v>
      </c>
      <c r="K468" s="10">
        <v>2</v>
      </c>
      <c r="L468" s="10">
        <v>6506500</v>
      </c>
      <c r="M468" s="11">
        <v>13013000</v>
      </c>
      <c r="N468" s="8" t="s">
        <v>16</v>
      </c>
      <c r="O468" s="8" t="s">
        <v>17</v>
      </c>
      <c r="P468" s="8" t="s">
        <v>18</v>
      </c>
      <c r="Q468" s="8" t="s">
        <v>18</v>
      </c>
      <c r="R468" s="8" t="s">
        <v>2115</v>
      </c>
      <c r="S468" s="8" t="s">
        <v>2465</v>
      </c>
      <c r="T468" s="8" t="s">
        <v>2466</v>
      </c>
      <c r="U468" s="8" t="s">
        <v>2467</v>
      </c>
      <c r="V468" s="8" t="s">
        <v>550</v>
      </c>
      <c r="W468" s="8">
        <f>ROUNDUP(MONTH(V468)/3,0)</f>
        <v>3</v>
      </c>
      <c r="X468" s="8">
        <f>K468*L468*N468</f>
        <v>1041040</v>
      </c>
    </row>
    <row r="469" spans="1:24" s="8" customFormat="1" ht="41.5" customHeight="1">
      <c r="A469" s="8" t="s">
        <v>2469</v>
      </c>
      <c r="B469" s="8" t="s">
        <v>457</v>
      </c>
      <c r="C469" s="9">
        <v>45911.496868645801</v>
      </c>
      <c r="D469" s="8" t="s">
        <v>2056</v>
      </c>
      <c r="E469" s="8" t="s">
        <v>2057</v>
      </c>
      <c r="F469" s="8">
        <v>1</v>
      </c>
      <c r="G469" s="22" t="s">
        <v>1377</v>
      </c>
      <c r="H469" s="8" t="s">
        <v>556</v>
      </c>
      <c r="I469" s="2" t="str">
        <f t="shared" si="14"/>
        <v>Sơn nước ngoại thất 18l</v>
      </c>
      <c r="J469" s="8" t="s">
        <v>54</v>
      </c>
      <c r="K469" s="10">
        <v>7</v>
      </c>
      <c r="L469" s="10">
        <v>1303128.57</v>
      </c>
      <c r="M469" s="11">
        <v>9121900</v>
      </c>
      <c r="N469" s="8" t="s">
        <v>30</v>
      </c>
      <c r="O469" s="8" t="s">
        <v>17</v>
      </c>
      <c r="P469" s="8" t="s">
        <v>18</v>
      </c>
      <c r="Q469" s="8" t="s">
        <v>18</v>
      </c>
      <c r="R469" s="8" t="s">
        <v>2110</v>
      </c>
      <c r="S469" s="8" t="s">
        <v>2116</v>
      </c>
      <c r="T469" s="8" t="s">
        <v>2117</v>
      </c>
      <c r="U469" s="8" t="s">
        <v>2193</v>
      </c>
      <c r="V469" s="8" t="s">
        <v>557</v>
      </c>
      <c r="W469" s="8">
        <f>ROUNDUP(MONTH(V469)/3,0)</f>
        <v>3</v>
      </c>
      <c r="X469" s="8">
        <f>K469*L469*N469</f>
        <v>912189.99900000007</v>
      </c>
    </row>
    <row r="470" spans="1:24" s="8" customFormat="1" ht="41.5" customHeight="1">
      <c r="A470" s="8" t="s">
        <v>2469</v>
      </c>
      <c r="B470" s="8" t="s">
        <v>457</v>
      </c>
      <c r="C470" s="9">
        <v>45911.496868645801</v>
      </c>
      <c r="D470" s="8" t="s">
        <v>2056</v>
      </c>
      <c r="E470" s="8" t="s">
        <v>2057</v>
      </c>
      <c r="F470" s="8">
        <v>2</v>
      </c>
      <c r="G470" s="22" t="s">
        <v>98</v>
      </c>
      <c r="H470" s="8" t="s">
        <v>98</v>
      </c>
      <c r="I470" s="2" t="str">
        <f t="shared" si="14"/>
        <v>Sơn nước ngoại thất</v>
      </c>
      <c r="J470" s="8" t="s">
        <v>56</v>
      </c>
      <c r="K470" s="10">
        <v>3</v>
      </c>
      <c r="L470" s="10">
        <v>314667</v>
      </c>
      <c r="M470" s="11">
        <v>944001</v>
      </c>
      <c r="N470" s="8" t="s">
        <v>30</v>
      </c>
      <c r="O470" s="8" t="s">
        <v>17</v>
      </c>
      <c r="P470" s="8" t="s">
        <v>18</v>
      </c>
      <c r="Q470" s="8" t="s">
        <v>18</v>
      </c>
      <c r="R470" s="8" t="s">
        <v>2110</v>
      </c>
      <c r="S470" s="8" t="s">
        <v>2116</v>
      </c>
      <c r="T470" s="8" t="s">
        <v>2117</v>
      </c>
      <c r="U470" s="8" t="s">
        <v>2193</v>
      </c>
      <c r="V470" s="8" t="s">
        <v>557</v>
      </c>
      <c r="W470" s="8">
        <f>ROUNDUP(MONTH(V470)/3,0)</f>
        <v>3</v>
      </c>
      <c r="X470" s="8">
        <f>K470*L470*N470</f>
        <v>94400.1</v>
      </c>
    </row>
    <row r="471" spans="1:24" s="8" customFormat="1" ht="41.5" customHeight="1">
      <c r="A471" s="8" t="s">
        <v>2281</v>
      </c>
      <c r="B471" s="8" t="s">
        <v>2470</v>
      </c>
      <c r="C471" s="9">
        <v>45926.5704256713</v>
      </c>
      <c r="D471" s="8" t="s">
        <v>2056</v>
      </c>
      <c r="E471" s="8" t="s">
        <v>2057</v>
      </c>
      <c r="F471" s="8">
        <v>1</v>
      </c>
      <c r="G471" s="22" t="s">
        <v>21</v>
      </c>
      <c r="H471" s="8" t="s">
        <v>21</v>
      </c>
      <c r="I471" s="2" t="str">
        <f t="shared" si="14"/>
        <v>Găng tay cao su s8</v>
      </c>
      <c r="J471" s="8" t="s">
        <v>22</v>
      </c>
      <c r="K471" s="10">
        <v>360</v>
      </c>
      <c r="L471" s="10">
        <v>15250</v>
      </c>
      <c r="M471" s="11">
        <v>5490000</v>
      </c>
      <c r="N471" s="8" t="s">
        <v>16</v>
      </c>
      <c r="O471" s="8" t="s">
        <v>17</v>
      </c>
      <c r="P471" s="8" t="s">
        <v>18</v>
      </c>
      <c r="Q471" s="8" t="s">
        <v>18</v>
      </c>
      <c r="R471" s="8" t="s">
        <v>2283</v>
      </c>
      <c r="S471" s="8" t="s">
        <v>2058</v>
      </c>
      <c r="T471" s="8" t="s">
        <v>2059</v>
      </c>
      <c r="U471" s="8" t="s">
        <v>2284</v>
      </c>
      <c r="V471" s="8" t="s">
        <v>558</v>
      </c>
      <c r="W471" s="8">
        <f>ROUNDUP(MONTH(V471)/3,0)</f>
        <v>3</v>
      </c>
      <c r="X471" s="8">
        <f>K471*L471*N471</f>
        <v>439200</v>
      </c>
    </row>
    <row r="472" spans="1:24" s="8" customFormat="1" ht="41.5" customHeight="1">
      <c r="A472" s="8" t="s">
        <v>2281</v>
      </c>
      <c r="B472" s="8" t="s">
        <v>2470</v>
      </c>
      <c r="C472" s="9">
        <v>45926.5704256713</v>
      </c>
      <c r="D472" s="8" t="s">
        <v>2056</v>
      </c>
      <c r="E472" s="8" t="s">
        <v>2057</v>
      </c>
      <c r="F472" s="8">
        <v>2</v>
      </c>
      <c r="G472" s="22" t="s">
        <v>24</v>
      </c>
      <c r="H472" s="8" t="s">
        <v>559</v>
      </c>
      <c r="I472" s="2" t="str">
        <f t="shared" si="14"/>
        <v>Găng tay sợi phủ lòng cao su</v>
      </c>
      <c r="J472" s="8" t="s">
        <v>22</v>
      </c>
      <c r="K472" s="10">
        <v>2400</v>
      </c>
      <c r="L472" s="10">
        <v>2400</v>
      </c>
      <c r="M472" s="11">
        <v>5760000</v>
      </c>
      <c r="N472" s="8" t="s">
        <v>16</v>
      </c>
      <c r="O472" s="8" t="s">
        <v>17</v>
      </c>
      <c r="P472" s="8" t="s">
        <v>18</v>
      </c>
      <c r="Q472" s="8" t="s">
        <v>18</v>
      </c>
      <c r="R472" s="8" t="s">
        <v>2283</v>
      </c>
      <c r="S472" s="8" t="s">
        <v>2058</v>
      </c>
      <c r="T472" s="8" t="s">
        <v>2059</v>
      </c>
      <c r="U472" s="8" t="s">
        <v>2284</v>
      </c>
      <c r="V472" s="8" t="s">
        <v>558</v>
      </c>
      <c r="W472" s="8">
        <f>ROUNDUP(MONTH(V472)/3,0)</f>
        <v>3</v>
      </c>
      <c r="X472" s="8">
        <f>K472*L472*N472</f>
        <v>460800</v>
      </c>
    </row>
    <row r="473" spans="1:24" s="8" customFormat="1" ht="41.5" customHeight="1">
      <c r="A473" s="8" t="s">
        <v>2281</v>
      </c>
      <c r="B473" s="8" t="s">
        <v>2470</v>
      </c>
      <c r="C473" s="9">
        <v>45926.5704256713</v>
      </c>
      <c r="D473" s="8" t="s">
        <v>2056</v>
      </c>
      <c r="E473" s="8" t="s">
        <v>2057</v>
      </c>
      <c r="F473" s="8">
        <v>3</v>
      </c>
      <c r="G473" s="22" t="s">
        <v>560</v>
      </c>
      <c r="H473" s="8" t="s">
        <v>560</v>
      </c>
      <c r="I473" s="2" t="str">
        <f t="shared" si="14"/>
        <v>Nón bảo hộ</v>
      </c>
      <c r="J473" s="8" t="s">
        <v>15</v>
      </c>
      <c r="K473" s="10">
        <v>60</v>
      </c>
      <c r="L473" s="10">
        <v>21000</v>
      </c>
      <c r="M473" s="11">
        <v>1260000</v>
      </c>
      <c r="N473" s="8" t="s">
        <v>16</v>
      </c>
      <c r="O473" s="8" t="s">
        <v>17</v>
      </c>
      <c r="P473" s="8" t="s">
        <v>18</v>
      </c>
      <c r="Q473" s="8" t="s">
        <v>18</v>
      </c>
      <c r="R473" s="8" t="s">
        <v>2283</v>
      </c>
      <c r="S473" s="8" t="s">
        <v>2058</v>
      </c>
      <c r="T473" s="8" t="s">
        <v>2059</v>
      </c>
      <c r="U473" s="8" t="s">
        <v>2284</v>
      </c>
      <c r="V473" s="8" t="s">
        <v>558</v>
      </c>
      <c r="W473" s="8">
        <f>ROUNDUP(MONTH(V473)/3,0)</f>
        <v>3</v>
      </c>
      <c r="X473" s="8">
        <f>K473*L473*N473</f>
        <v>100800</v>
      </c>
    </row>
    <row r="474" spans="1:24" s="8" customFormat="1" ht="41.5" customHeight="1">
      <c r="A474" s="8" t="s">
        <v>2281</v>
      </c>
      <c r="B474" s="8" t="s">
        <v>2470</v>
      </c>
      <c r="C474" s="9">
        <v>45926.5704256713</v>
      </c>
      <c r="D474" s="8" t="s">
        <v>2056</v>
      </c>
      <c r="E474" s="8" t="s">
        <v>2057</v>
      </c>
      <c r="F474" s="8">
        <v>4</v>
      </c>
      <c r="G474" s="22" t="s">
        <v>561</v>
      </c>
      <c r="H474" s="8" t="s">
        <v>561</v>
      </c>
      <c r="I474" s="2" t="str">
        <f t="shared" si="14"/>
        <v>Nón BHLĐ N70</v>
      </c>
      <c r="J474" s="8" t="s">
        <v>15</v>
      </c>
      <c r="K474" s="10">
        <v>50</v>
      </c>
      <c r="L474" s="10">
        <v>48000</v>
      </c>
      <c r="M474" s="11">
        <v>2400000</v>
      </c>
      <c r="N474" s="8" t="s">
        <v>16</v>
      </c>
      <c r="O474" s="8" t="s">
        <v>17</v>
      </c>
      <c r="P474" s="8" t="s">
        <v>18</v>
      </c>
      <c r="Q474" s="8" t="s">
        <v>18</v>
      </c>
      <c r="R474" s="8" t="s">
        <v>2283</v>
      </c>
      <c r="S474" s="8" t="s">
        <v>2058</v>
      </c>
      <c r="T474" s="8" t="s">
        <v>2059</v>
      </c>
      <c r="U474" s="8" t="s">
        <v>2284</v>
      </c>
      <c r="V474" s="8" t="s">
        <v>558</v>
      </c>
      <c r="W474" s="8">
        <f>ROUNDUP(MONTH(V474)/3,0)</f>
        <v>3</v>
      </c>
      <c r="X474" s="8">
        <f>K474*L474*N474</f>
        <v>192000</v>
      </c>
    </row>
    <row r="475" spans="1:24" s="8" customFormat="1" ht="41.5" customHeight="1">
      <c r="A475" s="8" t="s">
        <v>2281</v>
      </c>
      <c r="B475" s="8" t="s">
        <v>2470</v>
      </c>
      <c r="C475" s="9">
        <v>45926.5704256713</v>
      </c>
      <c r="D475" s="8" t="s">
        <v>2056</v>
      </c>
      <c r="E475" s="8" t="s">
        <v>2057</v>
      </c>
      <c r="F475" s="8">
        <v>5</v>
      </c>
      <c r="G475" s="22" t="s">
        <v>562</v>
      </c>
      <c r="H475" s="8" t="s">
        <v>562</v>
      </c>
      <c r="I475" s="2" t="str">
        <f t="shared" si="14"/>
        <v>Áo mưa phương tiện</v>
      </c>
      <c r="J475" s="8" t="s">
        <v>19</v>
      </c>
      <c r="K475" s="10">
        <v>320</v>
      </c>
      <c r="L475" s="10">
        <v>7000</v>
      </c>
      <c r="M475" s="11">
        <v>2240000</v>
      </c>
      <c r="N475" s="8" t="s">
        <v>16</v>
      </c>
      <c r="O475" s="8" t="s">
        <v>17</v>
      </c>
      <c r="P475" s="8" t="s">
        <v>18</v>
      </c>
      <c r="Q475" s="8" t="s">
        <v>18</v>
      </c>
      <c r="R475" s="8" t="s">
        <v>2283</v>
      </c>
      <c r="S475" s="8" t="s">
        <v>2058</v>
      </c>
      <c r="T475" s="8" t="s">
        <v>2059</v>
      </c>
      <c r="U475" s="8" t="s">
        <v>2284</v>
      </c>
      <c r="V475" s="8" t="s">
        <v>558</v>
      </c>
      <c r="W475" s="8">
        <f>ROUNDUP(MONTH(V475)/3,0)</f>
        <v>3</v>
      </c>
      <c r="X475" s="8">
        <f>K475*L475*N475</f>
        <v>179200</v>
      </c>
    </row>
    <row r="476" spans="1:24" s="8" customFormat="1" ht="41.5" customHeight="1">
      <c r="A476" s="8" t="s">
        <v>2281</v>
      </c>
      <c r="B476" s="8" t="s">
        <v>2470</v>
      </c>
      <c r="C476" s="9">
        <v>45926.5704256713</v>
      </c>
      <c r="D476" s="8" t="s">
        <v>2056</v>
      </c>
      <c r="E476" s="8" t="s">
        <v>2057</v>
      </c>
      <c r="F476" s="8">
        <v>6</v>
      </c>
      <c r="G476" s="22" t="s">
        <v>563</v>
      </c>
      <c r="H476" s="8" t="s">
        <v>563</v>
      </c>
      <c r="I476" s="2" t="str">
        <f t="shared" si="14"/>
        <v>Giày bảo hộ lao động BH 08-2</v>
      </c>
      <c r="J476" s="8" t="s">
        <v>22</v>
      </c>
      <c r="K476" s="10">
        <v>20</v>
      </c>
      <c r="L476" s="10">
        <v>95000</v>
      </c>
      <c r="M476" s="11">
        <v>1900000</v>
      </c>
      <c r="N476" s="8" t="s">
        <v>16</v>
      </c>
      <c r="O476" s="8" t="s">
        <v>17</v>
      </c>
      <c r="P476" s="8" t="s">
        <v>18</v>
      </c>
      <c r="Q476" s="8" t="s">
        <v>18</v>
      </c>
      <c r="R476" s="8" t="s">
        <v>2283</v>
      </c>
      <c r="S476" s="8" t="s">
        <v>2058</v>
      </c>
      <c r="T476" s="8" t="s">
        <v>2059</v>
      </c>
      <c r="U476" s="8" t="s">
        <v>2284</v>
      </c>
      <c r="V476" s="8" t="s">
        <v>558</v>
      </c>
      <c r="W476" s="8">
        <f>ROUNDUP(MONTH(V476)/3,0)</f>
        <v>3</v>
      </c>
      <c r="X476" s="8">
        <f>K476*L476*N476</f>
        <v>152000</v>
      </c>
    </row>
    <row r="477" spans="1:24" s="8" customFormat="1" ht="41.5" customHeight="1">
      <c r="A477" s="8" t="s">
        <v>2281</v>
      </c>
      <c r="B477" s="8" t="s">
        <v>2470</v>
      </c>
      <c r="C477" s="9">
        <v>45926.5704256713</v>
      </c>
      <c r="D477" s="8" t="s">
        <v>2056</v>
      </c>
      <c r="E477" s="8" t="s">
        <v>2057</v>
      </c>
      <c r="F477" s="8">
        <v>7</v>
      </c>
      <c r="G477" s="22" t="s">
        <v>2255</v>
      </c>
      <c r="H477" s="8" t="s">
        <v>564</v>
      </c>
      <c r="I477" s="2" t="str">
        <f t="shared" si="14"/>
        <v>Bình chữa cháy sách tay bộ ABC 4kg (DTT-ABC/4k</v>
      </c>
      <c r="J477" s="8" t="s">
        <v>565</v>
      </c>
      <c r="K477" s="10">
        <v>6</v>
      </c>
      <c r="L477" s="10">
        <v>280000</v>
      </c>
      <c r="M477" s="11">
        <v>1680000</v>
      </c>
      <c r="N477" s="8" t="s">
        <v>16</v>
      </c>
      <c r="O477" s="8" t="s">
        <v>17</v>
      </c>
      <c r="P477" s="8" t="s">
        <v>18</v>
      </c>
      <c r="Q477" s="8" t="s">
        <v>18</v>
      </c>
      <c r="R477" s="8" t="s">
        <v>2283</v>
      </c>
      <c r="S477" s="8" t="s">
        <v>2058</v>
      </c>
      <c r="T477" s="8" t="s">
        <v>2059</v>
      </c>
      <c r="U477" s="8" t="s">
        <v>2284</v>
      </c>
      <c r="V477" s="8" t="s">
        <v>558</v>
      </c>
      <c r="W477" s="8">
        <f>ROUNDUP(MONTH(V477)/3,0)</f>
        <v>3</v>
      </c>
      <c r="X477" s="8">
        <f>K477*L477*N477</f>
        <v>134400</v>
      </c>
    </row>
    <row r="478" spans="1:24" s="8" customFormat="1" ht="41.5" customHeight="1">
      <c r="A478" s="8" t="s">
        <v>2281</v>
      </c>
      <c r="B478" s="8" t="s">
        <v>2470</v>
      </c>
      <c r="C478" s="9">
        <v>45926.5704256713</v>
      </c>
      <c r="D478" s="8" t="s">
        <v>2056</v>
      </c>
      <c r="E478" s="8" t="s">
        <v>2057</v>
      </c>
      <c r="F478" s="8">
        <v>8</v>
      </c>
      <c r="G478" s="22" t="s">
        <v>1612</v>
      </c>
      <c r="H478" s="8" t="s">
        <v>242</v>
      </c>
      <c r="I478" s="2" t="str">
        <f t="shared" si="14"/>
        <v>Ủng BHLD 819</v>
      </c>
      <c r="J478" s="8" t="s">
        <v>22</v>
      </c>
      <c r="K478" s="10">
        <v>10</v>
      </c>
      <c r="L478" s="10">
        <v>93000</v>
      </c>
      <c r="M478" s="11">
        <v>930000</v>
      </c>
      <c r="N478" s="8" t="s">
        <v>16</v>
      </c>
      <c r="O478" s="8" t="s">
        <v>17</v>
      </c>
      <c r="P478" s="8" t="s">
        <v>18</v>
      </c>
      <c r="Q478" s="8" t="s">
        <v>18</v>
      </c>
      <c r="R478" s="8" t="s">
        <v>2283</v>
      </c>
      <c r="S478" s="8" t="s">
        <v>2058</v>
      </c>
      <c r="T478" s="8" t="s">
        <v>2059</v>
      </c>
      <c r="U478" s="8" t="s">
        <v>2284</v>
      </c>
      <c r="V478" s="8" t="s">
        <v>558</v>
      </c>
      <c r="W478" s="8">
        <f>ROUNDUP(MONTH(V478)/3,0)</f>
        <v>3</v>
      </c>
      <c r="X478" s="8">
        <f>K478*L478*N478</f>
        <v>74400</v>
      </c>
    </row>
    <row r="479" spans="1:24" s="8" customFormat="1" ht="41.5" customHeight="1">
      <c r="A479" s="8" t="s">
        <v>2281</v>
      </c>
      <c r="B479" s="8" t="s">
        <v>2470</v>
      </c>
      <c r="C479" s="9">
        <v>45926.5704256713</v>
      </c>
      <c r="D479" s="8" t="s">
        <v>2056</v>
      </c>
      <c r="E479" s="8" t="s">
        <v>2057</v>
      </c>
      <c r="F479" s="8">
        <v>9</v>
      </c>
      <c r="G479" s="22" t="s">
        <v>566</v>
      </c>
      <c r="H479" s="8" t="s">
        <v>566</v>
      </c>
      <c r="I479" s="2" t="str">
        <f t="shared" si="14"/>
        <v>Ủng BHLĐ 287</v>
      </c>
      <c r="J479" s="8" t="s">
        <v>22</v>
      </c>
      <c r="K479" s="10">
        <v>15</v>
      </c>
      <c r="L479" s="10">
        <v>115000</v>
      </c>
      <c r="M479" s="11">
        <v>1725000</v>
      </c>
      <c r="N479" s="8" t="s">
        <v>16</v>
      </c>
      <c r="O479" s="8" t="s">
        <v>17</v>
      </c>
      <c r="P479" s="8" t="s">
        <v>18</v>
      </c>
      <c r="Q479" s="8" t="s">
        <v>18</v>
      </c>
      <c r="R479" s="8" t="s">
        <v>2283</v>
      </c>
      <c r="S479" s="8" t="s">
        <v>2058</v>
      </c>
      <c r="T479" s="8" t="s">
        <v>2059</v>
      </c>
      <c r="U479" s="8" t="s">
        <v>2284</v>
      </c>
      <c r="V479" s="8" t="s">
        <v>558</v>
      </c>
      <c r="W479" s="8">
        <f>ROUNDUP(MONTH(V479)/3,0)</f>
        <v>3</v>
      </c>
      <c r="X479" s="8">
        <f>K479*L479*N479</f>
        <v>138000</v>
      </c>
    </row>
    <row r="480" spans="1:24" s="8" customFormat="1" ht="41.5" customHeight="1">
      <c r="A480" s="8" t="s">
        <v>2281</v>
      </c>
      <c r="B480" s="8" t="s">
        <v>2470</v>
      </c>
      <c r="C480" s="9">
        <v>45926.5704256713</v>
      </c>
      <c r="D480" s="8" t="s">
        <v>2056</v>
      </c>
      <c r="E480" s="8" t="s">
        <v>2057</v>
      </c>
      <c r="F480" s="8">
        <v>10</v>
      </c>
      <c r="G480" s="22" t="s">
        <v>23</v>
      </c>
      <c r="H480" s="8" t="s">
        <v>23</v>
      </c>
      <c r="I480" s="2" t="str">
        <f t="shared" si="14"/>
        <v>Găng tay cao su s7n</v>
      </c>
      <c r="J480" s="8" t="s">
        <v>22</v>
      </c>
      <c r="K480" s="10">
        <v>50</v>
      </c>
      <c r="L480" s="10">
        <v>14300</v>
      </c>
      <c r="M480" s="11">
        <v>715000</v>
      </c>
      <c r="N480" s="8" t="s">
        <v>16</v>
      </c>
      <c r="O480" s="8" t="s">
        <v>17</v>
      </c>
      <c r="P480" s="8" t="s">
        <v>18</v>
      </c>
      <c r="Q480" s="8" t="s">
        <v>18</v>
      </c>
      <c r="R480" s="8" t="s">
        <v>2283</v>
      </c>
      <c r="S480" s="8" t="s">
        <v>2058</v>
      </c>
      <c r="T480" s="8" t="s">
        <v>2059</v>
      </c>
      <c r="U480" s="8" t="s">
        <v>2284</v>
      </c>
      <c r="V480" s="8" t="s">
        <v>558</v>
      </c>
      <c r="W480" s="8">
        <f>ROUNDUP(MONTH(V480)/3,0)</f>
        <v>3</v>
      </c>
      <c r="X480" s="8">
        <f>K480*L480*N480</f>
        <v>57200</v>
      </c>
    </row>
    <row r="481" spans="1:24" s="8" customFormat="1" ht="41.5" customHeight="1">
      <c r="A481" s="8" t="s">
        <v>2281</v>
      </c>
      <c r="B481" s="8" t="s">
        <v>2471</v>
      </c>
      <c r="C481" s="9">
        <v>45905.679067048601</v>
      </c>
      <c r="D481" s="8" t="s">
        <v>2056</v>
      </c>
      <c r="E481" s="8" t="s">
        <v>2057</v>
      </c>
      <c r="F481" s="8">
        <v>1</v>
      </c>
      <c r="G481" s="22" t="s">
        <v>24</v>
      </c>
      <c r="H481" s="8" t="s">
        <v>24</v>
      </c>
      <c r="I481" s="2" t="str">
        <f t="shared" si="14"/>
        <v>Găng tay sợi phủ lòng cao su</v>
      </c>
      <c r="J481" s="8" t="s">
        <v>22</v>
      </c>
      <c r="K481" s="10">
        <v>120</v>
      </c>
      <c r="L481" s="10">
        <v>3250</v>
      </c>
      <c r="M481" s="11">
        <v>390000</v>
      </c>
      <c r="N481" s="8" t="s">
        <v>16</v>
      </c>
      <c r="O481" s="8" t="s">
        <v>17</v>
      </c>
      <c r="P481" s="8" t="s">
        <v>18</v>
      </c>
      <c r="Q481" s="8" t="s">
        <v>18</v>
      </c>
      <c r="R481" s="8" t="s">
        <v>2283</v>
      </c>
      <c r="S481" s="8" t="s">
        <v>2058</v>
      </c>
      <c r="T481" s="8" t="s">
        <v>2059</v>
      </c>
      <c r="U481" s="8" t="s">
        <v>2284</v>
      </c>
      <c r="V481" s="8" t="s">
        <v>567</v>
      </c>
      <c r="W481" s="8">
        <f>ROUNDUP(MONTH(V481)/3,0)</f>
        <v>3</v>
      </c>
      <c r="X481" s="8">
        <f>K481*L481*N481</f>
        <v>31200</v>
      </c>
    </row>
    <row r="482" spans="1:24" s="8" customFormat="1" ht="41.5" customHeight="1">
      <c r="A482" s="8" t="s">
        <v>2281</v>
      </c>
      <c r="B482" s="8" t="s">
        <v>2471</v>
      </c>
      <c r="C482" s="9">
        <v>45905.679067048601</v>
      </c>
      <c r="D482" s="8" t="s">
        <v>2056</v>
      </c>
      <c r="E482" s="8" t="s">
        <v>2057</v>
      </c>
      <c r="F482" s="8">
        <v>2</v>
      </c>
      <c r="G482" s="22" t="s">
        <v>24</v>
      </c>
      <c r="H482" s="8" t="s">
        <v>559</v>
      </c>
      <c r="I482" s="2" t="str">
        <f t="shared" si="14"/>
        <v>Găng tay sợi phủ lòng cao su</v>
      </c>
      <c r="J482" s="8" t="s">
        <v>22</v>
      </c>
      <c r="K482" s="10">
        <v>2100</v>
      </c>
      <c r="L482" s="10">
        <v>2350</v>
      </c>
      <c r="M482" s="11">
        <v>4935000</v>
      </c>
      <c r="N482" s="8" t="s">
        <v>16</v>
      </c>
      <c r="O482" s="8" t="s">
        <v>17</v>
      </c>
      <c r="P482" s="8" t="s">
        <v>18</v>
      </c>
      <c r="Q482" s="8" t="s">
        <v>18</v>
      </c>
      <c r="R482" s="8" t="s">
        <v>2283</v>
      </c>
      <c r="S482" s="8" t="s">
        <v>2058</v>
      </c>
      <c r="T482" s="8" t="s">
        <v>2059</v>
      </c>
      <c r="U482" s="8" t="s">
        <v>2284</v>
      </c>
      <c r="V482" s="8" t="s">
        <v>567</v>
      </c>
      <c r="W482" s="8">
        <f t="shared" ref="W482:W545" si="15">ROUNDUP(MONTH(V482)/3,0)</f>
        <v>3</v>
      </c>
      <c r="X482" s="8">
        <f>K482*L482*N482</f>
        <v>394800</v>
      </c>
    </row>
    <row r="483" spans="1:24" s="8" customFormat="1" ht="41.5" customHeight="1">
      <c r="A483" s="8" t="s">
        <v>2281</v>
      </c>
      <c r="B483" s="8" t="s">
        <v>2471</v>
      </c>
      <c r="C483" s="9">
        <v>45905.679067048601</v>
      </c>
      <c r="D483" s="8" t="s">
        <v>2056</v>
      </c>
      <c r="E483" s="8" t="s">
        <v>2057</v>
      </c>
      <c r="F483" s="8">
        <v>3</v>
      </c>
      <c r="G483" s="22" t="s">
        <v>566</v>
      </c>
      <c r="H483" s="8" t="s">
        <v>566</v>
      </c>
      <c r="I483" s="2" t="str">
        <f t="shared" si="14"/>
        <v>Ủng BHLĐ 287</v>
      </c>
      <c r="J483" s="8" t="s">
        <v>22</v>
      </c>
      <c r="K483" s="10">
        <v>10</v>
      </c>
      <c r="L483" s="10">
        <v>109600</v>
      </c>
      <c r="M483" s="11">
        <v>1096000</v>
      </c>
      <c r="N483" s="8" t="s">
        <v>16</v>
      </c>
      <c r="O483" s="8" t="s">
        <v>17</v>
      </c>
      <c r="P483" s="8" t="s">
        <v>18</v>
      </c>
      <c r="Q483" s="8" t="s">
        <v>18</v>
      </c>
      <c r="R483" s="8" t="s">
        <v>2283</v>
      </c>
      <c r="S483" s="8" t="s">
        <v>2058</v>
      </c>
      <c r="T483" s="8" t="s">
        <v>2059</v>
      </c>
      <c r="U483" s="8" t="s">
        <v>2284</v>
      </c>
      <c r="V483" s="8" t="s">
        <v>567</v>
      </c>
      <c r="W483" s="8">
        <f t="shared" si="15"/>
        <v>3</v>
      </c>
      <c r="X483" s="8">
        <f>K483*L483*N483</f>
        <v>87680</v>
      </c>
    </row>
    <row r="484" spans="1:24" s="8" customFormat="1" ht="41.5" customHeight="1">
      <c r="A484" s="8" t="s">
        <v>2281</v>
      </c>
      <c r="B484" s="8" t="s">
        <v>2471</v>
      </c>
      <c r="C484" s="9">
        <v>45905.679067048601</v>
      </c>
      <c r="D484" s="8" t="s">
        <v>2056</v>
      </c>
      <c r="E484" s="8" t="s">
        <v>2057</v>
      </c>
      <c r="F484" s="8">
        <v>4</v>
      </c>
      <c r="G484" s="22" t="s">
        <v>1612</v>
      </c>
      <c r="H484" s="8" t="s">
        <v>568</v>
      </c>
      <c r="I484" s="2" t="str">
        <f t="shared" si="14"/>
        <v>Ủng BHLD 819</v>
      </c>
      <c r="J484" s="8" t="s">
        <v>22</v>
      </c>
      <c r="K484" s="10">
        <v>10</v>
      </c>
      <c r="L484" s="10">
        <v>87000</v>
      </c>
      <c r="M484" s="11">
        <v>870000</v>
      </c>
      <c r="N484" s="8" t="s">
        <v>16</v>
      </c>
      <c r="O484" s="8" t="s">
        <v>17</v>
      </c>
      <c r="P484" s="8" t="s">
        <v>18</v>
      </c>
      <c r="Q484" s="8" t="s">
        <v>18</v>
      </c>
      <c r="R484" s="8" t="s">
        <v>2283</v>
      </c>
      <c r="S484" s="8" t="s">
        <v>2058</v>
      </c>
      <c r="T484" s="8" t="s">
        <v>2059</v>
      </c>
      <c r="U484" s="8" t="s">
        <v>2284</v>
      </c>
      <c r="V484" s="8" t="s">
        <v>567</v>
      </c>
      <c r="W484" s="8">
        <f t="shared" si="15"/>
        <v>3</v>
      </c>
      <c r="X484" s="8">
        <f>K484*L484*N484</f>
        <v>69600</v>
      </c>
    </row>
    <row r="485" spans="1:24" s="8" customFormat="1" ht="41.5" customHeight="1">
      <c r="A485" s="8" t="s">
        <v>2281</v>
      </c>
      <c r="B485" s="8" t="s">
        <v>2471</v>
      </c>
      <c r="C485" s="9">
        <v>45905.679067048601</v>
      </c>
      <c r="D485" s="8" t="s">
        <v>2056</v>
      </c>
      <c r="E485" s="8" t="s">
        <v>2057</v>
      </c>
      <c r="F485" s="8">
        <v>5</v>
      </c>
      <c r="G485" s="22" t="s">
        <v>560</v>
      </c>
      <c r="H485" s="8" t="s">
        <v>560</v>
      </c>
      <c r="I485" s="2" t="str">
        <f t="shared" si="14"/>
        <v>Nón bảo hộ</v>
      </c>
      <c r="J485" s="8" t="s">
        <v>15</v>
      </c>
      <c r="K485" s="10">
        <v>10</v>
      </c>
      <c r="L485" s="10">
        <v>21000</v>
      </c>
      <c r="M485" s="11">
        <v>210000</v>
      </c>
      <c r="N485" s="8" t="s">
        <v>16</v>
      </c>
      <c r="O485" s="8" t="s">
        <v>17</v>
      </c>
      <c r="P485" s="8" t="s">
        <v>18</v>
      </c>
      <c r="Q485" s="8" t="s">
        <v>18</v>
      </c>
      <c r="R485" s="8" t="s">
        <v>2283</v>
      </c>
      <c r="S485" s="8" t="s">
        <v>2058</v>
      </c>
      <c r="T485" s="8" t="s">
        <v>2059</v>
      </c>
      <c r="U485" s="8" t="s">
        <v>2284</v>
      </c>
      <c r="V485" s="8" t="s">
        <v>567</v>
      </c>
      <c r="W485" s="8">
        <f t="shared" si="15"/>
        <v>3</v>
      </c>
      <c r="X485" s="8">
        <f>K485*L485*N485</f>
        <v>16800</v>
      </c>
    </row>
    <row r="486" spans="1:24" s="8" customFormat="1" ht="41.5" customHeight="1">
      <c r="A486" s="8" t="s">
        <v>2281</v>
      </c>
      <c r="B486" s="8" t="s">
        <v>2471</v>
      </c>
      <c r="C486" s="9">
        <v>45905.679067048601</v>
      </c>
      <c r="D486" s="8" t="s">
        <v>2056</v>
      </c>
      <c r="E486" s="8" t="s">
        <v>2057</v>
      </c>
      <c r="F486" s="8">
        <v>6</v>
      </c>
      <c r="G486" s="22" t="s">
        <v>1501</v>
      </c>
      <c r="H486" s="8" t="s">
        <v>569</v>
      </c>
      <c r="I486" s="2" t="str">
        <f t="shared" si="14"/>
        <v>Nón BHLD N30</v>
      </c>
      <c r="J486" s="8" t="s">
        <v>15</v>
      </c>
      <c r="K486" s="10">
        <v>10</v>
      </c>
      <c r="L486" s="10">
        <v>48000</v>
      </c>
      <c r="M486" s="11">
        <v>480000</v>
      </c>
      <c r="N486" s="8" t="s">
        <v>16</v>
      </c>
      <c r="O486" s="8" t="s">
        <v>17</v>
      </c>
      <c r="P486" s="8" t="s">
        <v>18</v>
      </c>
      <c r="Q486" s="8" t="s">
        <v>18</v>
      </c>
      <c r="R486" s="8" t="s">
        <v>2283</v>
      </c>
      <c r="S486" s="8" t="s">
        <v>2058</v>
      </c>
      <c r="T486" s="8" t="s">
        <v>2059</v>
      </c>
      <c r="U486" s="8" t="s">
        <v>2284</v>
      </c>
      <c r="V486" s="8" t="s">
        <v>567</v>
      </c>
      <c r="W486" s="8">
        <f t="shared" si="15"/>
        <v>3</v>
      </c>
      <c r="X486" s="8">
        <f>K486*L486*N486</f>
        <v>38400</v>
      </c>
    </row>
    <row r="487" spans="1:24" s="8" customFormat="1" ht="41.5" customHeight="1">
      <c r="A487" s="8" t="s">
        <v>2281</v>
      </c>
      <c r="B487" s="8" t="s">
        <v>2471</v>
      </c>
      <c r="C487" s="9">
        <v>45905.679067048601</v>
      </c>
      <c r="D487" s="8" t="s">
        <v>2056</v>
      </c>
      <c r="E487" s="8" t="s">
        <v>2057</v>
      </c>
      <c r="F487" s="8">
        <v>7</v>
      </c>
      <c r="G487" s="22" t="s">
        <v>1266</v>
      </c>
      <c r="H487" s="8" t="s">
        <v>249</v>
      </c>
      <c r="I487" s="2" t="str">
        <f t="shared" si="14"/>
        <v>Mũ BHLĐ C10</v>
      </c>
      <c r="J487" s="8" t="s">
        <v>15</v>
      </c>
      <c r="K487" s="10">
        <v>5</v>
      </c>
      <c r="L487" s="10">
        <v>110000</v>
      </c>
      <c r="M487" s="11">
        <v>550000</v>
      </c>
      <c r="N487" s="8" t="s">
        <v>16</v>
      </c>
      <c r="O487" s="8" t="s">
        <v>17</v>
      </c>
      <c r="P487" s="8" t="s">
        <v>18</v>
      </c>
      <c r="Q487" s="8" t="s">
        <v>18</v>
      </c>
      <c r="R487" s="8" t="s">
        <v>2283</v>
      </c>
      <c r="S487" s="8" t="s">
        <v>2058</v>
      </c>
      <c r="T487" s="8" t="s">
        <v>2059</v>
      </c>
      <c r="U487" s="8" t="s">
        <v>2284</v>
      </c>
      <c r="V487" s="8" t="s">
        <v>567</v>
      </c>
      <c r="W487" s="8">
        <f t="shared" si="15"/>
        <v>3</v>
      </c>
      <c r="X487" s="8">
        <f>K487*L487*N487</f>
        <v>44000</v>
      </c>
    </row>
    <row r="488" spans="1:24" s="8" customFormat="1" ht="41.5" customHeight="1">
      <c r="A488" s="8" t="s">
        <v>2281</v>
      </c>
      <c r="B488" s="8" t="s">
        <v>2471</v>
      </c>
      <c r="C488" s="9">
        <v>45905.679067048601</v>
      </c>
      <c r="D488" s="8" t="s">
        <v>2056</v>
      </c>
      <c r="E488" s="8" t="s">
        <v>2057</v>
      </c>
      <c r="F488" s="8">
        <v>8</v>
      </c>
      <c r="G488" s="22" t="s">
        <v>570</v>
      </c>
      <c r="H488" s="8" t="s">
        <v>570</v>
      </c>
      <c r="I488" s="2" t="str">
        <f t="shared" si="14"/>
        <v>Nón BHLĐ N20</v>
      </c>
      <c r="J488" s="8" t="s">
        <v>15</v>
      </c>
      <c r="K488" s="10">
        <v>5</v>
      </c>
      <c r="L488" s="10">
        <v>65000</v>
      </c>
      <c r="M488" s="11">
        <v>325000</v>
      </c>
      <c r="N488" s="8" t="s">
        <v>16</v>
      </c>
      <c r="O488" s="8" t="s">
        <v>17</v>
      </c>
      <c r="P488" s="8" t="s">
        <v>18</v>
      </c>
      <c r="Q488" s="8" t="s">
        <v>18</v>
      </c>
      <c r="R488" s="8" t="s">
        <v>2283</v>
      </c>
      <c r="S488" s="8" t="s">
        <v>2058</v>
      </c>
      <c r="T488" s="8" t="s">
        <v>2059</v>
      </c>
      <c r="U488" s="8" t="s">
        <v>2284</v>
      </c>
      <c r="V488" s="8" t="s">
        <v>567</v>
      </c>
      <c r="W488" s="8">
        <f t="shared" si="15"/>
        <v>3</v>
      </c>
      <c r="X488" s="8">
        <f>K488*L488*N488</f>
        <v>26000</v>
      </c>
    </row>
    <row r="489" spans="1:24" s="8" customFormat="1" ht="41.5" customHeight="1">
      <c r="A489" s="8" t="s">
        <v>2281</v>
      </c>
      <c r="B489" s="8" t="s">
        <v>2471</v>
      </c>
      <c r="C489" s="9">
        <v>45905.679067048601</v>
      </c>
      <c r="D489" s="8" t="s">
        <v>2056</v>
      </c>
      <c r="E489" s="8" t="s">
        <v>2057</v>
      </c>
      <c r="F489" s="8">
        <v>9</v>
      </c>
      <c r="G489" s="22" t="s">
        <v>23</v>
      </c>
      <c r="H489" s="8" t="s">
        <v>23</v>
      </c>
      <c r="I489" s="2" t="str">
        <f t="shared" si="14"/>
        <v>Găng tay cao su s7n</v>
      </c>
      <c r="J489" s="8" t="s">
        <v>22</v>
      </c>
      <c r="K489" s="10">
        <v>70</v>
      </c>
      <c r="L489" s="10">
        <v>14000</v>
      </c>
      <c r="M489" s="11">
        <v>980000</v>
      </c>
      <c r="N489" s="8" t="s">
        <v>16</v>
      </c>
      <c r="O489" s="8" t="s">
        <v>17</v>
      </c>
      <c r="P489" s="8" t="s">
        <v>18</v>
      </c>
      <c r="Q489" s="8" t="s">
        <v>18</v>
      </c>
      <c r="R489" s="8" t="s">
        <v>2283</v>
      </c>
      <c r="S489" s="8" t="s">
        <v>2058</v>
      </c>
      <c r="T489" s="8" t="s">
        <v>2059</v>
      </c>
      <c r="U489" s="8" t="s">
        <v>2284</v>
      </c>
      <c r="V489" s="8" t="s">
        <v>567</v>
      </c>
      <c r="W489" s="8">
        <f t="shared" si="15"/>
        <v>3</v>
      </c>
      <c r="X489" s="8">
        <f>K489*L489*N489</f>
        <v>78400</v>
      </c>
    </row>
    <row r="490" spans="1:24" s="8" customFormat="1" ht="41.5" customHeight="1">
      <c r="A490" s="8" t="s">
        <v>2281</v>
      </c>
      <c r="B490" s="8" t="s">
        <v>2471</v>
      </c>
      <c r="C490" s="9">
        <v>45905.679067048601</v>
      </c>
      <c r="D490" s="8" t="s">
        <v>2056</v>
      </c>
      <c r="E490" s="8" t="s">
        <v>2057</v>
      </c>
      <c r="F490" s="8">
        <v>10</v>
      </c>
      <c r="G490" s="22" t="s">
        <v>571</v>
      </c>
      <c r="H490" s="8" t="s">
        <v>571</v>
      </c>
      <c r="I490" s="2" t="str">
        <f t="shared" si="14"/>
        <v>Găng tay cao su 9</v>
      </c>
      <c r="J490" s="8" t="s">
        <v>22</v>
      </c>
      <c r="K490" s="10">
        <v>20</v>
      </c>
      <c r="L490" s="10">
        <v>17500</v>
      </c>
      <c r="M490" s="11">
        <v>350000</v>
      </c>
      <c r="N490" s="8" t="s">
        <v>16</v>
      </c>
      <c r="O490" s="8" t="s">
        <v>17</v>
      </c>
      <c r="P490" s="8" t="s">
        <v>18</v>
      </c>
      <c r="Q490" s="8" t="s">
        <v>18</v>
      </c>
      <c r="R490" s="8" t="s">
        <v>2283</v>
      </c>
      <c r="S490" s="8" t="s">
        <v>2058</v>
      </c>
      <c r="T490" s="8" t="s">
        <v>2059</v>
      </c>
      <c r="U490" s="8" t="s">
        <v>2284</v>
      </c>
      <c r="V490" s="8" t="s">
        <v>567</v>
      </c>
      <c r="W490" s="8">
        <f t="shared" si="15"/>
        <v>3</v>
      </c>
      <c r="X490" s="8">
        <f>K490*L490*N490</f>
        <v>28000</v>
      </c>
    </row>
    <row r="491" spans="1:24" s="8" customFormat="1" ht="41.5" customHeight="1">
      <c r="A491" s="8" t="s">
        <v>2281</v>
      </c>
      <c r="B491" s="8" t="s">
        <v>2471</v>
      </c>
      <c r="C491" s="9">
        <v>45905.679067048601</v>
      </c>
      <c r="D491" s="8" t="s">
        <v>2056</v>
      </c>
      <c r="E491" s="8" t="s">
        <v>2057</v>
      </c>
      <c r="F491" s="8">
        <v>11</v>
      </c>
      <c r="G491" s="22" t="s">
        <v>21</v>
      </c>
      <c r="H491" s="8" t="s">
        <v>21</v>
      </c>
      <c r="I491" s="2" t="str">
        <f t="shared" si="14"/>
        <v>Găng tay cao su s8</v>
      </c>
      <c r="J491" s="8" t="s">
        <v>22</v>
      </c>
      <c r="K491" s="10">
        <v>80</v>
      </c>
      <c r="L491" s="10">
        <v>14500</v>
      </c>
      <c r="M491" s="11">
        <v>1160000</v>
      </c>
      <c r="N491" s="8" t="s">
        <v>16</v>
      </c>
      <c r="O491" s="8" t="s">
        <v>17</v>
      </c>
      <c r="P491" s="8" t="s">
        <v>18</v>
      </c>
      <c r="Q491" s="8" t="s">
        <v>18</v>
      </c>
      <c r="R491" s="8" t="s">
        <v>2283</v>
      </c>
      <c r="S491" s="8" t="s">
        <v>2058</v>
      </c>
      <c r="T491" s="8" t="s">
        <v>2059</v>
      </c>
      <c r="U491" s="8" t="s">
        <v>2284</v>
      </c>
      <c r="V491" s="8" t="s">
        <v>567</v>
      </c>
      <c r="W491" s="8">
        <f t="shared" si="15"/>
        <v>3</v>
      </c>
      <c r="X491" s="8">
        <f>K491*L491*N491</f>
        <v>92800</v>
      </c>
    </row>
    <row r="492" spans="1:24" s="8" customFormat="1" ht="41.5" customHeight="1">
      <c r="A492" s="8" t="s">
        <v>2281</v>
      </c>
      <c r="B492" s="8" t="s">
        <v>2471</v>
      </c>
      <c r="C492" s="9">
        <v>45905.679067048601</v>
      </c>
      <c r="D492" s="8" t="s">
        <v>2056</v>
      </c>
      <c r="E492" s="8" t="s">
        <v>2057</v>
      </c>
      <c r="F492" s="8">
        <v>12</v>
      </c>
      <c r="G492" s="22" t="s">
        <v>250</v>
      </c>
      <c r="H492" s="8" t="s">
        <v>250</v>
      </c>
      <c r="I492" s="2" t="str">
        <f t="shared" si="14"/>
        <v>Mặt nạ hàn đội đầu 633P</v>
      </c>
      <c r="J492" s="8" t="s">
        <v>15</v>
      </c>
      <c r="K492" s="10">
        <v>15</v>
      </c>
      <c r="L492" s="10">
        <v>78000</v>
      </c>
      <c r="M492" s="11">
        <v>1170000</v>
      </c>
      <c r="N492" s="8" t="s">
        <v>16</v>
      </c>
      <c r="O492" s="8" t="s">
        <v>17</v>
      </c>
      <c r="P492" s="8" t="s">
        <v>18</v>
      </c>
      <c r="Q492" s="8" t="s">
        <v>18</v>
      </c>
      <c r="R492" s="8" t="s">
        <v>2283</v>
      </c>
      <c r="S492" s="8" t="s">
        <v>2058</v>
      </c>
      <c r="T492" s="8" t="s">
        <v>2059</v>
      </c>
      <c r="U492" s="8" t="s">
        <v>2284</v>
      </c>
      <c r="V492" s="8" t="s">
        <v>567</v>
      </c>
      <c r="W492" s="8">
        <f t="shared" si="15"/>
        <v>3</v>
      </c>
      <c r="X492" s="8">
        <f>K492*L492*N492</f>
        <v>93600</v>
      </c>
    </row>
    <row r="493" spans="1:24" s="8" customFormat="1" ht="41.5" customHeight="1">
      <c r="A493" s="8" t="s">
        <v>2286</v>
      </c>
      <c r="B493" s="8" t="s">
        <v>2472</v>
      </c>
      <c r="C493" s="9">
        <v>45922.633339386601</v>
      </c>
      <c r="D493" s="8" t="s">
        <v>2056</v>
      </c>
      <c r="E493" s="8" t="s">
        <v>2057</v>
      </c>
      <c r="F493" s="8">
        <v>1</v>
      </c>
      <c r="G493" s="22" t="s">
        <v>2256</v>
      </c>
      <c r="H493" s="8" t="s">
        <v>572</v>
      </c>
      <c r="I493" s="2" t="str">
        <f t="shared" si="14"/>
        <v>GARDEX bóng mở BASE C 2.25L</v>
      </c>
      <c r="J493" s="8" t="s">
        <v>56</v>
      </c>
      <c r="K493" s="10">
        <v>8</v>
      </c>
      <c r="L493" s="10">
        <v>474074.07</v>
      </c>
      <c r="M493" s="11">
        <v>3792592.56</v>
      </c>
      <c r="N493" s="8" t="s">
        <v>16</v>
      </c>
      <c r="O493" s="8" t="s">
        <v>17</v>
      </c>
      <c r="P493" s="8" t="s">
        <v>18</v>
      </c>
      <c r="Q493" s="8" t="s">
        <v>18</v>
      </c>
      <c r="R493" s="8" t="s">
        <v>2110</v>
      </c>
      <c r="S493" s="8" t="s">
        <v>2120</v>
      </c>
      <c r="T493" s="8" t="s">
        <v>2121</v>
      </c>
      <c r="U493" s="8" t="s">
        <v>2122</v>
      </c>
      <c r="V493" s="8" t="s">
        <v>573</v>
      </c>
      <c r="W493" s="8">
        <f t="shared" si="15"/>
        <v>3</v>
      </c>
      <c r="X493" s="8">
        <f>K493*L493*N493</f>
        <v>303407.40480000002</v>
      </c>
    </row>
    <row r="494" spans="1:24" s="8" customFormat="1" ht="41.5" customHeight="1">
      <c r="A494" s="8" t="s">
        <v>2280</v>
      </c>
      <c r="B494" s="8" t="s">
        <v>2473</v>
      </c>
      <c r="C494" s="9">
        <v>45913.575639039402</v>
      </c>
      <c r="D494" s="8" t="s">
        <v>2056</v>
      </c>
      <c r="E494" s="8" t="s">
        <v>2057</v>
      </c>
      <c r="F494" s="8">
        <v>1</v>
      </c>
      <c r="G494" s="27" t="s">
        <v>397</v>
      </c>
      <c r="H494" s="8" t="s">
        <v>397</v>
      </c>
      <c r="I494" s="2" t="str">
        <f t="shared" si="14"/>
        <v>Phụ gia bê tông chống thấm Sika Latex TH 5L</v>
      </c>
      <c r="J494" s="8" t="s">
        <v>45</v>
      </c>
      <c r="K494" s="10">
        <v>10</v>
      </c>
      <c r="L494" s="10">
        <v>48148.15</v>
      </c>
      <c r="M494" s="11">
        <v>481481.5</v>
      </c>
      <c r="N494" s="8" t="s">
        <v>16</v>
      </c>
      <c r="O494" s="8" t="s">
        <v>17</v>
      </c>
      <c r="P494" s="8" t="s">
        <v>18</v>
      </c>
      <c r="Q494" s="8" t="s">
        <v>18</v>
      </c>
      <c r="R494" s="8" t="s">
        <v>2110</v>
      </c>
      <c r="S494" s="8" t="s">
        <v>2123</v>
      </c>
      <c r="T494" s="8" t="s">
        <v>2124</v>
      </c>
      <c r="U494" s="8" t="s">
        <v>2125</v>
      </c>
      <c r="V494" s="8" t="s">
        <v>574</v>
      </c>
      <c r="W494" s="8">
        <f t="shared" si="15"/>
        <v>3</v>
      </c>
      <c r="X494" s="8">
        <f>K494*L494*N494</f>
        <v>38518.520000000004</v>
      </c>
    </row>
    <row r="495" spans="1:24" s="8" customFormat="1" ht="41.5" customHeight="1">
      <c r="A495" s="8" t="s">
        <v>2280</v>
      </c>
      <c r="B495" s="8" t="s">
        <v>2474</v>
      </c>
      <c r="C495" s="9">
        <v>45912.444002280099</v>
      </c>
      <c r="D495" s="8" t="s">
        <v>2056</v>
      </c>
      <c r="E495" s="8" t="s">
        <v>2057</v>
      </c>
      <c r="F495" s="8">
        <v>1</v>
      </c>
      <c r="G495" s="22" t="s">
        <v>1334</v>
      </c>
      <c r="H495" s="8" t="s">
        <v>575</v>
      </c>
      <c r="I495" s="2" t="str">
        <f t="shared" si="14"/>
        <v>Ma tít gắn thép dùng để khoan cấy PE-600EC</v>
      </c>
      <c r="J495" s="8" t="s">
        <v>576</v>
      </c>
      <c r="K495" s="10">
        <v>5</v>
      </c>
      <c r="L495" s="10">
        <v>416666.67</v>
      </c>
      <c r="M495" s="11">
        <v>2083333.35</v>
      </c>
      <c r="N495" s="8" t="s">
        <v>16</v>
      </c>
      <c r="O495" s="8" t="s">
        <v>17</v>
      </c>
      <c r="P495" s="8" t="s">
        <v>18</v>
      </c>
      <c r="Q495" s="8" t="s">
        <v>18</v>
      </c>
      <c r="R495" s="8" t="s">
        <v>2110</v>
      </c>
      <c r="S495" s="8" t="s">
        <v>2123</v>
      </c>
      <c r="T495" s="8" t="s">
        <v>2124</v>
      </c>
      <c r="U495" s="8" t="s">
        <v>2125</v>
      </c>
      <c r="V495" s="8" t="s">
        <v>577</v>
      </c>
      <c r="W495" s="8">
        <f t="shared" si="15"/>
        <v>3</v>
      </c>
      <c r="X495" s="8">
        <f>K495*L495*N495</f>
        <v>166666.66800000001</v>
      </c>
    </row>
    <row r="496" spans="1:24" s="13" customFormat="1" ht="41.5" customHeight="1">
      <c r="A496" s="8" t="s">
        <v>2281</v>
      </c>
      <c r="B496" s="13" t="s">
        <v>2475</v>
      </c>
      <c r="C496" s="14">
        <v>45923.443660902798</v>
      </c>
      <c r="D496" s="13" t="s">
        <v>2056</v>
      </c>
      <c r="E496" s="13" t="s">
        <v>2057</v>
      </c>
      <c r="F496" s="13">
        <v>1</v>
      </c>
      <c r="G496" s="28" t="s">
        <v>1363</v>
      </c>
      <c r="H496" s="13" t="s">
        <v>132</v>
      </c>
      <c r="I496" s="2" t="str">
        <f t="shared" si="14"/>
        <v>Tôn màu</v>
      </c>
      <c r="J496" s="13" t="s">
        <v>106</v>
      </c>
      <c r="K496" s="15">
        <v>1851.3</v>
      </c>
      <c r="L496" s="15">
        <v>73500</v>
      </c>
      <c r="M496" s="16">
        <v>136070550</v>
      </c>
      <c r="N496" s="13" t="s">
        <v>30</v>
      </c>
      <c r="O496" s="13" t="s">
        <v>17</v>
      </c>
      <c r="P496" s="13" t="s">
        <v>18</v>
      </c>
      <c r="Q496" s="13" t="s">
        <v>18</v>
      </c>
      <c r="R496" s="13" t="s">
        <v>2115</v>
      </c>
      <c r="S496" s="13" t="s">
        <v>2126</v>
      </c>
      <c r="T496" s="13" t="s">
        <v>2127</v>
      </c>
      <c r="U496" s="13" t="s">
        <v>2128</v>
      </c>
      <c r="V496" s="13" t="s">
        <v>578</v>
      </c>
      <c r="W496" s="13">
        <f t="shared" si="15"/>
        <v>3</v>
      </c>
      <c r="X496" s="8">
        <f>K496*L496*N496</f>
        <v>13607055</v>
      </c>
    </row>
    <row r="497" spans="1:24" s="8" customFormat="1" ht="41.5" customHeight="1">
      <c r="A497" s="8" t="s">
        <v>2281</v>
      </c>
      <c r="B497" s="8" t="s">
        <v>2475</v>
      </c>
      <c r="C497" s="9">
        <v>45923.443660902798</v>
      </c>
      <c r="D497" s="8" t="s">
        <v>2056</v>
      </c>
      <c r="E497" s="8" t="s">
        <v>2057</v>
      </c>
      <c r="F497" s="8">
        <v>2</v>
      </c>
      <c r="G497" s="27" t="s">
        <v>2140</v>
      </c>
      <c r="H497" s="8" t="s">
        <v>267</v>
      </c>
      <c r="I497" s="2" t="str">
        <f t="shared" si="14"/>
        <v>Thép ống hộp</v>
      </c>
      <c r="J497" s="8" t="s">
        <v>35</v>
      </c>
      <c r="K497" s="10">
        <v>12938.13</v>
      </c>
      <c r="L497" s="10">
        <v>17000</v>
      </c>
      <c r="M497" s="11">
        <v>219948210</v>
      </c>
      <c r="N497" s="8" t="s">
        <v>30</v>
      </c>
      <c r="O497" s="8" t="s">
        <v>17</v>
      </c>
      <c r="P497" s="8" t="s">
        <v>18</v>
      </c>
      <c r="Q497" s="8" t="s">
        <v>18</v>
      </c>
      <c r="R497" s="8" t="s">
        <v>2115</v>
      </c>
      <c r="S497" s="8" t="s">
        <v>2126</v>
      </c>
      <c r="T497" s="8" t="s">
        <v>2127</v>
      </c>
      <c r="U497" s="8" t="s">
        <v>2128</v>
      </c>
      <c r="V497" s="8" t="s">
        <v>578</v>
      </c>
      <c r="W497" s="8">
        <f t="shared" si="15"/>
        <v>3</v>
      </c>
      <c r="X497" s="8">
        <f>K497*L497*N497</f>
        <v>21994821</v>
      </c>
    </row>
    <row r="498" spans="1:24" s="8" customFormat="1" ht="41.5" customHeight="1">
      <c r="A498" s="8" t="s">
        <v>2281</v>
      </c>
      <c r="B498" s="8" t="s">
        <v>2475</v>
      </c>
      <c r="C498" s="9">
        <v>45923.443660902798</v>
      </c>
      <c r="D498" s="8" t="s">
        <v>2056</v>
      </c>
      <c r="E498" s="8" t="s">
        <v>2057</v>
      </c>
      <c r="F498" s="8">
        <v>3</v>
      </c>
      <c r="G498" s="27" t="s">
        <v>2140</v>
      </c>
      <c r="H498" s="8" t="s">
        <v>268</v>
      </c>
      <c r="I498" s="2" t="str">
        <f t="shared" si="14"/>
        <v>Thép ống hộp</v>
      </c>
      <c r="J498" s="8" t="s">
        <v>35</v>
      </c>
      <c r="K498" s="10">
        <v>1067.01</v>
      </c>
      <c r="L498" s="10">
        <v>17000</v>
      </c>
      <c r="M498" s="11">
        <v>18139170</v>
      </c>
      <c r="N498" s="8" t="s">
        <v>30</v>
      </c>
      <c r="O498" s="8" t="s">
        <v>17</v>
      </c>
      <c r="P498" s="8" t="s">
        <v>18</v>
      </c>
      <c r="Q498" s="8" t="s">
        <v>18</v>
      </c>
      <c r="R498" s="8" t="s">
        <v>2115</v>
      </c>
      <c r="S498" s="8" t="s">
        <v>2126</v>
      </c>
      <c r="T498" s="8" t="s">
        <v>2127</v>
      </c>
      <c r="U498" s="8" t="s">
        <v>2128</v>
      </c>
      <c r="V498" s="8" t="s">
        <v>578</v>
      </c>
      <c r="W498" s="8">
        <f t="shared" si="15"/>
        <v>3</v>
      </c>
      <c r="X498" s="8">
        <f>K498*L498*N498</f>
        <v>1813917</v>
      </c>
    </row>
    <row r="499" spans="1:24" s="8" customFormat="1" ht="41.5" customHeight="1">
      <c r="A499" s="8" t="s">
        <v>2302</v>
      </c>
      <c r="B499" s="8" t="s">
        <v>2476</v>
      </c>
      <c r="C499" s="9">
        <v>45930.697897094899</v>
      </c>
      <c r="D499" s="8" t="s">
        <v>2056</v>
      </c>
      <c r="E499" s="8" t="s">
        <v>2057</v>
      </c>
      <c r="F499" s="8">
        <v>1</v>
      </c>
      <c r="G499" s="22" t="s">
        <v>1346</v>
      </c>
      <c r="H499" s="8" t="s">
        <v>70</v>
      </c>
      <c r="I499" s="2" t="str">
        <f t="shared" si="14"/>
        <v>Tôn xốp</v>
      </c>
      <c r="J499" s="8" t="s">
        <v>71</v>
      </c>
      <c r="K499" s="10">
        <v>26</v>
      </c>
      <c r="L499" s="10">
        <v>142000</v>
      </c>
      <c r="M499" s="11">
        <v>3692000</v>
      </c>
      <c r="N499" s="8" t="s">
        <v>30</v>
      </c>
      <c r="O499" s="8" t="s">
        <v>17</v>
      </c>
      <c r="P499" s="8" t="s">
        <v>18</v>
      </c>
      <c r="Q499" s="8" t="s">
        <v>18</v>
      </c>
      <c r="R499" s="8" t="s">
        <v>2115</v>
      </c>
      <c r="S499" s="8" t="s">
        <v>2137</v>
      </c>
      <c r="T499" s="8" t="s">
        <v>2138</v>
      </c>
      <c r="U499" s="8" t="s">
        <v>2139</v>
      </c>
      <c r="V499" s="8" t="s">
        <v>579</v>
      </c>
      <c r="W499" s="8">
        <f t="shared" si="15"/>
        <v>3</v>
      </c>
      <c r="X499" s="8">
        <f>K499*L499*N499</f>
        <v>369200</v>
      </c>
    </row>
    <row r="500" spans="1:24" s="8" customFormat="1" ht="41.5" customHeight="1">
      <c r="A500" s="8" t="s">
        <v>2302</v>
      </c>
      <c r="B500" s="8" t="s">
        <v>2476</v>
      </c>
      <c r="C500" s="9">
        <v>45930.697897094899</v>
      </c>
      <c r="D500" s="8" t="s">
        <v>2056</v>
      </c>
      <c r="E500" s="8" t="s">
        <v>2057</v>
      </c>
      <c r="F500" s="8">
        <v>2</v>
      </c>
      <c r="G500" s="27" t="s">
        <v>2140</v>
      </c>
      <c r="H500" s="8" t="s">
        <v>580</v>
      </c>
      <c r="I500" s="2" t="str">
        <f t="shared" si="14"/>
        <v>Thép ống hộp</v>
      </c>
      <c r="J500" s="8" t="s">
        <v>62</v>
      </c>
      <c r="K500" s="10">
        <v>64.88</v>
      </c>
      <c r="L500" s="10">
        <v>17545.45</v>
      </c>
      <c r="M500" s="11">
        <v>1138349</v>
      </c>
      <c r="N500" s="8" t="s">
        <v>30</v>
      </c>
      <c r="O500" s="8" t="s">
        <v>17</v>
      </c>
      <c r="P500" s="8" t="s">
        <v>18</v>
      </c>
      <c r="Q500" s="8" t="s">
        <v>18</v>
      </c>
      <c r="R500" s="8" t="s">
        <v>2115</v>
      </c>
      <c r="S500" s="8" t="s">
        <v>2137</v>
      </c>
      <c r="T500" s="8" t="s">
        <v>2138</v>
      </c>
      <c r="U500" s="8" t="s">
        <v>2139</v>
      </c>
      <c r="V500" s="8" t="s">
        <v>579</v>
      </c>
      <c r="W500" s="8">
        <f t="shared" si="15"/>
        <v>3</v>
      </c>
      <c r="X500" s="8">
        <f>K500*L500*N500</f>
        <v>113834.87959999999</v>
      </c>
    </row>
    <row r="501" spans="1:24" s="8" customFormat="1" ht="41.5" customHeight="1">
      <c r="A501" s="8" t="s">
        <v>2302</v>
      </c>
      <c r="B501" s="8" t="s">
        <v>2476</v>
      </c>
      <c r="C501" s="9">
        <v>45930.697897094899</v>
      </c>
      <c r="D501" s="8" t="s">
        <v>2056</v>
      </c>
      <c r="E501" s="8" t="s">
        <v>2057</v>
      </c>
      <c r="F501" s="8">
        <v>3</v>
      </c>
      <c r="G501" s="27" t="s">
        <v>2140</v>
      </c>
      <c r="H501" s="8" t="s">
        <v>68</v>
      </c>
      <c r="I501" s="2" t="str">
        <f t="shared" si="14"/>
        <v>Thép ống hộp</v>
      </c>
      <c r="J501" s="8" t="s">
        <v>62</v>
      </c>
      <c r="K501" s="10">
        <v>400.05</v>
      </c>
      <c r="L501" s="10">
        <v>17545.45</v>
      </c>
      <c r="M501" s="11">
        <v>7019057</v>
      </c>
      <c r="N501" s="8" t="s">
        <v>30</v>
      </c>
      <c r="O501" s="8" t="s">
        <v>17</v>
      </c>
      <c r="P501" s="8" t="s">
        <v>18</v>
      </c>
      <c r="Q501" s="8" t="s">
        <v>18</v>
      </c>
      <c r="R501" s="8" t="s">
        <v>2115</v>
      </c>
      <c r="S501" s="8" t="s">
        <v>2137</v>
      </c>
      <c r="T501" s="8" t="s">
        <v>2138</v>
      </c>
      <c r="U501" s="8" t="s">
        <v>2139</v>
      </c>
      <c r="V501" s="8" t="s">
        <v>579</v>
      </c>
      <c r="W501" s="8">
        <f t="shared" si="15"/>
        <v>3</v>
      </c>
      <c r="X501" s="8">
        <f>K501*L501*N501</f>
        <v>701905.72725000011</v>
      </c>
    </row>
    <row r="502" spans="1:24" s="8" customFormat="1" ht="41.5" customHeight="1">
      <c r="A502" s="8" t="s">
        <v>2302</v>
      </c>
      <c r="B502" s="8" t="s">
        <v>2476</v>
      </c>
      <c r="C502" s="9">
        <v>45930.697897094899</v>
      </c>
      <c r="D502" s="8" t="s">
        <v>2056</v>
      </c>
      <c r="E502" s="8" t="s">
        <v>2057</v>
      </c>
      <c r="F502" s="8">
        <v>4</v>
      </c>
      <c r="G502" s="27" t="s">
        <v>2140</v>
      </c>
      <c r="H502" s="8" t="s">
        <v>75</v>
      </c>
      <c r="I502" s="2" t="str">
        <f t="shared" si="14"/>
        <v>Thép ống hộp</v>
      </c>
      <c r="J502" s="8" t="s">
        <v>62</v>
      </c>
      <c r="K502" s="10">
        <v>425.25</v>
      </c>
      <c r="L502" s="10">
        <v>17545.45</v>
      </c>
      <c r="M502" s="11">
        <v>7461203</v>
      </c>
      <c r="N502" s="8" t="s">
        <v>30</v>
      </c>
      <c r="O502" s="8" t="s">
        <v>17</v>
      </c>
      <c r="P502" s="8" t="s">
        <v>18</v>
      </c>
      <c r="Q502" s="8" t="s">
        <v>18</v>
      </c>
      <c r="R502" s="8" t="s">
        <v>2115</v>
      </c>
      <c r="S502" s="8" t="s">
        <v>2137</v>
      </c>
      <c r="T502" s="8" t="s">
        <v>2138</v>
      </c>
      <c r="U502" s="8" t="s">
        <v>2139</v>
      </c>
      <c r="V502" s="8" t="s">
        <v>579</v>
      </c>
      <c r="W502" s="8">
        <f t="shared" si="15"/>
        <v>3</v>
      </c>
      <c r="X502" s="8">
        <f>K502*L502*N502</f>
        <v>746120.2612500001</v>
      </c>
    </row>
    <row r="503" spans="1:24" s="8" customFormat="1" ht="41.5" customHeight="1">
      <c r="A503" s="8" t="s">
        <v>2302</v>
      </c>
      <c r="B503" s="8" t="s">
        <v>2476</v>
      </c>
      <c r="C503" s="9">
        <v>45930.697897094899</v>
      </c>
      <c r="D503" s="8" t="s">
        <v>2056</v>
      </c>
      <c r="E503" s="8" t="s">
        <v>2057</v>
      </c>
      <c r="F503" s="8">
        <v>5</v>
      </c>
      <c r="G503" s="27" t="s">
        <v>2140</v>
      </c>
      <c r="H503" s="8" t="s">
        <v>274</v>
      </c>
      <c r="I503" s="2" t="str">
        <f t="shared" si="14"/>
        <v>Thép ống hộp</v>
      </c>
      <c r="J503" s="8" t="s">
        <v>62</v>
      </c>
      <c r="K503" s="10">
        <v>369.46</v>
      </c>
      <c r="L503" s="10">
        <v>17545.45</v>
      </c>
      <c r="M503" s="11">
        <v>6482342</v>
      </c>
      <c r="N503" s="8" t="s">
        <v>30</v>
      </c>
      <c r="O503" s="8" t="s">
        <v>17</v>
      </c>
      <c r="P503" s="8" t="s">
        <v>18</v>
      </c>
      <c r="Q503" s="8" t="s">
        <v>18</v>
      </c>
      <c r="R503" s="8" t="s">
        <v>2115</v>
      </c>
      <c r="S503" s="8" t="s">
        <v>2137</v>
      </c>
      <c r="T503" s="8" t="s">
        <v>2138</v>
      </c>
      <c r="U503" s="8" t="s">
        <v>2139</v>
      </c>
      <c r="V503" s="8" t="s">
        <v>579</v>
      </c>
      <c r="W503" s="8">
        <f t="shared" si="15"/>
        <v>3</v>
      </c>
      <c r="X503" s="8">
        <f>K503*L503*N503</f>
        <v>648234.19570000004</v>
      </c>
    </row>
    <row r="504" spans="1:24" s="8" customFormat="1" ht="41.5" customHeight="1">
      <c r="A504" s="8" t="s">
        <v>2302</v>
      </c>
      <c r="B504" s="8" t="s">
        <v>2476</v>
      </c>
      <c r="C504" s="9">
        <v>45930.697897094899</v>
      </c>
      <c r="D504" s="8" t="s">
        <v>2056</v>
      </c>
      <c r="E504" s="8" t="s">
        <v>2057</v>
      </c>
      <c r="F504" s="8">
        <v>6</v>
      </c>
      <c r="G504" s="27" t="s">
        <v>2140</v>
      </c>
      <c r="H504" s="8" t="s">
        <v>76</v>
      </c>
      <c r="I504" s="2" t="str">
        <f t="shared" si="14"/>
        <v>Thép ống hộp</v>
      </c>
      <c r="J504" s="8" t="s">
        <v>62</v>
      </c>
      <c r="K504" s="10">
        <v>98.8</v>
      </c>
      <c r="L504" s="10">
        <v>17636.36</v>
      </c>
      <c r="M504" s="11">
        <v>1742472</v>
      </c>
      <c r="N504" s="8" t="s">
        <v>30</v>
      </c>
      <c r="O504" s="8" t="s">
        <v>17</v>
      </c>
      <c r="P504" s="8" t="s">
        <v>18</v>
      </c>
      <c r="Q504" s="8" t="s">
        <v>18</v>
      </c>
      <c r="R504" s="8" t="s">
        <v>2115</v>
      </c>
      <c r="S504" s="8" t="s">
        <v>2137</v>
      </c>
      <c r="T504" s="8" t="s">
        <v>2138</v>
      </c>
      <c r="U504" s="8" t="s">
        <v>2139</v>
      </c>
      <c r="V504" s="8" t="s">
        <v>579</v>
      </c>
      <c r="W504" s="8">
        <f t="shared" si="15"/>
        <v>3</v>
      </c>
      <c r="X504" s="8">
        <f>K504*L504*N504</f>
        <v>174247.23680000001</v>
      </c>
    </row>
    <row r="505" spans="1:24" s="8" customFormat="1" ht="41.5" customHeight="1">
      <c r="A505" s="8" t="s">
        <v>2302</v>
      </c>
      <c r="B505" s="8" t="s">
        <v>2476</v>
      </c>
      <c r="C505" s="9">
        <v>45930.697897094899</v>
      </c>
      <c r="D505" s="8" t="s">
        <v>2056</v>
      </c>
      <c r="E505" s="8" t="s">
        <v>2057</v>
      </c>
      <c r="F505" s="8">
        <v>7</v>
      </c>
      <c r="G505" s="27" t="s">
        <v>2140</v>
      </c>
      <c r="H505" s="8" t="s">
        <v>417</v>
      </c>
      <c r="I505" s="2" t="str">
        <f t="shared" si="14"/>
        <v>Thép ống hộp</v>
      </c>
      <c r="J505" s="8" t="s">
        <v>62</v>
      </c>
      <c r="K505" s="10">
        <v>26.8</v>
      </c>
      <c r="L505" s="10">
        <v>24727.27</v>
      </c>
      <c r="M505" s="11">
        <v>662691</v>
      </c>
      <c r="N505" s="8" t="s">
        <v>30</v>
      </c>
      <c r="O505" s="8" t="s">
        <v>17</v>
      </c>
      <c r="P505" s="8" t="s">
        <v>18</v>
      </c>
      <c r="Q505" s="8" t="s">
        <v>18</v>
      </c>
      <c r="R505" s="8" t="s">
        <v>2115</v>
      </c>
      <c r="S505" s="8" t="s">
        <v>2137</v>
      </c>
      <c r="T505" s="8" t="s">
        <v>2138</v>
      </c>
      <c r="U505" s="8" t="s">
        <v>2139</v>
      </c>
      <c r="V505" s="8" t="s">
        <v>579</v>
      </c>
      <c r="W505" s="8">
        <f t="shared" si="15"/>
        <v>3</v>
      </c>
      <c r="X505" s="8">
        <f>K505*L505*N505</f>
        <v>66269.083599999998</v>
      </c>
    </row>
    <row r="506" spans="1:24" s="8" customFormat="1" ht="41.5" customHeight="1">
      <c r="A506" s="8" t="s">
        <v>2302</v>
      </c>
      <c r="B506" s="8" t="s">
        <v>2477</v>
      </c>
      <c r="C506" s="9">
        <v>45924.632173368103</v>
      </c>
      <c r="D506" s="8" t="s">
        <v>2056</v>
      </c>
      <c r="E506" s="8" t="s">
        <v>2057</v>
      </c>
      <c r="F506" s="8">
        <v>1</v>
      </c>
      <c r="G506" s="27" t="s">
        <v>2140</v>
      </c>
      <c r="H506" s="8" t="s">
        <v>424</v>
      </c>
      <c r="I506" s="2" t="str">
        <f t="shared" si="14"/>
        <v>Thép ống hộp</v>
      </c>
      <c r="J506" s="8" t="s">
        <v>62</v>
      </c>
      <c r="K506" s="10">
        <v>196.1</v>
      </c>
      <c r="L506" s="10">
        <v>17545.45</v>
      </c>
      <c r="M506" s="11">
        <v>3440663</v>
      </c>
      <c r="N506" s="8" t="s">
        <v>30</v>
      </c>
      <c r="O506" s="8" t="s">
        <v>17</v>
      </c>
      <c r="P506" s="8" t="s">
        <v>18</v>
      </c>
      <c r="Q506" s="8" t="s">
        <v>18</v>
      </c>
      <c r="R506" s="8" t="s">
        <v>2115</v>
      </c>
      <c r="S506" s="8" t="s">
        <v>2137</v>
      </c>
      <c r="T506" s="8" t="s">
        <v>2138</v>
      </c>
      <c r="U506" s="8" t="s">
        <v>2139</v>
      </c>
      <c r="V506" s="8" t="s">
        <v>581</v>
      </c>
      <c r="W506" s="8">
        <f t="shared" si="15"/>
        <v>3</v>
      </c>
      <c r="X506" s="8">
        <f>K506*L506*N506</f>
        <v>344066.27450000006</v>
      </c>
    </row>
    <row r="507" spans="1:24" s="8" customFormat="1" ht="41.5" customHeight="1">
      <c r="A507" s="8" t="s">
        <v>2302</v>
      </c>
      <c r="B507" s="8" t="s">
        <v>2477</v>
      </c>
      <c r="C507" s="9">
        <v>45924.632173368103</v>
      </c>
      <c r="D507" s="8" t="s">
        <v>2056</v>
      </c>
      <c r="E507" s="8" t="s">
        <v>2057</v>
      </c>
      <c r="F507" s="8">
        <v>2</v>
      </c>
      <c r="G507" s="22" t="s">
        <v>582</v>
      </c>
      <c r="H507" s="8" t="s">
        <v>582</v>
      </c>
      <c r="I507" s="2" t="str">
        <f t="shared" si="14"/>
        <v>Thép vuông 12</v>
      </c>
      <c r="J507" s="8" t="s">
        <v>62</v>
      </c>
      <c r="K507" s="10">
        <v>101</v>
      </c>
      <c r="L507" s="10">
        <v>15363.64</v>
      </c>
      <c r="M507" s="11">
        <v>1551728</v>
      </c>
      <c r="N507" s="8" t="s">
        <v>30</v>
      </c>
      <c r="O507" s="8" t="s">
        <v>17</v>
      </c>
      <c r="P507" s="8" t="s">
        <v>18</v>
      </c>
      <c r="Q507" s="8" t="s">
        <v>18</v>
      </c>
      <c r="R507" s="8" t="s">
        <v>2115</v>
      </c>
      <c r="S507" s="8" t="s">
        <v>2137</v>
      </c>
      <c r="T507" s="8" t="s">
        <v>2138</v>
      </c>
      <c r="U507" s="8" t="s">
        <v>2139</v>
      </c>
      <c r="V507" s="8" t="s">
        <v>581</v>
      </c>
      <c r="W507" s="8">
        <f t="shared" si="15"/>
        <v>3</v>
      </c>
      <c r="X507" s="8">
        <f>K507*L507*N507</f>
        <v>155172.764</v>
      </c>
    </row>
    <row r="508" spans="1:24" s="8" customFormat="1" ht="41.5" customHeight="1">
      <c r="A508" s="8" t="s">
        <v>2302</v>
      </c>
      <c r="B508" s="8" t="s">
        <v>2477</v>
      </c>
      <c r="C508" s="9">
        <v>45924.632173368103</v>
      </c>
      <c r="D508" s="8" t="s">
        <v>2056</v>
      </c>
      <c r="E508" s="8" t="s">
        <v>2057</v>
      </c>
      <c r="F508" s="8">
        <v>3</v>
      </c>
      <c r="G508" s="27" t="s">
        <v>2140</v>
      </c>
      <c r="H508" s="8" t="s">
        <v>68</v>
      </c>
      <c r="I508" s="2" t="str">
        <f t="shared" si="14"/>
        <v>Thép ống hộp</v>
      </c>
      <c r="J508" s="8" t="s">
        <v>62</v>
      </c>
      <c r="K508" s="10">
        <v>274.32</v>
      </c>
      <c r="L508" s="10">
        <v>19090.91</v>
      </c>
      <c r="M508" s="11">
        <v>5237018</v>
      </c>
      <c r="N508" s="8" t="s">
        <v>30</v>
      </c>
      <c r="O508" s="8" t="s">
        <v>17</v>
      </c>
      <c r="P508" s="8" t="s">
        <v>18</v>
      </c>
      <c r="Q508" s="8" t="s">
        <v>18</v>
      </c>
      <c r="R508" s="8" t="s">
        <v>2115</v>
      </c>
      <c r="S508" s="8" t="s">
        <v>2137</v>
      </c>
      <c r="T508" s="8" t="s">
        <v>2138</v>
      </c>
      <c r="U508" s="8" t="s">
        <v>2139</v>
      </c>
      <c r="V508" s="8" t="s">
        <v>581</v>
      </c>
      <c r="W508" s="8">
        <f t="shared" si="15"/>
        <v>3</v>
      </c>
      <c r="X508" s="8">
        <f>K508*L508*N508</f>
        <v>523701.84311999998</v>
      </c>
    </row>
    <row r="509" spans="1:24" s="8" customFormat="1" ht="41.5" customHeight="1">
      <c r="A509" s="8" t="s">
        <v>2302</v>
      </c>
      <c r="B509" s="8" t="s">
        <v>2477</v>
      </c>
      <c r="C509" s="9">
        <v>45924.632173368103</v>
      </c>
      <c r="D509" s="8" t="s">
        <v>2056</v>
      </c>
      <c r="E509" s="8" t="s">
        <v>2057</v>
      </c>
      <c r="F509" s="8">
        <v>4</v>
      </c>
      <c r="G509" s="27" t="s">
        <v>2140</v>
      </c>
      <c r="H509" s="8" t="s">
        <v>69</v>
      </c>
      <c r="I509" s="2" t="str">
        <f t="shared" si="14"/>
        <v>Thép ống hộp</v>
      </c>
      <c r="J509" s="8" t="s">
        <v>62</v>
      </c>
      <c r="K509" s="10">
        <v>169.18</v>
      </c>
      <c r="L509" s="10">
        <v>19090.91</v>
      </c>
      <c r="M509" s="11">
        <v>3229800</v>
      </c>
      <c r="N509" s="8" t="s">
        <v>30</v>
      </c>
      <c r="O509" s="8" t="s">
        <v>17</v>
      </c>
      <c r="P509" s="8" t="s">
        <v>18</v>
      </c>
      <c r="Q509" s="8" t="s">
        <v>18</v>
      </c>
      <c r="R509" s="8" t="s">
        <v>2115</v>
      </c>
      <c r="S509" s="8" t="s">
        <v>2137</v>
      </c>
      <c r="T509" s="8" t="s">
        <v>2138</v>
      </c>
      <c r="U509" s="8" t="s">
        <v>2139</v>
      </c>
      <c r="V509" s="8" t="s">
        <v>581</v>
      </c>
      <c r="W509" s="8">
        <f t="shared" si="15"/>
        <v>3</v>
      </c>
      <c r="X509" s="8">
        <f>K509*L509*N509</f>
        <v>322980.01538</v>
      </c>
    </row>
    <row r="510" spans="1:24" s="8" customFormat="1" ht="41.5" customHeight="1">
      <c r="A510" s="8" t="s">
        <v>2302</v>
      </c>
      <c r="B510" s="8" t="s">
        <v>2477</v>
      </c>
      <c r="C510" s="9">
        <v>45924.632173368103</v>
      </c>
      <c r="D510" s="8" t="s">
        <v>2056</v>
      </c>
      <c r="E510" s="8" t="s">
        <v>2057</v>
      </c>
      <c r="F510" s="8">
        <v>5</v>
      </c>
      <c r="G510" s="27" t="s">
        <v>2140</v>
      </c>
      <c r="H510" s="8" t="s">
        <v>75</v>
      </c>
      <c r="I510" s="2" t="str">
        <f t="shared" si="14"/>
        <v>Thép ống hộp</v>
      </c>
      <c r="J510" s="8" t="s">
        <v>62</v>
      </c>
      <c r="K510" s="10">
        <v>283.5</v>
      </c>
      <c r="L510" s="10">
        <v>17545.45</v>
      </c>
      <c r="M510" s="11">
        <v>4974135</v>
      </c>
      <c r="N510" s="8" t="s">
        <v>30</v>
      </c>
      <c r="O510" s="8" t="s">
        <v>17</v>
      </c>
      <c r="P510" s="8" t="s">
        <v>18</v>
      </c>
      <c r="Q510" s="8" t="s">
        <v>18</v>
      </c>
      <c r="R510" s="8" t="s">
        <v>2115</v>
      </c>
      <c r="S510" s="8" t="s">
        <v>2137</v>
      </c>
      <c r="T510" s="8" t="s">
        <v>2138</v>
      </c>
      <c r="U510" s="8" t="s">
        <v>2139</v>
      </c>
      <c r="V510" s="8" t="s">
        <v>581</v>
      </c>
      <c r="W510" s="8">
        <f t="shared" si="15"/>
        <v>3</v>
      </c>
      <c r="X510" s="8">
        <f>K510*L510*N510</f>
        <v>497413.50750000007</v>
      </c>
    </row>
    <row r="511" spans="1:24" s="8" customFormat="1" ht="41.5" customHeight="1">
      <c r="A511" s="8" t="s">
        <v>2302</v>
      </c>
      <c r="B511" s="8" t="s">
        <v>2477</v>
      </c>
      <c r="C511" s="9">
        <v>45924.632173368103</v>
      </c>
      <c r="D511" s="8" t="s">
        <v>2056</v>
      </c>
      <c r="E511" s="8" t="s">
        <v>2057</v>
      </c>
      <c r="F511" s="8">
        <v>6</v>
      </c>
      <c r="G511" s="22" t="s">
        <v>1346</v>
      </c>
      <c r="H511" s="8" t="s">
        <v>413</v>
      </c>
      <c r="I511" s="2" t="str">
        <f t="shared" si="14"/>
        <v>Tôn xốp</v>
      </c>
      <c r="J511" s="8" t="s">
        <v>71</v>
      </c>
      <c r="K511" s="10">
        <v>105.2</v>
      </c>
      <c r="L511" s="10">
        <v>155272.73000000001</v>
      </c>
      <c r="M511" s="11">
        <v>16334691</v>
      </c>
      <c r="N511" s="8" t="s">
        <v>30</v>
      </c>
      <c r="O511" s="8" t="s">
        <v>17</v>
      </c>
      <c r="P511" s="8" t="s">
        <v>18</v>
      </c>
      <c r="Q511" s="8" t="s">
        <v>18</v>
      </c>
      <c r="R511" s="8" t="s">
        <v>2115</v>
      </c>
      <c r="S511" s="8" t="s">
        <v>2137</v>
      </c>
      <c r="T511" s="8" t="s">
        <v>2138</v>
      </c>
      <c r="U511" s="8" t="s">
        <v>2139</v>
      </c>
      <c r="V511" s="8" t="s">
        <v>581</v>
      </c>
      <c r="W511" s="8">
        <f t="shared" si="15"/>
        <v>3</v>
      </c>
      <c r="X511" s="8">
        <f>K511*L511*N511</f>
        <v>1633469.1196000003</v>
      </c>
    </row>
    <row r="512" spans="1:24" s="8" customFormat="1" ht="41.5" customHeight="1">
      <c r="A512" s="8" t="s">
        <v>2302</v>
      </c>
      <c r="B512" s="8" t="s">
        <v>2478</v>
      </c>
      <c r="C512" s="9">
        <v>45916.707066805597</v>
      </c>
      <c r="D512" s="8" t="s">
        <v>2056</v>
      </c>
      <c r="E512" s="8" t="s">
        <v>2057</v>
      </c>
      <c r="F512" s="8">
        <v>1</v>
      </c>
      <c r="G512" s="27" t="s">
        <v>2140</v>
      </c>
      <c r="H512" s="8" t="s">
        <v>110</v>
      </c>
      <c r="I512" s="2" t="str">
        <f t="shared" si="14"/>
        <v>Thép ống hộp</v>
      </c>
      <c r="J512" s="8" t="s">
        <v>62</v>
      </c>
      <c r="K512" s="10">
        <v>3981.81</v>
      </c>
      <c r="L512" s="10">
        <v>15818.18</v>
      </c>
      <c r="M512" s="11">
        <v>62984987</v>
      </c>
      <c r="N512" s="8" t="s">
        <v>30</v>
      </c>
      <c r="O512" s="8" t="s">
        <v>17</v>
      </c>
      <c r="P512" s="8" t="s">
        <v>18</v>
      </c>
      <c r="Q512" s="8" t="s">
        <v>18</v>
      </c>
      <c r="R512" s="8" t="s">
        <v>2115</v>
      </c>
      <c r="S512" s="8" t="s">
        <v>2137</v>
      </c>
      <c r="T512" s="8" t="s">
        <v>2138</v>
      </c>
      <c r="U512" s="8" t="s">
        <v>2139</v>
      </c>
      <c r="V512" s="8" t="s">
        <v>583</v>
      </c>
      <c r="W512" s="8">
        <f t="shared" si="15"/>
        <v>3</v>
      </c>
      <c r="X512" s="8">
        <f>K512*L512*N512</f>
        <v>6298498.7305800002</v>
      </c>
    </row>
    <row r="513" spans="1:24" s="8" customFormat="1" ht="41.5" customHeight="1">
      <c r="A513" s="8" t="s">
        <v>2302</v>
      </c>
      <c r="B513" s="8" t="s">
        <v>2478</v>
      </c>
      <c r="C513" s="9">
        <v>45916.707066805597</v>
      </c>
      <c r="D513" s="8" t="s">
        <v>2056</v>
      </c>
      <c r="E513" s="8" t="s">
        <v>2057</v>
      </c>
      <c r="F513" s="8">
        <v>2</v>
      </c>
      <c r="G513" s="27" t="s">
        <v>2140</v>
      </c>
      <c r="H513" s="8" t="s">
        <v>64</v>
      </c>
      <c r="I513" s="2" t="str">
        <f t="shared" si="14"/>
        <v>Thép ống hộp</v>
      </c>
      <c r="J513" s="8" t="s">
        <v>62</v>
      </c>
      <c r="K513" s="10">
        <v>7999.56</v>
      </c>
      <c r="L513" s="10">
        <v>15818.18</v>
      </c>
      <c r="M513" s="11">
        <v>126538480</v>
      </c>
      <c r="N513" s="8" t="s">
        <v>30</v>
      </c>
      <c r="O513" s="8" t="s">
        <v>17</v>
      </c>
      <c r="P513" s="8" t="s">
        <v>18</v>
      </c>
      <c r="Q513" s="8" t="s">
        <v>18</v>
      </c>
      <c r="R513" s="8" t="s">
        <v>2115</v>
      </c>
      <c r="S513" s="8" t="s">
        <v>2137</v>
      </c>
      <c r="T513" s="8" t="s">
        <v>2138</v>
      </c>
      <c r="U513" s="8" t="s">
        <v>2139</v>
      </c>
      <c r="V513" s="8" t="s">
        <v>583</v>
      </c>
      <c r="W513" s="8">
        <f t="shared" si="15"/>
        <v>3</v>
      </c>
      <c r="X513" s="8">
        <f>K513*L513*N513</f>
        <v>12653848.000080002</v>
      </c>
    </row>
    <row r="514" spans="1:24" s="8" customFormat="1" ht="41.5" customHeight="1">
      <c r="A514" s="8" t="s">
        <v>2302</v>
      </c>
      <c r="B514" s="8" t="s">
        <v>2478</v>
      </c>
      <c r="C514" s="9">
        <v>45916.707066805597</v>
      </c>
      <c r="D514" s="8" t="s">
        <v>2056</v>
      </c>
      <c r="E514" s="8" t="s">
        <v>2057</v>
      </c>
      <c r="F514" s="8">
        <v>3</v>
      </c>
      <c r="G514" s="27" t="s">
        <v>2140</v>
      </c>
      <c r="H514" s="8" t="s">
        <v>199</v>
      </c>
      <c r="I514" s="2" t="str">
        <f t="shared" ref="I514:I577" si="16">G514</f>
        <v>Thép ống hộp</v>
      </c>
      <c r="J514" s="8" t="s">
        <v>62</v>
      </c>
      <c r="K514" s="10">
        <v>510.64</v>
      </c>
      <c r="L514" s="10">
        <v>15818.18</v>
      </c>
      <c r="M514" s="11">
        <v>8077395</v>
      </c>
      <c r="N514" s="8" t="s">
        <v>30</v>
      </c>
      <c r="O514" s="8" t="s">
        <v>17</v>
      </c>
      <c r="P514" s="8" t="s">
        <v>18</v>
      </c>
      <c r="Q514" s="8" t="s">
        <v>18</v>
      </c>
      <c r="R514" s="8" t="s">
        <v>2115</v>
      </c>
      <c r="S514" s="8" t="s">
        <v>2137</v>
      </c>
      <c r="T514" s="8" t="s">
        <v>2138</v>
      </c>
      <c r="U514" s="8" t="s">
        <v>2139</v>
      </c>
      <c r="V514" s="8" t="s">
        <v>583</v>
      </c>
      <c r="W514" s="8">
        <f t="shared" si="15"/>
        <v>3</v>
      </c>
      <c r="X514" s="8">
        <f>K514*L514*N514</f>
        <v>807739.54352000006</v>
      </c>
    </row>
    <row r="515" spans="1:24" s="8" customFormat="1" ht="41.5" customHeight="1">
      <c r="A515" s="8" t="s">
        <v>2302</v>
      </c>
      <c r="B515" s="8" t="s">
        <v>2478</v>
      </c>
      <c r="C515" s="9">
        <v>45916.707066805597</v>
      </c>
      <c r="D515" s="8" t="s">
        <v>2056</v>
      </c>
      <c r="E515" s="8" t="s">
        <v>2057</v>
      </c>
      <c r="F515" s="8">
        <v>4</v>
      </c>
      <c r="G515" s="27" t="s">
        <v>2140</v>
      </c>
      <c r="H515" s="8" t="s">
        <v>66</v>
      </c>
      <c r="I515" s="2" t="str">
        <f t="shared" si="16"/>
        <v>Thép ống hộp</v>
      </c>
      <c r="J515" s="8" t="s">
        <v>62</v>
      </c>
      <c r="K515" s="10">
        <v>291.06</v>
      </c>
      <c r="L515" s="10">
        <v>15818.18</v>
      </c>
      <c r="M515" s="11">
        <v>4604039</v>
      </c>
      <c r="N515" s="8" t="s">
        <v>30</v>
      </c>
      <c r="O515" s="8" t="s">
        <v>17</v>
      </c>
      <c r="P515" s="8" t="s">
        <v>18</v>
      </c>
      <c r="Q515" s="8" t="s">
        <v>18</v>
      </c>
      <c r="R515" s="8" t="s">
        <v>2115</v>
      </c>
      <c r="S515" s="8" t="s">
        <v>2137</v>
      </c>
      <c r="T515" s="8" t="s">
        <v>2138</v>
      </c>
      <c r="U515" s="8" t="s">
        <v>2139</v>
      </c>
      <c r="V515" s="8" t="s">
        <v>583</v>
      </c>
      <c r="W515" s="8">
        <f t="shared" si="15"/>
        <v>3</v>
      </c>
      <c r="X515" s="8">
        <f>K515*L515*N515</f>
        <v>460403.94708000007</v>
      </c>
    </row>
    <row r="516" spans="1:24" s="8" customFormat="1" ht="41.5" customHeight="1">
      <c r="A516" s="8" t="s">
        <v>2302</v>
      </c>
      <c r="B516" s="8" t="s">
        <v>2478</v>
      </c>
      <c r="C516" s="9">
        <v>45916.707066805597</v>
      </c>
      <c r="D516" s="8" t="s">
        <v>2056</v>
      </c>
      <c r="E516" s="8" t="s">
        <v>2057</v>
      </c>
      <c r="F516" s="8">
        <v>5</v>
      </c>
      <c r="G516" s="27" t="s">
        <v>2140</v>
      </c>
      <c r="H516" s="8" t="s">
        <v>584</v>
      </c>
      <c r="I516" s="2" t="str">
        <f t="shared" si="16"/>
        <v>Thép ống hộp</v>
      </c>
      <c r="J516" s="8" t="s">
        <v>62</v>
      </c>
      <c r="K516" s="10">
        <v>201.6</v>
      </c>
      <c r="L516" s="10">
        <v>24727.27</v>
      </c>
      <c r="M516" s="11">
        <v>4985018</v>
      </c>
      <c r="N516" s="8" t="s">
        <v>30</v>
      </c>
      <c r="O516" s="8" t="s">
        <v>17</v>
      </c>
      <c r="P516" s="8" t="s">
        <v>18</v>
      </c>
      <c r="Q516" s="8" t="s">
        <v>18</v>
      </c>
      <c r="R516" s="8" t="s">
        <v>2115</v>
      </c>
      <c r="S516" s="8" t="s">
        <v>2137</v>
      </c>
      <c r="T516" s="8" t="s">
        <v>2138</v>
      </c>
      <c r="U516" s="8" t="s">
        <v>2139</v>
      </c>
      <c r="V516" s="8" t="s">
        <v>583</v>
      </c>
      <c r="W516" s="8">
        <f t="shared" si="15"/>
        <v>3</v>
      </c>
      <c r="X516" s="8">
        <f>K516*L516*N516</f>
        <v>498501.76320000004</v>
      </c>
    </row>
    <row r="517" spans="1:24" s="8" customFormat="1" ht="41.5" customHeight="1">
      <c r="A517" s="8" t="s">
        <v>2302</v>
      </c>
      <c r="B517" s="8" t="s">
        <v>2478</v>
      </c>
      <c r="C517" s="9">
        <v>45916.707066805597</v>
      </c>
      <c r="D517" s="8" t="s">
        <v>2056</v>
      </c>
      <c r="E517" s="8" t="s">
        <v>2057</v>
      </c>
      <c r="F517" s="8">
        <v>6</v>
      </c>
      <c r="G517" s="27" t="s">
        <v>2140</v>
      </c>
      <c r="H517" s="8" t="s">
        <v>75</v>
      </c>
      <c r="I517" s="2" t="str">
        <f t="shared" si="16"/>
        <v>Thép ống hộp</v>
      </c>
      <c r="J517" s="8" t="s">
        <v>62</v>
      </c>
      <c r="K517" s="10">
        <v>472.5</v>
      </c>
      <c r="L517" s="10">
        <v>17545.45</v>
      </c>
      <c r="M517" s="11">
        <v>8290225</v>
      </c>
      <c r="N517" s="8" t="s">
        <v>30</v>
      </c>
      <c r="O517" s="8" t="s">
        <v>17</v>
      </c>
      <c r="P517" s="8" t="s">
        <v>18</v>
      </c>
      <c r="Q517" s="8" t="s">
        <v>18</v>
      </c>
      <c r="R517" s="8" t="s">
        <v>2115</v>
      </c>
      <c r="S517" s="8" t="s">
        <v>2137</v>
      </c>
      <c r="T517" s="8" t="s">
        <v>2138</v>
      </c>
      <c r="U517" s="8" t="s">
        <v>2139</v>
      </c>
      <c r="V517" s="8" t="s">
        <v>583</v>
      </c>
      <c r="W517" s="8">
        <f t="shared" si="15"/>
        <v>3</v>
      </c>
      <c r="X517" s="8">
        <f>K517*L517*N517</f>
        <v>829022.51250000007</v>
      </c>
    </row>
    <row r="518" spans="1:24" s="8" customFormat="1" ht="41.5" customHeight="1">
      <c r="A518" s="8" t="s">
        <v>2302</v>
      </c>
      <c r="B518" s="8" t="s">
        <v>2478</v>
      </c>
      <c r="C518" s="9">
        <v>45916.707066805597</v>
      </c>
      <c r="D518" s="8" t="s">
        <v>2056</v>
      </c>
      <c r="E518" s="8" t="s">
        <v>2057</v>
      </c>
      <c r="F518" s="8">
        <v>7</v>
      </c>
      <c r="G518" s="27" t="s">
        <v>2140</v>
      </c>
      <c r="H518" s="8" t="s">
        <v>279</v>
      </c>
      <c r="I518" s="2" t="str">
        <f t="shared" si="16"/>
        <v>Thép ống hộp</v>
      </c>
      <c r="J518" s="8" t="s">
        <v>62</v>
      </c>
      <c r="K518" s="10">
        <v>49.35</v>
      </c>
      <c r="L518" s="10">
        <v>17545.45</v>
      </c>
      <c r="M518" s="11">
        <v>865868</v>
      </c>
      <c r="N518" s="8" t="s">
        <v>30</v>
      </c>
      <c r="O518" s="8" t="s">
        <v>17</v>
      </c>
      <c r="P518" s="8" t="s">
        <v>18</v>
      </c>
      <c r="Q518" s="8" t="s">
        <v>18</v>
      </c>
      <c r="R518" s="8" t="s">
        <v>2115</v>
      </c>
      <c r="S518" s="8" t="s">
        <v>2137</v>
      </c>
      <c r="T518" s="8" t="s">
        <v>2138</v>
      </c>
      <c r="U518" s="8" t="s">
        <v>2139</v>
      </c>
      <c r="V518" s="8" t="s">
        <v>583</v>
      </c>
      <c r="W518" s="8">
        <f t="shared" si="15"/>
        <v>3</v>
      </c>
      <c r="X518" s="8">
        <f>K518*L518*N518</f>
        <v>86586.795750000005</v>
      </c>
    </row>
    <row r="519" spans="1:24" s="8" customFormat="1" ht="41.5" customHeight="1">
      <c r="A519" s="8" t="s">
        <v>2302</v>
      </c>
      <c r="B519" s="8" t="s">
        <v>2478</v>
      </c>
      <c r="C519" s="9">
        <v>45916.707066805597</v>
      </c>
      <c r="D519" s="8" t="s">
        <v>2056</v>
      </c>
      <c r="E519" s="8" t="s">
        <v>2057</v>
      </c>
      <c r="F519" s="8">
        <v>8</v>
      </c>
      <c r="G519" s="27" t="s">
        <v>2140</v>
      </c>
      <c r="H519" s="8" t="s">
        <v>74</v>
      </c>
      <c r="I519" s="2" t="str">
        <f t="shared" si="16"/>
        <v>Thép ống hộp</v>
      </c>
      <c r="J519" s="8" t="s">
        <v>62</v>
      </c>
      <c r="K519" s="10">
        <v>60</v>
      </c>
      <c r="L519" s="10">
        <v>15818.18</v>
      </c>
      <c r="M519" s="11">
        <v>949091</v>
      </c>
      <c r="N519" s="8" t="s">
        <v>30</v>
      </c>
      <c r="O519" s="8" t="s">
        <v>17</v>
      </c>
      <c r="P519" s="8" t="s">
        <v>18</v>
      </c>
      <c r="Q519" s="8" t="s">
        <v>18</v>
      </c>
      <c r="R519" s="8" t="s">
        <v>2115</v>
      </c>
      <c r="S519" s="8" t="s">
        <v>2137</v>
      </c>
      <c r="T519" s="8" t="s">
        <v>2138</v>
      </c>
      <c r="U519" s="8" t="s">
        <v>2139</v>
      </c>
      <c r="V519" s="8" t="s">
        <v>583</v>
      </c>
      <c r="W519" s="8">
        <f t="shared" si="15"/>
        <v>3</v>
      </c>
      <c r="X519" s="8">
        <f>K519*L519*N519</f>
        <v>94909.080000000016</v>
      </c>
    </row>
    <row r="520" spans="1:24" s="8" customFormat="1" ht="41.5" customHeight="1">
      <c r="A520" s="8" t="s">
        <v>2302</v>
      </c>
      <c r="B520" s="8" t="s">
        <v>2478</v>
      </c>
      <c r="C520" s="9">
        <v>45916.707066805597</v>
      </c>
      <c r="D520" s="8" t="s">
        <v>2056</v>
      </c>
      <c r="E520" s="8" t="s">
        <v>2057</v>
      </c>
      <c r="F520" s="8">
        <v>9</v>
      </c>
      <c r="G520" s="27" t="s">
        <v>2140</v>
      </c>
      <c r="H520" s="8" t="s">
        <v>274</v>
      </c>
      <c r="I520" s="2" t="str">
        <f t="shared" si="16"/>
        <v>Thép ống hộp</v>
      </c>
      <c r="J520" s="8" t="s">
        <v>62</v>
      </c>
      <c r="K520" s="10">
        <v>11.31</v>
      </c>
      <c r="L520" s="10">
        <v>15818.18</v>
      </c>
      <c r="M520" s="11">
        <v>178904</v>
      </c>
      <c r="N520" s="8" t="s">
        <v>30</v>
      </c>
      <c r="O520" s="8" t="s">
        <v>17</v>
      </c>
      <c r="P520" s="8" t="s">
        <v>18</v>
      </c>
      <c r="Q520" s="8" t="s">
        <v>18</v>
      </c>
      <c r="R520" s="8" t="s">
        <v>2115</v>
      </c>
      <c r="S520" s="8" t="s">
        <v>2137</v>
      </c>
      <c r="T520" s="8" t="s">
        <v>2138</v>
      </c>
      <c r="U520" s="8" t="s">
        <v>2139</v>
      </c>
      <c r="V520" s="8" t="s">
        <v>583</v>
      </c>
      <c r="W520" s="8">
        <f t="shared" si="15"/>
        <v>3</v>
      </c>
      <c r="X520" s="8">
        <f>K520*L520*N520</f>
        <v>17890.361580000001</v>
      </c>
    </row>
    <row r="521" spans="1:24" s="13" customFormat="1" ht="41.5" customHeight="1">
      <c r="A521" s="8" t="s">
        <v>2302</v>
      </c>
      <c r="B521" s="13" t="s">
        <v>2478</v>
      </c>
      <c r="C521" s="14">
        <v>45916.707066805597</v>
      </c>
      <c r="D521" s="13" t="s">
        <v>2056</v>
      </c>
      <c r="E521" s="13" t="s">
        <v>2057</v>
      </c>
      <c r="F521" s="13">
        <v>10</v>
      </c>
      <c r="G521" s="28" t="s">
        <v>1363</v>
      </c>
      <c r="H521" s="13" t="s">
        <v>59</v>
      </c>
      <c r="I521" s="2" t="str">
        <f t="shared" si="16"/>
        <v>Tôn màu</v>
      </c>
      <c r="J521" s="13" t="s">
        <v>62</v>
      </c>
      <c r="K521" s="15">
        <v>170.2</v>
      </c>
      <c r="L521" s="15">
        <v>22272.73</v>
      </c>
      <c r="M521" s="16">
        <v>3790819</v>
      </c>
      <c r="N521" s="13" t="s">
        <v>30</v>
      </c>
      <c r="O521" s="13" t="s">
        <v>17</v>
      </c>
      <c r="P521" s="13" t="s">
        <v>18</v>
      </c>
      <c r="Q521" s="13" t="s">
        <v>18</v>
      </c>
      <c r="R521" s="13" t="s">
        <v>2115</v>
      </c>
      <c r="S521" s="13" t="s">
        <v>2137</v>
      </c>
      <c r="T521" s="13" t="s">
        <v>2138</v>
      </c>
      <c r="U521" s="13" t="s">
        <v>2139</v>
      </c>
      <c r="V521" s="13" t="s">
        <v>583</v>
      </c>
      <c r="W521" s="13">
        <f t="shared" si="15"/>
        <v>3</v>
      </c>
      <c r="X521" s="8">
        <f>K521*L521*N521</f>
        <v>379081.86459999997</v>
      </c>
    </row>
    <row r="522" spans="1:24" s="8" customFormat="1" ht="41.5" customHeight="1">
      <c r="A522" s="8" t="s">
        <v>2302</v>
      </c>
      <c r="B522" s="8" t="s">
        <v>2479</v>
      </c>
      <c r="C522" s="9">
        <v>45912.715136874998</v>
      </c>
      <c r="D522" s="8" t="s">
        <v>2056</v>
      </c>
      <c r="E522" s="8" t="s">
        <v>2057</v>
      </c>
      <c r="F522" s="8">
        <v>1</v>
      </c>
      <c r="G522" s="22" t="s">
        <v>159</v>
      </c>
      <c r="H522" s="8" t="s">
        <v>159</v>
      </c>
      <c r="I522" s="2" t="str">
        <f t="shared" si="16"/>
        <v>Hộp Inox 304</v>
      </c>
      <c r="J522" s="8" t="s">
        <v>62</v>
      </c>
      <c r="K522" s="10">
        <v>338.65</v>
      </c>
      <c r="L522" s="10">
        <v>57000</v>
      </c>
      <c r="M522" s="11">
        <v>19303050</v>
      </c>
      <c r="N522" s="8" t="s">
        <v>30</v>
      </c>
      <c r="O522" s="8" t="s">
        <v>17</v>
      </c>
      <c r="P522" s="8" t="s">
        <v>18</v>
      </c>
      <c r="Q522" s="8" t="s">
        <v>18</v>
      </c>
      <c r="R522" s="8" t="s">
        <v>2115</v>
      </c>
      <c r="S522" s="8" t="s">
        <v>2137</v>
      </c>
      <c r="T522" s="8" t="s">
        <v>2138</v>
      </c>
      <c r="U522" s="8" t="s">
        <v>2139</v>
      </c>
      <c r="V522" s="8" t="s">
        <v>577</v>
      </c>
      <c r="W522" s="8">
        <f t="shared" si="15"/>
        <v>3</v>
      </c>
      <c r="X522" s="8">
        <f>K522*L522*N522</f>
        <v>1930305</v>
      </c>
    </row>
    <row r="523" spans="1:24" s="8" customFormat="1" ht="41.5" customHeight="1">
      <c r="A523" s="8" t="s">
        <v>2302</v>
      </c>
      <c r="B523" s="8" t="s">
        <v>2479</v>
      </c>
      <c r="C523" s="9">
        <v>45912.715136874998</v>
      </c>
      <c r="D523" s="8" t="s">
        <v>2056</v>
      </c>
      <c r="E523" s="8" t="s">
        <v>2057</v>
      </c>
      <c r="F523" s="8">
        <v>2</v>
      </c>
      <c r="G523" s="27" t="s">
        <v>2140</v>
      </c>
      <c r="H523" s="8" t="s">
        <v>585</v>
      </c>
      <c r="I523" s="2" t="str">
        <f t="shared" si="16"/>
        <v>Thép ống hộp</v>
      </c>
      <c r="J523" s="8" t="s">
        <v>62</v>
      </c>
      <c r="K523" s="10">
        <v>9.4</v>
      </c>
      <c r="L523" s="10">
        <v>17545.45</v>
      </c>
      <c r="M523" s="11">
        <v>164927</v>
      </c>
      <c r="N523" s="8" t="s">
        <v>30</v>
      </c>
      <c r="O523" s="8" t="s">
        <v>17</v>
      </c>
      <c r="P523" s="8" t="s">
        <v>18</v>
      </c>
      <c r="Q523" s="8" t="s">
        <v>18</v>
      </c>
      <c r="R523" s="8" t="s">
        <v>2115</v>
      </c>
      <c r="S523" s="8" t="s">
        <v>2137</v>
      </c>
      <c r="T523" s="8" t="s">
        <v>2138</v>
      </c>
      <c r="U523" s="8" t="s">
        <v>2139</v>
      </c>
      <c r="V523" s="8" t="s">
        <v>577</v>
      </c>
      <c r="W523" s="8">
        <f t="shared" si="15"/>
        <v>3</v>
      </c>
      <c r="X523" s="8">
        <f>K523*L523*N523</f>
        <v>16492.723000000002</v>
      </c>
    </row>
    <row r="524" spans="1:24" s="8" customFormat="1" ht="41.5" customHeight="1">
      <c r="A524" s="8" t="s">
        <v>2302</v>
      </c>
      <c r="B524" s="8" t="s">
        <v>2479</v>
      </c>
      <c r="C524" s="9">
        <v>45912.715136874998</v>
      </c>
      <c r="D524" s="8" t="s">
        <v>2056</v>
      </c>
      <c r="E524" s="8" t="s">
        <v>2057</v>
      </c>
      <c r="F524" s="8">
        <v>3</v>
      </c>
      <c r="G524" s="27" t="s">
        <v>2140</v>
      </c>
      <c r="H524" s="8" t="s">
        <v>274</v>
      </c>
      <c r="I524" s="2" t="str">
        <f t="shared" si="16"/>
        <v>Thép ống hộp</v>
      </c>
      <c r="J524" s="8" t="s">
        <v>62</v>
      </c>
      <c r="K524" s="10">
        <v>180.96</v>
      </c>
      <c r="L524" s="10">
        <v>17545.45</v>
      </c>
      <c r="M524" s="11">
        <v>3175025</v>
      </c>
      <c r="N524" s="8" t="s">
        <v>30</v>
      </c>
      <c r="O524" s="8" t="s">
        <v>17</v>
      </c>
      <c r="P524" s="8" t="s">
        <v>18</v>
      </c>
      <c r="Q524" s="8" t="s">
        <v>18</v>
      </c>
      <c r="R524" s="8" t="s">
        <v>2115</v>
      </c>
      <c r="S524" s="8" t="s">
        <v>2137</v>
      </c>
      <c r="T524" s="8" t="s">
        <v>2138</v>
      </c>
      <c r="U524" s="8" t="s">
        <v>2139</v>
      </c>
      <c r="V524" s="8" t="s">
        <v>577</v>
      </c>
      <c r="W524" s="8">
        <f t="shared" si="15"/>
        <v>3</v>
      </c>
      <c r="X524" s="8">
        <f>K524*L524*N524</f>
        <v>317502.46320000006</v>
      </c>
    </row>
    <row r="525" spans="1:24" s="8" customFormat="1" ht="41.5" customHeight="1">
      <c r="A525" s="8" t="s">
        <v>2302</v>
      </c>
      <c r="B525" s="8" t="s">
        <v>2480</v>
      </c>
      <c r="C525" s="9">
        <v>45904.748759467599</v>
      </c>
      <c r="D525" s="8" t="s">
        <v>2056</v>
      </c>
      <c r="E525" s="8" t="s">
        <v>2057</v>
      </c>
      <c r="F525" s="8">
        <v>1</v>
      </c>
      <c r="G525" s="27" t="s">
        <v>2140</v>
      </c>
      <c r="H525" s="8" t="s">
        <v>584</v>
      </c>
      <c r="I525" s="2" t="str">
        <f t="shared" si="16"/>
        <v>Thép ống hộp</v>
      </c>
      <c r="J525" s="8" t="s">
        <v>62</v>
      </c>
      <c r="K525" s="10">
        <v>201.6</v>
      </c>
      <c r="L525" s="10">
        <v>24727.27</v>
      </c>
      <c r="M525" s="11">
        <v>4985018</v>
      </c>
      <c r="N525" s="8" t="s">
        <v>30</v>
      </c>
      <c r="O525" s="8" t="s">
        <v>17</v>
      </c>
      <c r="P525" s="8" t="s">
        <v>18</v>
      </c>
      <c r="Q525" s="8" t="s">
        <v>18</v>
      </c>
      <c r="R525" s="8" t="s">
        <v>2115</v>
      </c>
      <c r="S525" s="8" t="s">
        <v>2137</v>
      </c>
      <c r="T525" s="8" t="s">
        <v>2138</v>
      </c>
      <c r="U525" s="8" t="s">
        <v>2139</v>
      </c>
      <c r="V525" s="8" t="s">
        <v>586</v>
      </c>
      <c r="W525" s="8">
        <f t="shared" si="15"/>
        <v>3</v>
      </c>
      <c r="X525" s="8">
        <f>K525*L525*N525</f>
        <v>498501.76320000004</v>
      </c>
    </row>
    <row r="526" spans="1:24" s="8" customFormat="1" ht="41.5" customHeight="1">
      <c r="A526" s="8" t="s">
        <v>2302</v>
      </c>
      <c r="B526" s="8" t="s">
        <v>2480</v>
      </c>
      <c r="C526" s="9">
        <v>45904.748759467599</v>
      </c>
      <c r="D526" s="8" t="s">
        <v>2056</v>
      </c>
      <c r="E526" s="8" t="s">
        <v>2057</v>
      </c>
      <c r="F526" s="8">
        <v>2</v>
      </c>
      <c r="G526" s="22" t="s">
        <v>1346</v>
      </c>
      <c r="H526" s="8" t="s">
        <v>413</v>
      </c>
      <c r="I526" s="2" t="str">
        <f t="shared" si="16"/>
        <v>Tôn xốp</v>
      </c>
      <c r="J526" s="8" t="s">
        <v>71</v>
      </c>
      <c r="K526" s="10">
        <v>127</v>
      </c>
      <c r="L526" s="10">
        <v>155000</v>
      </c>
      <c r="M526" s="11">
        <v>19685000</v>
      </c>
      <c r="N526" s="8" t="s">
        <v>30</v>
      </c>
      <c r="O526" s="8" t="s">
        <v>17</v>
      </c>
      <c r="P526" s="8" t="s">
        <v>18</v>
      </c>
      <c r="Q526" s="8" t="s">
        <v>18</v>
      </c>
      <c r="R526" s="8" t="s">
        <v>2115</v>
      </c>
      <c r="S526" s="8" t="s">
        <v>2137</v>
      </c>
      <c r="T526" s="8" t="s">
        <v>2138</v>
      </c>
      <c r="U526" s="8" t="s">
        <v>2139</v>
      </c>
      <c r="V526" s="8" t="s">
        <v>586</v>
      </c>
      <c r="W526" s="8">
        <f t="shared" si="15"/>
        <v>3</v>
      </c>
      <c r="X526" s="8">
        <f>K526*L526*N526</f>
        <v>1968500</v>
      </c>
    </row>
    <row r="527" spans="1:24" s="13" customFormat="1" ht="41.5" customHeight="1">
      <c r="A527" s="8" t="s">
        <v>2302</v>
      </c>
      <c r="B527" s="13" t="s">
        <v>2480</v>
      </c>
      <c r="C527" s="14">
        <v>45904.748759467599</v>
      </c>
      <c r="D527" s="13" t="s">
        <v>2056</v>
      </c>
      <c r="E527" s="13" t="s">
        <v>2057</v>
      </c>
      <c r="F527" s="13">
        <v>3</v>
      </c>
      <c r="G527" s="28" t="s">
        <v>1363</v>
      </c>
      <c r="H527" s="13" t="s">
        <v>587</v>
      </c>
      <c r="I527" s="2" t="str">
        <f t="shared" si="16"/>
        <v>Tôn màu</v>
      </c>
      <c r="J527" s="13" t="s">
        <v>71</v>
      </c>
      <c r="K527" s="15">
        <v>132.19999999999999</v>
      </c>
      <c r="L527" s="15">
        <v>107000</v>
      </c>
      <c r="M527" s="16">
        <v>14145400</v>
      </c>
      <c r="N527" s="13" t="s">
        <v>30</v>
      </c>
      <c r="O527" s="13" t="s">
        <v>17</v>
      </c>
      <c r="P527" s="13" t="s">
        <v>18</v>
      </c>
      <c r="Q527" s="13" t="s">
        <v>18</v>
      </c>
      <c r="R527" s="13" t="s">
        <v>2115</v>
      </c>
      <c r="S527" s="13" t="s">
        <v>2137</v>
      </c>
      <c r="T527" s="13" t="s">
        <v>2138</v>
      </c>
      <c r="U527" s="13" t="s">
        <v>2139</v>
      </c>
      <c r="V527" s="13" t="s">
        <v>586</v>
      </c>
      <c r="W527" s="13">
        <f t="shared" si="15"/>
        <v>3</v>
      </c>
      <c r="X527" s="8">
        <f>K527*L527*N527</f>
        <v>1414540</v>
      </c>
    </row>
    <row r="528" spans="1:24" s="8" customFormat="1" ht="41.5" customHeight="1">
      <c r="A528" s="8" t="s">
        <v>2280</v>
      </c>
      <c r="B528" s="8" t="s">
        <v>2481</v>
      </c>
      <c r="C528" s="9">
        <v>45927.481735266199</v>
      </c>
      <c r="D528" s="8" t="s">
        <v>2056</v>
      </c>
      <c r="E528" s="8" t="s">
        <v>2057</v>
      </c>
      <c r="F528" s="8">
        <v>1</v>
      </c>
      <c r="G528" s="22" t="s">
        <v>161</v>
      </c>
      <c r="H528" s="8" t="s">
        <v>161</v>
      </c>
      <c r="I528" s="2" t="str">
        <f t="shared" si="16"/>
        <v>Máy đầm đất (ZPC25)</v>
      </c>
      <c r="J528" s="8" t="s">
        <v>130</v>
      </c>
      <c r="K528" s="10">
        <v>1</v>
      </c>
      <c r="L528" s="10">
        <v>1111111</v>
      </c>
      <c r="M528" s="11">
        <v>1111111</v>
      </c>
      <c r="N528" s="8" t="s">
        <v>16</v>
      </c>
      <c r="O528" s="8" t="s">
        <v>17</v>
      </c>
      <c r="P528" s="8" t="s">
        <v>18</v>
      </c>
      <c r="Q528" s="8" t="s">
        <v>18</v>
      </c>
      <c r="R528" s="8" t="s">
        <v>2110</v>
      </c>
      <c r="S528" s="8" t="s">
        <v>2205</v>
      </c>
      <c r="T528" s="8" t="s">
        <v>2206</v>
      </c>
      <c r="U528" s="8" t="s">
        <v>2207</v>
      </c>
      <c r="V528" s="8" t="s">
        <v>588</v>
      </c>
      <c r="W528" s="8">
        <f t="shared" si="15"/>
        <v>3</v>
      </c>
      <c r="X528" s="8">
        <f>K528*L528*N528</f>
        <v>88888.88</v>
      </c>
    </row>
    <row r="529" spans="1:24" s="8" customFormat="1" ht="41.5" customHeight="1">
      <c r="A529" s="8" t="s">
        <v>2280</v>
      </c>
      <c r="B529" s="8" t="s">
        <v>2481</v>
      </c>
      <c r="C529" s="9">
        <v>45927.481735266199</v>
      </c>
      <c r="D529" s="8" t="s">
        <v>2056</v>
      </c>
      <c r="E529" s="8" t="s">
        <v>2057</v>
      </c>
      <c r="F529" s="8">
        <v>2</v>
      </c>
      <c r="G529" s="22" t="s">
        <v>589</v>
      </c>
      <c r="H529" s="8" t="s">
        <v>589</v>
      </c>
      <c r="I529" s="2" t="str">
        <f t="shared" si="16"/>
        <v>Động cơ xăng GX390T2 QC2 (GX390T2)</v>
      </c>
      <c r="J529" s="8" t="s">
        <v>15</v>
      </c>
      <c r="K529" s="10">
        <v>1</v>
      </c>
      <c r="L529" s="10">
        <v>9907407</v>
      </c>
      <c r="M529" s="11">
        <v>9907407</v>
      </c>
      <c r="N529" s="8" t="s">
        <v>16</v>
      </c>
      <c r="O529" s="8" t="s">
        <v>17</v>
      </c>
      <c r="P529" s="8" t="s">
        <v>18</v>
      </c>
      <c r="Q529" s="8" t="s">
        <v>18</v>
      </c>
      <c r="R529" s="8" t="s">
        <v>2110</v>
      </c>
      <c r="S529" s="8" t="s">
        <v>2205</v>
      </c>
      <c r="T529" s="8" t="s">
        <v>2206</v>
      </c>
      <c r="U529" s="8" t="s">
        <v>2207</v>
      </c>
      <c r="V529" s="8" t="s">
        <v>588</v>
      </c>
      <c r="W529" s="8">
        <f t="shared" si="15"/>
        <v>3</v>
      </c>
      <c r="X529" s="8">
        <f>K529*L529*N529</f>
        <v>792592.56</v>
      </c>
    </row>
    <row r="530" spans="1:24" s="8" customFormat="1" ht="41.5" customHeight="1">
      <c r="A530" s="8" t="s">
        <v>2280</v>
      </c>
      <c r="B530" s="8" t="s">
        <v>2481</v>
      </c>
      <c r="C530" s="9">
        <v>45927.481735266199</v>
      </c>
      <c r="D530" s="8" t="s">
        <v>2056</v>
      </c>
      <c r="E530" s="8" t="s">
        <v>2057</v>
      </c>
      <c r="F530" s="8">
        <v>3</v>
      </c>
      <c r="G530" s="22" t="s">
        <v>590</v>
      </c>
      <c r="H530" s="8" t="s">
        <v>590</v>
      </c>
      <c r="I530" s="2" t="str">
        <f t="shared" si="16"/>
        <v>Máy đục bê tông cầm tay (KZG6S)</v>
      </c>
      <c r="J530" s="8" t="s">
        <v>15</v>
      </c>
      <c r="K530" s="10">
        <v>1</v>
      </c>
      <c r="L530" s="10">
        <v>1454546</v>
      </c>
      <c r="M530" s="11">
        <v>1454546</v>
      </c>
      <c r="N530" s="8" t="s">
        <v>30</v>
      </c>
      <c r="O530" s="8" t="s">
        <v>17</v>
      </c>
      <c r="P530" s="8" t="s">
        <v>18</v>
      </c>
      <c r="Q530" s="8" t="s">
        <v>18</v>
      </c>
      <c r="R530" s="8" t="s">
        <v>2110</v>
      </c>
      <c r="S530" s="8" t="s">
        <v>2205</v>
      </c>
      <c r="T530" s="8" t="s">
        <v>2206</v>
      </c>
      <c r="U530" s="8" t="s">
        <v>2207</v>
      </c>
      <c r="V530" s="8" t="s">
        <v>588</v>
      </c>
      <c r="W530" s="8">
        <f t="shared" si="15"/>
        <v>3</v>
      </c>
      <c r="X530" s="8">
        <f>K530*L530*N530</f>
        <v>145454.6</v>
      </c>
    </row>
    <row r="531" spans="1:24" s="8" customFormat="1" ht="41.5" customHeight="1">
      <c r="A531" s="8" t="s">
        <v>2280</v>
      </c>
      <c r="B531" s="8" t="s">
        <v>2482</v>
      </c>
      <c r="C531" s="9">
        <v>45916.478143101798</v>
      </c>
      <c r="D531" s="8" t="s">
        <v>2056</v>
      </c>
      <c r="E531" s="8" t="s">
        <v>2057</v>
      </c>
      <c r="F531" s="8">
        <v>1</v>
      </c>
      <c r="G531" s="22" t="s">
        <v>161</v>
      </c>
      <c r="H531" s="8" t="s">
        <v>161</v>
      </c>
      <c r="I531" s="2" t="str">
        <f t="shared" si="16"/>
        <v>Máy đầm đất (ZPC25)</v>
      </c>
      <c r="J531" s="8" t="s">
        <v>15</v>
      </c>
      <c r="K531" s="10">
        <v>1</v>
      </c>
      <c r="L531" s="10">
        <v>1148148</v>
      </c>
      <c r="M531" s="11">
        <v>1148148</v>
      </c>
      <c r="N531" s="8" t="s">
        <v>16</v>
      </c>
      <c r="O531" s="8" t="s">
        <v>17</v>
      </c>
      <c r="P531" s="8" t="s">
        <v>18</v>
      </c>
      <c r="Q531" s="8" t="s">
        <v>18</v>
      </c>
      <c r="R531" s="8" t="s">
        <v>2110</v>
      </c>
      <c r="S531" s="8" t="s">
        <v>2205</v>
      </c>
      <c r="T531" s="8" t="s">
        <v>2206</v>
      </c>
      <c r="U531" s="8" t="s">
        <v>2207</v>
      </c>
      <c r="V531" s="8" t="s">
        <v>583</v>
      </c>
      <c r="W531" s="8">
        <f t="shared" si="15"/>
        <v>3</v>
      </c>
      <c r="X531" s="8">
        <f>K531*L531*N531</f>
        <v>91851.839999999997</v>
      </c>
    </row>
    <row r="532" spans="1:24" s="8" customFormat="1" ht="41.5" customHeight="1">
      <c r="A532" s="8" t="s">
        <v>2280</v>
      </c>
      <c r="B532" s="8" t="s">
        <v>2482</v>
      </c>
      <c r="C532" s="9">
        <v>45916.478143101798</v>
      </c>
      <c r="D532" s="8" t="s">
        <v>2056</v>
      </c>
      <c r="E532" s="8" t="s">
        <v>2057</v>
      </c>
      <c r="F532" s="8">
        <v>2</v>
      </c>
      <c r="G532" s="22" t="s">
        <v>589</v>
      </c>
      <c r="H532" s="8" t="s">
        <v>589</v>
      </c>
      <c r="I532" s="2" t="str">
        <f t="shared" si="16"/>
        <v>Động cơ xăng GX390T2 QC2 (GX390T2)</v>
      </c>
      <c r="J532" s="8" t="s">
        <v>15</v>
      </c>
      <c r="K532" s="10">
        <v>1</v>
      </c>
      <c r="L532" s="10">
        <v>10000000</v>
      </c>
      <c r="M532" s="11">
        <v>10000000</v>
      </c>
      <c r="N532" s="8" t="s">
        <v>16</v>
      </c>
      <c r="O532" s="8" t="s">
        <v>17</v>
      </c>
      <c r="P532" s="8" t="s">
        <v>18</v>
      </c>
      <c r="Q532" s="8" t="s">
        <v>18</v>
      </c>
      <c r="R532" s="8" t="s">
        <v>2110</v>
      </c>
      <c r="S532" s="8" t="s">
        <v>2205</v>
      </c>
      <c r="T532" s="8" t="s">
        <v>2206</v>
      </c>
      <c r="U532" s="8" t="s">
        <v>2207</v>
      </c>
      <c r="V532" s="8" t="s">
        <v>583</v>
      </c>
      <c r="W532" s="8">
        <f t="shared" si="15"/>
        <v>3</v>
      </c>
      <c r="X532" s="8">
        <f>K532*L532*N532</f>
        <v>800000</v>
      </c>
    </row>
    <row r="533" spans="1:24" s="8" customFormat="1" ht="41.5" customHeight="1">
      <c r="A533" s="8" t="s">
        <v>2280</v>
      </c>
      <c r="B533" s="8" t="s">
        <v>2482</v>
      </c>
      <c r="C533" s="9">
        <v>45916.478143101798</v>
      </c>
      <c r="D533" s="8" t="s">
        <v>2056</v>
      </c>
      <c r="E533" s="8" t="s">
        <v>2057</v>
      </c>
      <c r="F533" s="8">
        <v>3</v>
      </c>
      <c r="G533" s="22" t="s">
        <v>591</v>
      </c>
      <c r="H533" s="8" t="s">
        <v>591</v>
      </c>
      <c r="I533" s="2" t="str">
        <f t="shared" si="16"/>
        <v>Máy cưa đĩa 185MM-HS7010 (HS7010)</v>
      </c>
      <c r="J533" s="8" t="s">
        <v>15</v>
      </c>
      <c r="K533" s="10">
        <v>2</v>
      </c>
      <c r="L533" s="10">
        <v>2064815</v>
      </c>
      <c r="M533" s="11">
        <v>4129630</v>
      </c>
      <c r="N533" s="8" t="s">
        <v>16</v>
      </c>
      <c r="O533" s="8" t="s">
        <v>17</v>
      </c>
      <c r="P533" s="8" t="s">
        <v>18</v>
      </c>
      <c r="Q533" s="8" t="s">
        <v>18</v>
      </c>
      <c r="R533" s="8" t="s">
        <v>2110</v>
      </c>
      <c r="S533" s="8" t="s">
        <v>2205</v>
      </c>
      <c r="T533" s="8" t="s">
        <v>2206</v>
      </c>
      <c r="U533" s="8" t="s">
        <v>2207</v>
      </c>
      <c r="V533" s="8" t="s">
        <v>583</v>
      </c>
      <c r="W533" s="8">
        <f t="shared" si="15"/>
        <v>3</v>
      </c>
      <c r="X533" s="8">
        <f>K533*L533*N533</f>
        <v>330370.40000000002</v>
      </c>
    </row>
    <row r="534" spans="1:24" s="8" customFormat="1" ht="41.5" customHeight="1">
      <c r="A534" s="8" t="s">
        <v>2280</v>
      </c>
      <c r="B534" s="8" t="s">
        <v>2483</v>
      </c>
      <c r="C534" s="9">
        <v>45912.632513842596</v>
      </c>
      <c r="D534" s="8" t="s">
        <v>2056</v>
      </c>
      <c r="E534" s="8" t="s">
        <v>2057</v>
      </c>
      <c r="F534" s="8">
        <v>1</v>
      </c>
      <c r="G534" s="22" t="s">
        <v>1615</v>
      </c>
      <c r="H534" s="8" t="s">
        <v>592</v>
      </c>
      <c r="I534" s="2" t="str">
        <f t="shared" si="16"/>
        <v>Khung cắt KC 20 (KC20)</v>
      </c>
      <c r="J534" s="8" t="s">
        <v>15</v>
      </c>
      <c r="K534" s="10">
        <v>1</v>
      </c>
      <c r="L534" s="10">
        <v>5416667</v>
      </c>
      <c r="M534" s="11">
        <v>5416667</v>
      </c>
      <c r="N534" s="8" t="s">
        <v>16</v>
      </c>
      <c r="O534" s="8" t="s">
        <v>17</v>
      </c>
      <c r="P534" s="8" t="s">
        <v>18</v>
      </c>
      <c r="Q534" s="8" t="s">
        <v>18</v>
      </c>
      <c r="R534" s="8" t="s">
        <v>2110</v>
      </c>
      <c r="S534" s="8" t="s">
        <v>2205</v>
      </c>
      <c r="T534" s="8" t="s">
        <v>2206</v>
      </c>
      <c r="U534" s="8" t="s">
        <v>2207</v>
      </c>
      <c r="V534" s="8" t="s">
        <v>577</v>
      </c>
      <c r="W534" s="8">
        <f t="shared" si="15"/>
        <v>3</v>
      </c>
      <c r="X534" s="8">
        <f>K534*L534*N534</f>
        <v>433333.36</v>
      </c>
    </row>
    <row r="535" spans="1:24" s="8" customFormat="1" ht="41.5" customHeight="1">
      <c r="A535" s="8" t="s">
        <v>2280</v>
      </c>
      <c r="B535" s="8" t="s">
        <v>2483</v>
      </c>
      <c r="C535" s="9">
        <v>45912.632513842596</v>
      </c>
      <c r="D535" s="8" t="s">
        <v>2056</v>
      </c>
      <c r="E535" s="8" t="s">
        <v>2057</v>
      </c>
      <c r="F535" s="8">
        <v>2</v>
      </c>
      <c r="G535" s="22" t="s">
        <v>1616</v>
      </c>
      <c r="H535" s="8" t="s">
        <v>593</v>
      </c>
      <c r="I535" s="2" t="str">
        <f t="shared" si="16"/>
        <v>Động cơ diese 1 Lifan (C186 FD)</v>
      </c>
      <c r="J535" s="8" t="s">
        <v>15</v>
      </c>
      <c r="K535" s="10">
        <v>1</v>
      </c>
      <c r="L535" s="10">
        <v>7453704</v>
      </c>
      <c r="M535" s="11">
        <v>7453704</v>
      </c>
      <c r="N535" s="8" t="s">
        <v>16</v>
      </c>
      <c r="O535" s="8" t="s">
        <v>17</v>
      </c>
      <c r="P535" s="8" t="s">
        <v>18</v>
      </c>
      <c r="Q535" s="8" t="s">
        <v>18</v>
      </c>
      <c r="R535" s="8" t="s">
        <v>2110</v>
      </c>
      <c r="S535" s="8" t="s">
        <v>2205</v>
      </c>
      <c r="T535" s="8" t="s">
        <v>2206</v>
      </c>
      <c r="U535" s="8" t="s">
        <v>2207</v>
      </c>
      <c r="V535" s="8" t="s">
        <v>577</v>
      </c>
      <c r="W535" s="8">
        <f t="shared" si="15"/>
        <v>3</v>
      </c>
      <c r="X535" s="8">
        <f>K535*L535*N535</f>
        <v>596296.32000000007</v>
      </c>
    </row>
    <row r="536" spans="1:24" s="8" customFormat="1" ht="41.5" customHeight="1">
      <c r="A536" s="8" t="s">
        <v>2280</v>
      </c>
      <c r="B536" s="8" t="s">
        <v>2483</v>
      </c>
      <c r="C536" s="9">
        <v>45912.632513842596</v>
      </c>
      <c r="D536" s="8" t="s">
        <v>2056</v>
      </c>
      <c r="E536" s="8" t="s">
        <v>2057</v>
      </c>
      <c r="F536" s="8">
        <v>3</v>
      </c>
      <c r="G536" s="22" t="s">
        <v>594</v>
      </c>
      <c r="H536" s="8" t="s">
        <v>594</v>
      </c>
      <c r="I536" s="2" t="str">
        <f t="shared" si="16"/>
        <v>Lưỡi cưa hợp kim (A87242)</v>
      </c>
      <c r="J536" s="8" t="s">
        <v>15</v>
      </c>
      <c r="K536" s="10">
        <v>2</v>
      </c>
      <c r="L536" s="10">
        <v>1435185</v>
      </c>
      <c r="M536" s="11">
        <v>2870370</v>
      </c>
      <c r="N536" s="8" t="s">
        <v>16</v>
      </c>
      <c r="O536" s="8" t="s">
        <v>17</v>
      </c>
      <c r="P536" s="8" t="s">
        <v>18</v>
      </c>
      <c r="Q536" s="8" t="s">
        <v>18</v>
      </c>
      <c r="R536" s="8" t="s">
        <v>2110</v>
      </c>
      <c r="S536" s="8" t="s">
        <v>2205</v>
      </c>
      <c r="T536" s="8" t="s">
        <v>2206</v>
      </c>
      <c r="U536" s="8" t="s">
        <v>2207</v>
      </c>
      <c r="V536" s="8" t="s">
        <v>577</v>
      </c>
      <c r="W536" s="8">
        <f t="shared" si="15"/>
        <v>3</v>
      </c>
      <c r="X536" s="8">
        <f>K536*L536*N536</f>
        <v>229629.6</v>
      </c>
    </row>
    <row r="537" spans="1:24" s="8" customFormat="1" ht="41.5" customHeight="1">
      <c r="A537" s="8" t="s">
        <v>2280</v>
      </c>
      <c r="B537" s="8" t="s">
        <v>2483</v>
      </c>
      <c r="C537" s="9">
        <v>45912.632513842596</v>
      </c>
      <c r="D537" s="8" t="s">
        <v>2056</v>
      </c>
      <c r="E537" s="8" t="s">
        <v>2057</v>
      </c>
      <c r="F537" s="8">
        <v>4</v>
      </c>
      <c r="G537" s="27" t="s">
        <v>2260</v>
      </c>
      <c r="H537" s="8" t="s">
        <v>595</v>
      </c>
      <c r="I537" s="2" t="str">
        <f t="shared" si="16"/>
        <v>Máy cưa đĩa M5801</v>
      </c>
      <c r="J537" s="8" t="s">
        <v>15</v>
      </c>
      <c r="K537" s="10">
        <v>3</v>
      </c>
      <c r="L537" s="10">
        <v>1409259</v>
      </c>
      <c r="M537" s="11">
        <v>4227777</v>
      </c>
      <c r="N537" s="8" t="s">
        <v>16</v>
      </c>
      <c r="O537" s="8" t="s">
        <v>17</v>
      </c>
      <c r="P537" s="8" t="s">
        <v>18</v>
      </c>
      <c r="Q537" s="8" t="s">
        <v>18</v>
      </c>
      <c r="R537" s="8" t="s">
        <v>2110</v>
      </c>
      <c r="S537" s="8" t="s">
        <v>2205</v>
      </c>
      <c r="T537" s="8" t="s">
        <v>2206</v>
      </c>
      <c r="U537" s="8" t="s">
        <v>2207</v>
      </c>
      <c r="V537" s="8" t="s">
        <v>577</v>
      </c>
      <c r="W537" s="8">
        <f t="shared" si="15"/>
        <v>3</v>
      </c>
      <c r="X537" s="8">
        <f>K537*L537*N537</f>
        <v>338222.16000000003</v>
      </c>
    </row>
    <row r="538" spans="1:24" s="8" customFormat="1" ht="41.5" customHeight="1">
      <c r="A538" s="8" t="s">
        <v>2280</v>
      </c>
      <c r="B538" s="8" t="s">
        <v>2483</v>
      </c>
      <c r="C538" s="9">
        <v>45912.632513842596</v>
      </c>
      <c r="D538" s="8" t="s">
        <v>2056</v>
      </c>
      <c r="E538" s="8" t="s">
        <v>2057</v>
      </c>
      <c r="F538" s="8">
        <v>5</v>
      </c>
      <c r="G538" s="22" t="s">
        <v>1620</v>
      </c>
      <c r="H538" s="8" t="s">
        <v>596</v>
      </c>
      <c r="I538" s="2" t="str">
        <f t="shared" si="16"/>
        <v>Lưỡi cưa (P67991)</v>
      </c>
      <c r="J538" s="8" t="s">
        <v>15</v>
      </c>
      <c r="K538" s="10">
        <v>1</v>
      </c>
      <c r="L538" s="10">
        <v>331482</v>
      </c>
      <c r="M538" s="11">
        <v>331482</v>
      </c>
      <c r="N538" s="8" t="s">
        <v>16</v>
      </c>
      <c r="O538" s="8" t="s">
        <v>17</v>
      </c>
      <c r="P538" s="8" t="s">
        <v>18</v>
      </c>
      <c r="Q538" s="8" t="s">
        <v>18</v>
      </c>
      <c r="R538" s="8" t="s">
        <v>2110</v>
      </c>
      <c r="S538" s="8" t="s">
        <v>2205</v>
      </c>
      <c r="T538" s="8" t="s">
        <v>2206</v>
      </c>
      <c r="U538" s="8" t="s">
        <v>2207</v>
      </c>
      <c r="V538" s="8" t="s">
        <v>577</v>
      </c>
      <c r="W538" s="8">
        <f t="shared" si="15"/>
        <v>3</v>
      </c>
      <c r="X538" s="8">
        <f>K538*L538*N538</f>
        <v>26518.560000000001</v>
      </c>
    </row>
    <row r="539" spans="1:24" s="8" customFormat="1" ht="41.5" customHeight="1">
      <c r="A539" s="8" t="s">
        <v>2312</v>
      </c>
      <c r="B539" s="8" t="s">
        <v>2484</v>
      </c>
      <c r="C539" s="9">
        <v>45925.4469215278</v>
      </c>
      <c r="D539" s="8" t="s">
        <v>2208</v>
      </c>
      <c r="E539" s="8" t="s">
        <v>2057</v>
      </c>
      <c r="F539" s="8">
        <v>1</v>
      </c>
      <c r="G539" s="2">
        <v>642</v>
      </c>
      <c r="H539" s="8" t="s">
        <v>26</v>
      </c>
      <c r="I539" s="2">
        <f t="shared" si="16"/>
        <v>642</v>
      </c>
      <c r="J539" s="8" t="s">
        <v>27</v>
      </c>
      <c r="K539" s="10">
        <v>41.951000000000001</v>
      </c>
      <c r="L539" s="10">
        <v>17657.41</v>
      </c>
      <c r="M539" s="11">
        <v>740741</v>
      </c>
      <c r="N539" s="8" t="s">
        <v>16</v>
      </c>
      <c r="O539" s="8" t="s">
        <v>17</v>
      </c>
      <c r="P539" s="8" t="s">
        <v>18</v>
      </c>
      <c r="Q539" s="8" t="s">
        <v>18</v>
      </c>
      <c r="R539" s="8" t="s">
        <v>2110</v>
      </c>
      <c r="S539" s="8" t="s">
        <v>2209</v>
      </c>
      <c r="T539" s="8" t="s">
        <v>2210</v>
      </c>
      <c r="U539" s="8" t="s">
        <v>2242</v>
      </c>
      <c r="V539" s="8" t="s">
        <v>550</v>
      </c>
      <c r="W539" s="8">
        <f t="shared" si="15"/>
        <v>3</v>
      </c>
      <c r="X539" s="8">
        <f>K539*L539*N539</f>
        <v>59259.680552800004</v>
      </c>
    </row>
    <row r="540" spans="1:24" s="8" customFormat="1" ht="41.5" customHeight="1">
      <c r="A540" s="8" t="s">
        <v>2312</v>
      </c>
      <c r="B540" s="8" t="s">
        <v>2485</v>
      </c>
      <c r="C540" s="9">
        <v>45902.389288032398</v>
      </c>
      <c r="D540" s="8" t="s">
        <v>2208</v>
      </c>
      <c r="E540" s="8" t="s">
        <v>2057</v>
      </c>
      <c r="F540" s="8">
        <v>1</v>
      </c>
      <c r="G540" s="2">
        <v>642</v>
      </c>
      <c r="H540" s="8" t="s">
        <v>26</v>
      </c>
      <c r="I540" s="2">
        <f t="shared" si="16"/>
        <v>642</v>
      </c>
      <c r="J540" s="8" t="s">
        <v>27</v>
      </c>
      <c r="K540" s="10">
        <v>53.447000000000003</v>
      </c>
      <c r="L540" s="10">
        <v>17324.07</v>
      </c>
      <c r="M540" s="11">
        <v>925926</v>
      </c>
      <c r="N540" s="8" t="s">
        <v>16</v>
      </c>
      <c r="O540" s="8" t="s">
        <v>17</v>
      </c>
      <c r="P540" s="8" t="s">
        <v>18</v>
      </c>
      <c r="Q540" s="8" t="s">
        <v>18</v>
      </c>
      <c r="R540" s="8" t="s">
        <v>2110</v>
      </c>
      <c r="S540" s="8" t="s">
        <v>2209</v>
      </c>
      <c r="T540" s="8" t="s">
        <v>2210</v>
      </c>
      <c r="U540" s="8" t="s">
        <v>2242</v>
      </c>
      <c r="V540" s="8" t="s">
        <v>597</v>
      </c>
      <c r="W540" s="8">
        <f t="shared" si="15"/>
        <v>3</v>
      </c>
      <c r="X540" s="8">
        <f>K540*L540*N540</f>
        <v>74073.565543200006</v>
      </c>
    </row>
    <row r="541" spans="1:24" s="8" customFormat="1" ht="41.5" customHeight="1">
      <c r="A541" s="8" t="s">
        <v>2316</v>
      </c>
      <c r="B541" s="8" t="s">
        <v>2410</v>
      </c>
      <c r="C541" s="9">
        <v>45917.369861388899</v>
      </c>
      <c r="D541" s="8" t="s">
        <v>2056</v>
      </c>
      <c r="E541" s="8" t="s">
        <v>2057</v>
      </c>
      <c r="F541" s="8">
        <v>1</v>
      </c>
      <c r="G541" s="22" t="s">
        <v>2160</v>
      </c>
      <c r="H541" s="8" t="s">
        <v>113</v>
      </c>
      <c r="I541" s="2" t="str">
        <f t="shared" si="16"/>
        <v>Ván ép phủ phim 2 mặt Kt 2440x1220*15 mm</v>
      </c>
      <c r="J541" s="8" t="s">
        <v>114</v>
      </c>
      <c r="K541" s="10">
        <v>200</v>
      </c>
      <c r="L541" s="10">
        <v>280000</v>
      </c>
      <c r="M541" s="11">
        <v>56000000</v>
      </c>
      <c r="N541" s="8" t="s">
        <v>16</v>
      </c>
      <c r="O541" s="8" t="s">
        <v>17</v>
      </c>
      <c r="P541" s="8" t="s">
        <v>18</v>
      </c>
      <c r="Q541" s="8" t="s">
        <v>18</v>
      </c>
      <c r="R541" s="8" t="s">
        <v>2115</v>
      </c>
      <c r="S541" s="8" t="s">
        <v>2211</v>
      </c>
      <c r="T541" s="8" t="s">
        <v>2212</v>
      </c>
      <c r="U541" s="8" t="s">
        <v>2318</v>
      </c>
      <c r="V541" s="8" t="s">
        <v>598</v>
      </c>
      <c r="W541" s="8">
        <f t="shared" si="15"/>
        <v>3</v>
      </c>
      <c r="X541" s="8">
        <f>K541*L541*N541</f>
        <v>4480000</v>
      </c>
    </row>
    <row r="542" spans="1:24" s="8" customFormat="1" ht="41.5" customHeight="1">
      <c r="A542" s="8" t="s">
        <v>2316</v>
      </c>
      <c r="B542" s="8" t="s">
        <v>2410</v>
      </c>
      <c r="C542" s="9">
        <v>45917.369861388899</v>
      </c>
      <c r="D542" s="8" t="s">
        <v>2056</v>
      </c>
      <c r="E542" s="8" t="s">
        <v>2057</v>
      </c>
      <c r="F542" s="8">
        <v>2</v>
      </c>
      <c r="G542" s="2">
        <v>642</v>
      </c>
      <c r="H542" s="8" t="s">
        <v>536</v>
      </c>
      <c r="I542" s="2">
        <f t="shared" si="16"/>
        <v>642</v>
      </c>
      <c r="J542" s="8" t="s">
        <v>164</v>
      </c>
      <c r="K542" s="10">
        <v>1</v>
      </c>
      <c r="L542" s="10">
        <v>2500000</v>
      </c>
      <c r="M542" s="11">
        <v>2500000</v>
      </c>
      <c r="N542" s="8" t="s">
        <v>16</v>
      </c>
      <c r="O542" s="8" t="s">
        <v>17</v>
      </c>
      <c r="P542" s="8" t="s">
        <v>18</v>
      </c>
      <c r="Q542" s="8" t="s">
        <v>18</v>
      </c>
      <c r="R542" s="8" t="s">
        <v>2115</v>
      </c>
      <c r="S542" s="8" t="s">
        <v>2211</v>
      </c>
      <c r="T542" s="8" t="s">
        <v>2212</v>
      </c>
      <c r="U542" s="8" t="s">
        <v>2318</v>
      </c>
      <c r="V542" s="8" t="s">
        <v>598</v>
      </c>
      <c r="W542" s="8">
        <f t="shared" si="15"/>
        <v>3</v>
      </c>
      <c r="X542" s="8">
        <f>K542*L542*N542</f>
        <v>200000</v>
      </c>
    </row>
    <row r="543" spans="1:24" s="8" customFormat="1" ht="41.5" customHeight="1">
      <c r="A543" s="8" t="s">
        <v>2486</v>
      </c>
      <c r="B543" s="8" t="s">
        <v>2487</v>
      </c>
      <c r="C543" s="9">
        <v>45924.596607048603</v>
      </c>
      <c r="D543" s="8" t="s">
        <v>2488</v>
      </c>
      <c r="E543" s="8" t="s">
        <v>2057</v>
      </c>
      <c r="F543" s="8">
        <v>1</v>
      </c>
      <c r="G543" s="22" t="s">
        <v>599</v>
      </c>
      <c r="H543" s="8" t="s">
        <v>599</v>
      </c>
      <c r="I543" s="2" t="str">
        <f t="shared" si="16"/>
        <v>Bệt V1021</v>
      </c>
      <c r="J543" s="8" t="s">
        <v>53</v>
      </c>
      <c r="K543" s="10">
        <v>6</v>
      </c>
      <c r="L543" s="10">
        <v>1551851.83</v>
      </c>
      <c r="M543" s="11">
        <v>9311111</v>
      </c>
      <c r="N543" s="8" t="s">
        <v>16</v>
      </c>
      <c r="O543" s="8" t="s">
        <v>17</v>
      </c>
      <c r="P543" s="8" t="s">
        <v>18</v>
      </c>
      <c r="Q543" s="8" t="s">
        <v>18</v>
      </c>
      <c r="R543" s="8" t="s">
        <v>2156</v>
      </c>
      <c r="S543" s="8" t="s">
        <v>2489</v>
      </c>
      <c r="T543" s="8" t="s">
        <v>2490</v>
      </c>
      <c r="U543" s="8" t="s">
        <v>2491</v>
      </c>
      <c r="V543" s="8" t="s">
        <v>581</v>
      </c>
      <c r="W543" s="8">
        <f t="shared" si="15"/>
        <v>3</v>
      </c>
      <c r="X543" s="8">
        <f>K543*L543*N543</f>
        <v>744888.87840000005</v>
      </c>
    </row>
    <row r="544" spans="1:24" s="23" customFormat="1" ht="41.5" customHeight="1">
      <c r="A544" s="23" t="s">
        <v>2492</v>
      </c>
      <c r="B544" s="23" t="s">
        <v>2493</v>
      </c>
      <c r="C544" s="24">
        <v>45927.818282499997</v>
      </c>
      <c r="D544" s="23" t="s">
        <v>2056</v>
      </c>
      <c r="E544" s="23" t="s">
        <v>2057</v>
      </c>
      <c r="F544" s="23">
        <v>1</v>
      </c>
      <c r="G544" s="23">
        <v>642</v>
      </c>
      <c r="H544" s="23" t="s">
        <v>600</v>
      </c>
      <c r="I544" s="2">
        <f t="shared" si="16"/>
        <v>642</v>
      </c>
      <c r="J544" s="23" t="s">
        <v>601</v>
      </c>
      <c r="K544" s="25">
        <v>1</v>
      </c>
      <c r="L544" s="25">
        <v>0</v>
      </c>
      <c r="M544" s="26">
        <v>0</v>
      </c>
      <c r="N544" s="23" t="s">
        <v>602</v>
      </c>
      <c r="O544" s="23" t="s">
        <v>17</v>
      </c>
      <c r="P544" s="23" t="s">
        <v>18</v>
      </c>
      <c r="Q544" s="23" t="s">
        <v>18</v>
      </c>
      <c r="R544" s="23" t="s">
        <v>2494</v>
      </c>
      <c r="S544" s="23" t="s">
        <v>2495</v>
      </c>
      <c r="T544" s="23" t="s">
        <v>2496</v>
      </c>
      <c r="U544" s="23" t="s">
        <v>2497</v>
      </c>
      <c r="V544" s="23" t="s">
        <v>588</v>
      </c>
      <c r="W544" s="23">
        <f t="shared" si="15"/>
        <v>3</v>
      </c>
      <c r="X544" s="8">
        <v>0</v>
      </c>
    </row>
    <row r="545" spans="1:24" s="23" customFormat="1" ht="41.5" customHeight="1">
      <c r="A545" s="23" t="s">
        <v>2492</v>
      </c>
      <c r="B545" s="23" t="s">
        <v>2493</v>
      </c>
      <c r="C545" s="24">
        <v>45927.818282499997</v>
      </c>
      <c r="D545" s="23" t="s">
        <v>2056</v>
      </c>
      <c r="E545" s="23" t="s">
        <v>2057</v>
      </c>
      <c r="F545" s="23">
        <v>2</v>
      </c>
      <c r="G545" s="23">
        <v>642</v>
      </c>
      <c r="H545" s="23" t="s">
        <v>603</v>
      </c>
      <c r="I545" s="2">
        <f t="shared" si="16"/>
        <v>642</v>
      </c>
      <c r="J545" s="23" t="s">
        <v>15</v>
      </c>
      <c r="K545" s="25">
        <v>1</v>
      </c>
      <c r="L545" s="25">
        <v>1101852</v>
      </c>
      <c r="M545" s="26">
        <v>1101852</v>
      </c>
      <c r="N545" s="23" t="s">
        <v>16</v>
      </c>
      <c r="O545" s="23" t="s">
        <v>17</v>
      </c>
      <c r="P545" s="23" t="s">
        <v>18</v>
      </c>
      <c r="Q545" s="23" t="s">
        <v>18</v>
      </c>
      <c r="R545" s="23" t="s">
        <v>2494</v>
      </c>
      <c r="S545" s="23" t="s">
        <v>2495</v>
      </c>
      <c r="T545" s="23" t="s">
        <v>2496</v>
      </c>
      <c r="U545" s="23" t="s">
        <v>2497</v>
      </c>
      <c r="V545" s="23" t="s">
        <v>588</v>
      </c>
      <c r="W545" s="23">
        <f t="shared" si="15"/>
        <v>3</v>
      </c>
      <c r="X545" s="8">
        <f>K545*L545*N545</f>
        <v>88148.160000000003</v>
      </c>
    </row>
    <row r="546" spans="1:24" s="23" customFormat="1" ht="41.5" customHeight="1">
      <c r="A546" s="23" t="s">
        <v>2492</v>
      </c>
      <c r="B546" s="23" t="s">
        <v>2498</v>
      </c>
      <c r="C546" s="24">
        <v>45927.8179253009</v>
      </c>
      <c r="D546" s="23" t="s">
        <v>2499</v>
      </c>
      <c r="E546" s="23" t="s">
        <v>2057</v>
      </c>
      <c r="F546" s="23">
        <v>1</v>
      </c>
      <c r="G546" s="23">
        <v>642</v>
      </c>
      <c r="H546" s="23" t="s">
        <v>600</v>
      </c>
      <c r="I546" s="2">
        <f t="shared" si="16"/>
        <v>642</v>
      </c>
      <c r="J546" s="23" t="s">
        <v>601</v>
      </c>
      <c r="K546" s="25">
        <v>1</v>
      </c>
      <c r="L546" s="25">
        <v>0</v>
      </c>
      <c r="M546" s="26">
        <v>0</v>
      </c>
      <c r="N546" s="23" t="s">
        <v>602</v>
      </c>
      <c r="O546" s="23" t="s">
        <v>17</v>
      </c>
      <c r="P546" s="23" t="s">
        <v>18</v>
      </c>
      <c r="Q546" s="23" t="s">
        <v>18</v>
      </c>
      <c r="R546" s="23" t="s">
        <v>2494</v>
      </c>
      <c r="S546" s="23" t="s">
        <v>2495</v>
      </c>
      <c r="T546" s="23" t="s">
        <v>2496</v>
      </c>
      <c r="U546" s="23" t="s">
        <v>2497</v>
      </c>
      <c r="V546" s="23" t="s">
        <v>588</v>
      </c>
      <c r="W546" s="23">
        <f t="shared" ref="W546:W609" si="17">ROUNDUP(MONTH(V546)/3,0)</f>
        <v>3</v>
      </c>
      <c r="X546" s="8">
        <v>0</v>
      </c>
    </row>
    <row r="547" spans="1:24" s="23" customFormat="1" ht="41.5" customHeight="1">
      <c r="A547" s="23" t="s">
        <v>2492</v>
      </c>
      <c r="B547" s="23" t="s">
        <v>2498</v>
      </c>
      <c r="C547" s="24">
        <v>45927.8179253009</v>
      </c>
      <c r="D547" s="23" t="s">
        <v>2499</v>
      </c>
      <c r="E547" s="23" t="s">
        <v>2057</v>
      </c>
      <c r="F547" s="23">
        <v>2</v>
      </c>
      <c r="G547" s="23">
        <v>642</v>
      </c>
      <c r="H547" s="23" t="s">
        <v>603</v>
      </c>
      <c r="I547" s="2">
        <f t="shared" si="16"/>
        <v>642</v>
      </c>
      <c r="J547" s="23" t="s">
        <v>15</v>
      </c>
      <c r="K547" s="25">
        <v>1</v>
      </c>
      <c r="L547" s="25">
        <v>1101852</v>
      </c>
      <c r="M547" s="26">
        <v>1101852</v>
      </c>
      <c r="N547" s="23" t="s">
        <v>16</v>
      </c>
      <c r="O547" s="23" t="s">
        <v>17</v>
      </c>
      <c r="P547" s="23" t="s">
        <v>18</v>
      </c>
      <c r="Q547" s="23" t="s">
        <v>18</v>
      </c>
      <c r="R547" s="23" t="s">
        <v>2494</v>
      </c>
      <c r="S547" s="23" t="s">
        <v>2495</v>
      </c>
      <c r="T547" s="23" t="s">
        <v>2496</v>
      </c>
      <c r="U547" s="23" t="s">
        <v>2497</v>
      </c>
      <c r="V547" s="23" t="s">
        <v>588</v>
      </c>
      <c r="W547" s="23">
        <f t="shared" si="17"/>
        <v>3</v>
      </c>
      <c r="X547" s="8">
        <f>K547*L547*N547</f>
        <v>88148.160000000003</v>
      </c>
    </row>
    <row r="548" spans="1:24" s="23" customFormat="1" ht="41.5" customHeight="1">
      <c r="A548" s="23" t="s">
        <v>2492</v>
      </c>
      <c r="B548" s="23" t="s">
        <v>2500</v>
      </c>
      <c r="C548" s="24">
        <v>45927.7889377662</v>
      </c>
      <c r="D548" s="23" t="s">
        <v>2056</v>
      </c>
      <c r="E548" s="23" t="s">
        <v>2057</v>
      </c>
      <c r="F548" s="23">
        <v>1</v>
      </c>
      <c r="G548" s="23">
        <v>642</v>
      </c>
      <c r="H548" s="23" t="s">
        <v>600</v>
      </c>
      <c r="I548" s="2">
        <f t="shared" si="16"/>
        <v>642</v>
      </c>
      <c r="J548" s="23" t="s">
        <v>601</v>
      </c>
      <c r="K548" s="25">
        <v>1</v>
      </c>
      <c r="L548" s="25">
        <v>0</v>
      </c>
      <c r="M548" s="26">
        <v>0</v>
      </c>
      <c r="N548" s="23" t="s">
        <v>602</v>
      </c>
      <c r="O548" s="23" t="s">
        <v>17</v>
      </c>
      <c r="P548" s="23" t="s">
        <v>18</v>
      </c>
      <c r="Q548" s="23" t="s">
        <v>18</v>
      </c>
      <c r="R548" s="23" t="s">
        <v>2494</v>
      </c>
      <c r="S548" s="23" t="s">
        <v>2495</v>
      </c>
      <c r="T548" s="23" t="s">
        <v>2496</v>
      </c>
      <c r="U548" s="23" t="s">
        <v>2497</v>
      </c>
      <c r="V548" s="23" t="s">
        <v>588</v>
      </c>
      <c r="W548" s="23">
        <f t="shared" si="17"/>
        <v>3</v>
      </c>
      <c r="X548" s="8">
        <v>0</v>
      </c>
    </row>
    <row r="549" spans="1:24" s="23" customFormat="1" ht="41.5" customHeight="1">
      <c r="A549" s="23" t="s">
        <v>2492</v>
      </c>
      <c r="B549" s="23" t="s">
        <v>2500</v>
      </c>
      <c r="C549" s="24">
        <v>45927.7889377662</v>
      </c>
      <c r="D549" s="23" t="s">
        <v>2056</v>
      </c>
      <c r="E549" s="23" t="s">
        <v>2057</v>
      </c>
      <c r="F549" s="23">
        <v>2</v>
      </c>
      <c r="G549" s="23">
        <v>642</v>
      </c>
      <c r="H549" s="23" t="s">
        <v>604</v>
      </c>
      <c r="I549" s="2">
        <f t="shared" si="16"/>
        <v>642</v>
      </c>
      <c r="J549" s="23" t="s">
        <v>15</v>
      </c>
      <c r="K549" s="25">
        <v>1</v>
      </c>
      <c r="L549" s="25">
        <v>546296</v>
      </c>
      <c r="M549" s="26">
        <v>546296</v>
      </c>
      <c r="N549" s="23" t="s">
        <v>16</v>
      </c>
      <c r="O549" s="23" t="s">
        <v>17</v>
      </c>
      <c r="P549" s="23" t="s">
        <v>18</v>
      </c>
      <c r="Q549" s="23" t="s">
        <v>18</v>
      </c>
      <c r="R549" s="23" t="s">
        <v>2494</v>
      </c>
      <c r="S549" s="23" t="s">
        <v>2495</v>
      </c>
      <c r="T549" s="23" t="s">
        <v>2496</v>
      </c>
      <c r="U549" s="23" t="s">
        <v>2497</v>
      </c>
      <c r="V549" s="23" t="s">
        <v>588</v>
      </c>
      <c r="W549" s="23">
        <f t="shared" si="17"/>
        <v>3</v>
      </c>
      <c r="X549" s="8">
        <f>K549*L549*N549</f>
        <v>43703.68</v>
      </c>
    </row>
    <row r="550" spans="1:24" s="23" customFormat="1" ht="41.5" customHeight="1">
      <c r="A550" s="23" t="s">
        <v>2492</v>
      </c>
      <c r="B550" s="23" t="s">
        <v>2501</v>
      </c>
      <c r="C550" s="24">
        <v>45919.604160659699</v>
      </c>
      <c r="D550" s="23" t="s">
        <v>2056</v>
      </c>
      <c r="E550" s="23" t="s">
        <v>2057</v>
      </c>
      <c r="F550" s="23">
        <v>1</v>
      </c>
      <c r="G550" s="23">
        <v>642</v>
      </c>
      <c r="H550" s="23" t="s">
        <v>605</v>
      </c>
      <c r="I550" s="2">
        <f t="shared" si="16"/>
        <v>642</v>
      </c>
      <c r="J550" s="23" t="s">
        <v>601</v>
      </c>
      <c r="K550" s="25">
        <v>1</v>
      </c>
      <c r="L550" s="25">
        <v>0</v>
      </c>
      <c r="M550" s="26">
        <v>0</v>
      </c>
      <c r="N550" s="23" t="s">
        <v>602</v>
      </c>
      <c r="O550" s="23" t="s">
        <v>17</v>
      </c>
      <c r="P550" s="23" t="s">
        <v>18</v>
      </c>
      <c r="Q550" s="23" t="s">
        <v>18</v>
      </c>
      <c r="R550" s="23" t="s">
        <v>2494</v>
      </c>
      <c r="S550" s="23" t="s">
        <v>2495</v>
      </c>
      <c r="T550" s="23" t="s">
        <v>2496</v>
      </c>
      <c r="U550" s="23" t="s">
        <v>2497</v>
      </c>
      <c r="V550" s="23" t="s">
        <v>606</v>
      </c>
      <c r="W550" s="23">
        <f t="shared" si="17"/>
        <v>3</v>
      </c>
      <c r="X550" s="8">
        <v>0</v>
      </c>
    </row>
    <row r="551" spans="1:24" s="23" customFormat="1" ht="41.5" customHeight="1">
      <c r="A551" s="23" t="s">
        <v>2492</v>
      </c>
      <c r="B551" s="23" t="s">
        <v>2501</v>
      </c>
      <c r="C551" s="24">
        <v>45919.604160659699</v>
      </c>
      <c r="D551" s="23" t="s">
        <v>2056</v>
      </c>
      <c r="E551" s="23" t="s">
        <v>2057</v>
      </c>
      <c r="F551" s="23">
        <v>2</v>
      </c>
      <c r="G551" s="23">
        <v>642</v>
      </c>
      <c r="H551" s="23" t="s">
        <v>607</v>
      </c>
      <c r="I551" s="2">
        <f t="shared" si="16"/>
        <v>642</v>
      </c>
      <c r="J551" s="23" t="s">
        <v>15</v>
      </c>
      <c r="K551" s="25">
        <v>1</v>
      </c>
      <c r="L551" s="25">
        <v>1010185</v>
      </c>
      <c r="M551" s="26">
        <v>1010185</v>
      </c>
      <c r="N551" s="23" t="s">
        <v>16</v>
      </c>
      <c r="O551" s="23" t="s">
        <v>17</v>
      </c>
      <c r="P551" s="23" t="s">
        <v>18</v>
      </c>
      <c r="Q551" s="23" t="s">
        <v>18</v>
      </c>
      <c r="R551" s="23" t="s">
        <v>2494</v>
      </c>
      <c r="S551" s="23" t="s">
        <v>2495</v>
      </c>
      <c r="T551" s="23" t="s">
        <v>2496</v>
      </c>
      <c r="U551" s="23" t="s">
        <v>2497</v>
      </c>
      <c r="V551" s="23" t="s">
        <v>606</v>
      </c>
      <c r="W551" s="23">
        <f t="shared" si="17"/>
        <v>3</v>
      </c>
      <c r="X551" s="8">
        <f>K551*L551*N551</f>
        <v>80814.8</v>
      </c>
    </row>
    <row r="552" spans="1:24" s="23" customFormat="1" ht="41.5" customHeight="1">
      <c r="A552" s="23" t="s">
        <v>2492</v>
      </c>
      <c r="B552" s="23" t="s">
        <v>2501</v>
      </c>
      <c r="C552" s="24">
        <v>45919.604160659699</v>
      </c>
      <c r="D552" s="23" t="s">
        <v>2056</v>
      </c>
      <c r="E552" s="23" t="s">
        <v>2057</v>
      </c>
      <c r="F552" s="23">
        <v>3</v>
      </c>
      <c r="G552" s="23">
        <v>642</v>
      </c>
      <c r="H552" s="23" t="s">
        <v>600</v>
      </c>
      <c r="I552" s="2">
        <f t="shared" si="16"/>
        <v>642</v>
      </c>
      <c r="J552" s="23" t="s">
        <v>601</v>
      </c>
      <c r="K552" s="25">
        <v>1</v>
      </c>
      <c r="L552" s="25">
        <v>0</v>
      </c>
      <c r="M552" s="26">
        <v>0</v>
      </c>
      <c r="N552" s="23" t="s">
        <v>602</v>
      </c>
      <c r="O552" s="23" t="s">
        <v>17</v>
      </c>
      <c r="P552" s="23" t="s">
        <v>18</v>
      </c>
      <c r="Q552" s="23" t="s">
        <v>18</v>
      </c>
      <c r="R552" s="23" t="s">
        <v>2494</v>
      </c>
      <c r="S552" s="23" t="s">
        <v>2495</v>
      </c>
      <c r="T552" s="23" t="s">
        <v>2496</v>
      </c>
      <c r="U552" s="23" t="s">
        <v>2497</v>
      </c>
      <c r="V552" s="23" t="s">
        <v>606</v>
      </c>
      <c r="W552" s="23">
        <f t="shared" si="17"/>
        <v>3</v>
      </c>
      <c r="X552" s="8">
        <v>0</v>
      </c>
    </row>
    <row r="553" spans="1:24" s="23" customFormat="1" ht="41.5" customHeight="1">
      <c r="A553" s="23" t="s">
        <v>2492</v>
      </c>
      <c r="B553" s="23" t="s">
        <v>2502</v>
      </c>
      <c r="C553" s="24">
        <v>45919.604414432899</v>
      </c>
      <c r="D553" s="23" t="s">
        <v>2056</v>
      </c>
      <c r="E553" s="23" t="s">
        <v>2057</v>
      </c>
      <c r="F553" s="23">
        <v>1</v>
      </c>
      <c r="G553" s="23">
        <v>642</v>
      </c>
      <c r="H553" s="23" t="s">
        <v>608</v>
      </c>
      <c r="I553" s="2">
        <f t="shared" si="16"/>
        <v>642</v>
      </c>
      <c r="J553" s="23" t="s">
        <v>601</v>
      </c>
      <c r="K553" s="25">
        <v>1</v>
      </c>
      <c r="L553" s="25">
        <v>0</v>
      </c>
      <c r="M553" s="26">
        <v>0</v>
      </c>
      <c r="N553" s="23" t="s">
        <v>602</v>
      </c>
      <c r="O553" s="23" t="s">
        <v>17</v>
      </c>
      <c r="P553" s="23" t="s">
        <v>18</v>
      </c>
      <c r="Q553" s="23" t="s">
        <v>18</v>
      </c>
      <c r="R553" s="23" t="s">
        <v>2494</v>
      </c>
      <c r="S553" s="23" t="s">
        <v>2495</v>
      </c>
      <c r="T553" s="23" t="s">
        <v>2496</v>
      </c>
      <c r="U553" s="23" t="s">
        <v>2497</v>
      </c>
      <c r="V553" s="23" t="s">
        <v>606</v>
      </c>
      <c r="W553" s="23">
        <f t="shared" si="17"/>
        <v>3</v>
      </c>
      <c r="X553" s="8">
        <v>0</v>
      </c>
    </row>
    <row r="554" spans="1:24" s="23" customFormat="1" ht="41.5" customHeight="1">
      <c r="A554" s="23" t="s">
        <v>2492</v>
      </c>
      <c r="B554" s="23" t="s">
        <v>2502</v>
      </c>
      <c r="C554" s="24">
        <v>45919.604414432899</v>
      </c>
      <c r="D554" s="23" t="s">
        <v>2056</v>
      </c>
      <c r="E554" s="23" t="s">
        <v>2057</v>
      </c>
      <c r="F554" s="23">
        <v>2</v>
      </c>
      <c r="G554" s="23">
        <v>642</v>
      </c>
      <c r="H554" s="23" t="s">
        <v>600</v>
      </c>
      <c r="I554" s="2">
        <f t="shared" si="16"/>
        <v>642</v>
      </c>
      <c r="J554" s="23" t="s">
        <v>601</v>
      </c>
      <c r="K554" s="25">
        <v>1</v>
      </c>
      <c r="L554" s="25">
        <v>0</v>
      </c>
      <c r="M554" s="26">
        <v>0</v>
      </c>
      <c r="N554" s="23" t="s">
        <v>602</v>
      </c>
      <c r="O554" s="23" t="s">
        <v>17</v>
      </c>
      <c r="P554" s="23" t="s">
        <v>18</v>
      </c>
      <c r="Q554" s="23" t="s">
        <v>18</v>
      </c>
      <c r="R554" s="23" t="s">
        <v>2494</v>
      </c>
      <c r="S554" s="23" t="s">
        <v>2495</v>
      </c>
      <c r="T554" s="23" t="s">
        <v>2496</v>
      </c>
      <c r="U554" s="23" t="s">
        <v>2497</v>
      </c>
      <c r="V554" s="23" t="s">
        <v>606</v>
      </c>
      <c r="W554" s="23">
        <f t="shared" si="17"/>
        <v>3</v>
      </c>
      <c r="X554" s="8">
        <v>0</v>
      </c>
    </row>
    <row r="555" spans="1:24" s="23" customFormat="1" ht="41.5" customHeight="1">
      <c r="A555" s="23" t="s">
        <v>2492</v>
      </c>
      <c r="B555" s="23" t="s">
        <v>2502</v>
      </c>
      <c r="C555" s="24">
        <v>45919.604414432899</v>
      </c>
      <c r="D555" s="23" t="s">
        <v>2056</v>
      </c>
      <c r="E555" s="23" t="s">
        <v>2057</v>
      </c>
      <c r="F555" s="23">
        <v>3</v>
      </c>
      <c r="G555" s="23">
        <v>642</v>
      </c>
      <c r="H555" s="23" t="s">
        <v>609</v>
      </c>
      <c r="I555" s="2">
        <f t="shared" si="16"/>
        <v>642</v>
      </c>
      <c r="J555" s="23" t="s">
        <v>15</v>
      </c>
      <c r="K555" s="25">
        <v>1</v>
      </c>
      <c r="L555" s="25">
        <v>1935185</v>
      </c>
      <c r="M555" s="26">
        <v>1935185</v>
      </c>
      <c r="N555" s="23" t="s">
        <v>16</v>
      </c>
      <c r="O555" s="23" t="s">
        <v>17</v>
      </c>
      <c r="P555" s="23" t="s">
        <v>18</v>
      </c>
      <c r="Q555" s="23" t="s">
        <v>18</v>
      </c>
      <c r="R555" s="23" t="s">
        <v>2494</v>
      </c>
      <c r="S555" s="23" t="s">
        <v>2495</v>
      </c>
      <c r="T555" s="23" t="s">
        <v>2496</v>
      </c>
      <c r="U555" s="23" t="s">
        <v>2497</v>
      </c>
      <c r="V555" s="23" t="s">
        <v>606</v>
      </c>
      <c r="W555" s="23">
        <f t="shared" si="17"/>
        <v>3</v>
      </c>
      <c r="X555" s="8">
        <f>K555*L555*N555</f>
        <v>154814.80000000002</v>
      </c>
    </row>
    <row r="556" spans="1:24" s="23" customFormat="1" ht="41.5" customHeight="1">
      <c r="A556" s="23" t="s">
        <v>2492</v>
      </c>
      <c r="B556" s="23" t="s">
        <v>2502</v>
      </c>
      <c r="C556" s="24">
        <v>45919.604414432899</v>
      </c>
      <c r="D556" s="23" t="s">
        <v>2056</v>
      </c>
      <c r="E556" s="23" t="s">
        <v>2057</v>
      </c>
      <c r="F556" s="23">
        <v>4</v>
      </c>
      <c r="G556" s="23">
        <v>642</v>
      </c>
      <c r="H556" s="23" t="s">
        <v>600</v>
      </c>
      <c r="I556" s="2">
        <f t="shared" si="16"/>
        <v>642</v>
      </c>
      <c r="J556" s="23" t="s">
        <v>601</v>
      </c>
      <c r="K556" s="25">
        <v>1</v>
      </c>
      <c r="L556" s="25">
        <v>0</v>
      </c>
      <c r="M556" s="26">
        <v>0</v>
      </c>
      <c r="N556" s="23" t="s">
        <v>602</v>
      </c>
      <c r="O556" s="23" t="s">
        <v>17</v>
      </c>
      <c r="P556" s="23" t="s">
        <v>18</v>
      </c>
      <c r="Q556" s="23" t="s">
        <v>18</v>
      </c>
      <c r="R556" s="23" t="s">
        <v>2494</v>
      </c>
      <c r="S556" s="23" t="s">
        <v>2495</v>
      </c>
      <c r="T556" s="23" t="s">
        <v>2496</v>
      </c>
      <c r="U556" s="23" t="s">
        <v>2497</v>
      </c>
      <c r="V556" s="23" t="s">
        <v>606</v>
      </c>
      <c r="W556" s="23">
        <f t="shared" si="17"/>
        <v>3</v>
      </c>
      <c r="X556" s="8">
        <v>0</v>
      </c>
    </row>
    <row r="557" spans="1:24" s="23" customFormat="1" ht="41.5" customHeight="1">
      <c r="A557" s="23" t="s">
        <v>2492</v>
      </c>
      <c r="B557" s="23" t="s">
        <v>2502</v>
      </c>
      <c r="C557" s="24">
        <v>45919.604414432899</v>
      </c>
      <c r="D557" s="23" t="s">
        <v>2056</v>
      </c>
      <c r="E557" s="23" t="s">
        <v>2057</v>
      </c>
      <c r="F557" s="23">
        <v>5</v>
      </c>
      <c r="G557" s="23">
        <v>642</v>
      </c>
      <c r="H557" s="23" t="s">
        <v>605</v>
      </c>
      <c r="I557" s="2">
        <f t="shared" si="16"/>
        <v>642</v>
      </c>
      <c r="J557" s="23" t="s">
        <v>601</v>
      </c>
      <c r="K557" s="25">
        <v>1</v>
      </c>
      <c r="L557" s="25">
        <v>0</v>
      </c>
      <c r="M557" s="26">
        <v>0</v>
      </c>
      <c r="N557" s="23" t="s">
        <v>602</v>
      </c>
      <c r="O557" s="23" t="s">
        <v>17</v>
      </c>
      <c r="P557" s="23" t="s">
        <v>18</v>
      </c>
      <c r="Q557" s="23" t="s">
        <v>18</v>
      </c>
      <c r="R557" s="23" t="s">
        <v>2494</v>
      </c>
      <c r="S557" s="23" t="s">
        <v>2495</v>
      </c>
      <c r="T557" s="23" t="s">
        <v>2496</v>
      </c>
      <c r="U557" s="23" t="s">
        <v>2497</v>
      </c>
      <c r="V557" s="23" t="s">
        <v>606</v>
      </c>
      <c r="W557" s="23">
        <f t="shared" si="17"/>
        <v>3</v>
      </c>
      <c r="X557" s="8">
        <v>0</v>
      </c>
    </row>
    <row r="558" spans="1:24" s="23" customFormat="1" ht="41.5" customHeight="1">
      <c r="A558" s="23" t="s">
        <v>2492</v>
      </c>
      <c r="B558" s="23" t="s">
        <v>2502</v>
      </c>
      <c r="C558" s="24">
        <v>45919.604414432899</v>
      </c>
      <c r="D558" s="23" t="s">
        <v>2056</v>
      </c>
      <c r="E558" s="23" t="s">
        <v>2057</v>
      </c>
      <c r="F558" s="23">
        <v>6</v>
      </c>
      <c r="G558" s="23">
        <v>642</v>
      </c>
      <c r="H558" s="23" t="s">
        <v>605</v>
      </c>
      <c r="I558" s="2">
        <f t="shared" si="16"/>
        <v>642</v>
      </c>
      <c r="J558" s="23" t="s">
        <v>601</v>
      </c>
      <c r="K558" s="25">
        <v>1</v>
      </c>
      <c r="L558" s="25">
        <v>0</v>
      </c>
      <c r="M558" s="26">
        <v>0</v>
      </c>
      <c r="N558" s="23" t="s">
        <v>602</v>
      </c>
      <c r="O558" s="23" t="s">
        <v>17</v>
      </c>
      <c r="P558" s="23" t="s">
        <v>18</v>
      </c>
      <c r="Q558" s="23" t="s">
        <v>18</v>
      </c>
      <c r="R558" s="23" t="s">
        <v>2494</v>
      </c>
      <c r="S558" s="23" t="s">
        <v>2495</v>
      </c>
      <c r="T558" s="23" t="s">
        <v>2496</v>
      </c>
      <c r="U558" s="23" t="s">
        <v>2497</v>
      </c>
      <c r="V558" s="23" t="s">
        <v>606</v>
      </c>
      <c r="W558" s="23">
        <f t="shared" si="17"/>
        <v>3</v>
      </c>
      <c r="X558" s="8">
        <v>0</v>
      </c>
    </row>
    <row r="559" spans="1:24" s="23" customFormat="1" ht="41.5" customHeight="1">
      <c r="A559" s="23" t="s">
        <v>2492</v>
      </c>
      <c r="B559" s="23" t="s">
        <v>2502</v>
      </c>
      <c r="C559" s="24">
        <v>45919.604414432899</v>
      </c>
      <c r="D559" s="23" t="s">
        <v>2056</v>
      </c>
      <c r="E559" s="23" t="s">
        <v>2057</v>
      </c>
      <c r="F559" s="23">
        <v>7</v>
      </c>
      <c r="G559" s="23">
        <v>642</v>
      </c>
      <c r="H559" s="23" t="s">
        <v>608</v>
      </c>
      <c r="I559" s="2">
        <f t="shared" si="16"/>
        <v>642</v>
      </c>
      <c r="J559" s="23" t="s">
        <v>601</v>
      </c>
      <c r="K559" s="25">
        <v>1</v>
      </c>
      <c r="L559" s="25">
        <v>0</v>
      </c>
      <c r="M559" s="26">
        <v>0</v>
      </c>
      <c r="N559" s="23" t="s">
        <v>602</v>
      </c>
      <c r="O559" s="23" t="s">
        <v>17</v>
      </c>
      <c r="P559" s="23" t="s">
        <v>18</v>
      </c>
      <c r="Q559" s="23" t="s">
        <v>18</v>
      </c>
      <c r="R559" s="23" t="s">
        <v>2494</v>
      </c>
      <c r="S559" s="23" t="s">
        <v>2495</v>
      </c>
      <c r="T559" s="23" t="s">
        <v>2496</v>
      </c>
      <c r="U559" s="23" t="s">
        <v>2497</v>
      </c>
      <c r="V559" s="23" t="s">
        <v>606</v>
      </c>
      <c r="W559" s="23">
        <f t="shared" si="17"/>
        <v>3</v>
      </c>
      <c r="X559" s="8">
        <v>0</v>
      </c>
    </row>
    <row r="560" spans="1:24" s="23" customFormat="1" ht="41.5" customHeight="1">
      <c r="A560" s="23" t="s">
        <v>2492</v>
      </c>
      <c r="B560" s="23" t="s">
        <v>2502</v>
      </c>
      <c r="C560" s="24">
        <v>45919.604414432899</v>
      </c>
      <c r="D560" s="23" t="s">
        <v>2056</v>
      </c>
      <c r="E560" s="23" t="s">
        <v>2057</v>
      </c>
      <c r="F560" s="23">
        <v>8</v>
      </c>
      <c r="G560" s="23">
        <v>642</v>
      </c>
      <c r="H560" s="23" t="s">
        <v>610</v>
      </c>
      <c r="I560" s="2">
        <f t="shared" si="16"/>
        <v>642</v>
      </c>
      <c r="J560" s="23" t="s">
        <v>15</v>
      </c>
      <c r="K560" s="25">
        <v>1</v>
      </c>
      <c r="L560" s="25">
        <v>37963</v>
      </c>
      <c r="M560" s="26">
        <v>37963</v>
      </c>
      <c r="N560" s="23" t="s">
        <v>16</v>
      </c>
      <c r="O560" s="23" t="s">
        <v>17</v>
      </c>
      <c r="P560" s="23" t="s">
        <v>18</v>
      </c>
      <c r="Q560" s="23" t="s">
        <v>18</v>
      </c>
      <c r="R560" s="23" t="s">
        <v>2494</v>
      </c>
      <c r="S560" s="23" t="s">
        <v>2495</v>
      </c>
      <c r="T560" s="23" t="s">
        <v>2496</v>
      </c>
      <c r="U560" s="23" t="s">
        <v>2497</v>
      </c>
      <c r="V560" s="23" t="s">
        <v>606</v>
      </c>
      <c r="W560" s="23">
        <f t="shared" si="17"/>
        <v>3</v>
      </c>
      <c r="X560" s="8">
        <f>K560*L560*N560</f>
        <v>3037.04</v>
      </c>
    </row>
    <row r="561" spans="1:24" s="23" customFormat="1" ht="41.5" customHeight="1">
      <c r="A561" s="23" t="s">
        <v>2492</v>
      </c>
      <c r="B561" s="23" t="s">
        <v>2502</v>
      </c>
      <c r="C561" s="24">
        <v>45919.604414432899</v>
      </c>
      <c r="D561" s="23" t="s">
        <v>2056</v>
      </c>
      <c r="E561" s="23" t="s">
        <v>2057</v>
      </c>
      <c r="F561" s="23">
        <v>9</v>
      </c>
      <c r="G561" s="23">
        <v>642</v>
      </c>
      <c r="H561" s="23" t="s">
        <v>611</v>
      </c>
      <c r="I561" s="2">
        <f t="shared" si="16"/>
        <v>642</v>
      </c>
      <c r="J561" s="23" t="s">
        <v>15</v>
      </c>
      <c r="K561" s="25">
        <v>1</v>
      </c>
      <c r="L561" s="25">
        <v>0</v>
      </c>
      <c r="M561" s="26">
        <v>0</v>
      </c>
      <c r="N561" s="23" t="s">
        <v>602</v>
      </c>
      <c r="O561" s="23" t="s">
        <v>17</v>
      </c>
      <c r="P561" s="23" t="s">
        <v>18</v>
      </c>
      <c r="Q561" s="23" t="s">
        <v>18</v>
      </c>
      <c r="R561" s="23" t="s">
        <v>2494</v>
      </c>
      <c r="S561" s="23" t="s">
        <v>2495</v>
      </c>
      <c r="T561" s="23" t="s">
        <v>2496</v>
      </c>
      <c r="U561" s="23" t="s">
        <v>2497</v>
      </c>
      <c r="V561" s="23" t="s">
        <v>606</v>
      </c>
      <c r="W561" s="23">
        <f t="shared" si="17"/>
        <v>3</v>
      </c>
      <c r="X561" s="8">
        <v>0</v>
      </c>
    </row>
    <row r="562" spans="1:24" s="23" customFormat="1" ht="41.5" customHeight="1">
      <c r="A562" s="23" t="s">
        <v>2492</v>
      </c>
      <c r="B562" s="23" t="s">
        <v>2502</v>
      </c>
      <c r="C562" s="24">
        <v>45919.604414432899</v>
      </c>
      <c r="D562" s="23" t="s">
        <v>2056</v>
      </c>
      <c r="E562" s="23" t="s">
        <v>2057</v>
      </c>
      <c r="F562" s="23">
        <v>10</v>
      </c>
      <c r="G562" s="23">
        <v>642</v>
      </c>
      <c r="H562" s="23" t="s">
        <v>612</v>
      </c>
      <c r="I562" s="2">
        <f t="shared" si="16"/>
        <v>642</v>
      </c>
      <c r="J562" s="23" t="s">
        <v>15</v>
      </c>
      <c r="K562" s="25">
        <v>1</v>
      </c>
      <c r="L562" s="25">
        <v>472222</v>
      </c>
      <c r="M562" s="26">
        <v>472222</v>
      </c>
      <c r="N562" s="23" t="s">
        <v>16</v>
      </c>
      <c r="O562" s="23" t="s">
        <v>17</v>
      </c>
      <c r="P562" s="23" t="s">
        <v>18</v>
      </c>
      <c r="Q562" s="23" t="s">
        <v>18</v>
      </c>
      <c r="R562" s="23" t="s">
        <v>2494</v>
      </c>
      <c r="S562" s="23" t="s">
        <v>2495</v>
      </c>
      <c r="T562" s="23" t="s">
        <v>2496</v>
      </c>
      <c r="U562" s="23" t="s">
        <v>2497</v>
      </c>
      <c r="V562" s="23" t="s">
        <v>606</v>
      </c>
      <c r="W562" s="23">
        <f t="shared" si="17"/>
        <v>3</v>
      </c>
      <c r="X562" s="8">
        <f>K562*L562*N562</f>
        <v>37777.760000000002</v>
      </c>
    </row>
    <row r="563" spans="1:24" s="23" customFormat="1" ht="41.5" customHeight="1">
      <c r="A563" s="23" t="s">
        <v>2492</v>
      </c>
      <c r="B563" s="23" t="s">
        <v>2502</v>
      </c>
      <c r="C563" s="24">
        <v>45919.604414432899</v>
      </c>
      <c r="D563" s="23" t="s">
        <v>2056</v>
      </c>
      <c r="E563" s="23" t="s">
        <v>2057</v>
      </c>
      <c r="F563" s="23">
        <v>11</v>
      </c>
      <c r="G563" s="23">
        <v>642</v>
      </c>
      <c r="H563" s="23" t="s">
        <v>600</v>
      </c>
      <c r="I563" s="2">
        <f t="shared" si="16"/>
        <v>642</v>
      </c>
      <c r="J563" s="23" t="s">
        <v>601</v>
      </c>
      <c r="K563" s="25">
        <v>1</v>
      </c>
      <c r="L563" s="25">
        <v>0</v>
      </c>
      <c r="M563" s="26">
        <v>0</v>
      </c>
      <c r="N563" s="23" t="s">
        <v>602</v>
      </c>
      <c r="O563" s="23" t="s">
        <v>17</v>
      </c>
      <c r="P563" s="23" t="s">
        <v>18</v>
      </c>
      <c r="Q563" s="23" t="s">
        <v>18</v>
      </c>
      <c r="R563" s="23" t="s">
        <v>2494</v>
      </c>
      <c r="S563" s="23" t="s">
        <v>2495</v>
      </c>
      <c r="T563" s="23" t="s">
        <v>2496</v>
      </c>
      <c r="U563" s="23" t="s">
        <v>2497</v>
      </c>
      <c r="V563" s="23" t="s">
        <v>606</v>
      </c>
      <c r="W563" s="23">
        <f t="shared" si="17"/>
        <v>3</v>
      </c>
      <c r="X563" s="8">
        <v>0</v>
      </c>
    </row>
    <row r="564" spans="1:24" s="23" customFormat="1" ht="41.5" customHeight="1">
      <c r="A564" s="23" t="s">
        <v>2492</v>
      </c>
      <c r="B564" s="23" t="s">
        <v>2502</v>
      </c>
      <c r="C564" s="24">
        <v>45919.604414432899</v>
      </c>
      <c r="D564" s="23" t="s">
        <v>2056</v>
      </c>
      <c r="E564" s="23" t="s">
        <v>2057</v>
      </c>
      <c r="F564" s="23">
        <v>12</v>
      </c>
      <c r="G564" s="23">
        <v>642</v>
      </c>
      <c r="H564" s="23" t="s">
        <v>608</v>
      </c>
      <c r="I564" s="2">
        <f t="shared" si="16"/>
        <v>642</v>
      </c>
      <c r="J564" s="23" t="s">
        <v>601</v>
      </c>
      <c r="K564" s="25">
        <v>1</v>
      </c>
      <c r="L564" s="25">
        <v>0</v>
      </c>
      <c r="M564" s="26">
        <v>0</v>
      </c>
      <c r="N564" s="23" t="s">
        <v>602</v>
      </c>
      <c r="O564" s="23" t="s">
        <v>17</v>
      </c>
      <c r="P564" s="23" t="s">
        <v>18</v>
      </c>
      <c r="Q564" s="23" t="s">
        <v>18</v>
      </c>
      <c r="R564" s="23" t="s">
        <v>2494</v>
      </c>
      <c r="S564" s="23" t="s">
        <v>2495</v>
      </c>
      <c r="T564" s="23" t="s">
        <v>2496</v>
      </c>
      <c r="U564" s="23" t="s">
        <v>2497</v>
      </c>
      <c r="V564" s="23" t="s">
        <v>606</v>
      </c>
      <c r="W564" s="23">
        <f t="shared" si="17"/>
        <v>3</v>
      </c>
      <c r="X564" s="8">
        <v>0</v>
      </c>
    </row>
    <row r="565" spans="1:24" s="23" customFormat="1" ht="41.5" customHeight="1">
      <c r="A565" s="23" t="s">
        <v>2492</v>
      </c>
      <c r="B565" s="23" t="s">
        <v>2502</v>
      </c>
      <c r="C565" s="24">
        <v>45919.604414432899</v>
      </c>
      <c r="D565" s="23" t="s">
        <v>2056</v>
      </c>
      <c r="E565" s="23" t="s">
        <v>2057</v>
      </c>
      <c r="F565" s="23">
        <v>13</v>
      </c>
      <c r="G565" s="23">
        <v>642</v>
      </c>
      <c r="H565" s="23" t="s">
        <v>613</v>
      </c>
      <c r="I565" s="2">
        <f t="shared" si="16"/>
        <v>642</v>
      </c>
      <c r="J565" s="23" t="s">
        <v>15</v>
      </c>
      <c r="K565" s="25">
        <v>1</v>
      </c>
      <c r="L565" s="25">
        <v>347222</v>
      </c>
      <c r="M565" s="26">
        <v>347222</v>
      </c>
      <c r="N565" s="23" t="s">
        <v>16</v>
      </c>
      <c r="O565" s="23" t="s">
        <v>17</v>
      </c>
      <c r="P565" s="23" t="s">
        <v>18</v>
      </c>
      <c r="Q565" s="23" t="s">
        <v>18</v>
      </c>
      <c r="R565" s="23" t="s">
        <v>2494</v>
      </c>
      <c r="S565" s="23" t="s">
        <v>2495</v>
      </c>
      <c r="T565" s="23" t="s">
        <v>2496</v>
      </c>
      <c r="U565" s="23" t="s">
        <v>2497</v>
      </c>
      <c r="V565" s="23" t="s">
        <v>606</v>
      </c>
      <c r="W565" s="23">
        <f t="shared" si="17"/>
        <v>3</v>
      </c>
      <c r="X565" s="8">
        <f>K565*L565*N565</f>
        <v>27777.760000000002</v>
      </c>
    </row>
    <row r="566" spans="1:24" s="23" customFormat="1" ht="41.5" customHeight="1">
      <c r="A566" s="23" t="s">
        <v>2492</v>
      </c>
      <c r="B566" s="23" t="s">
        <v>2502</v>
      </c>
      <c r="C566" s="24">
        <v>45919.604414432899</v>
      </c>
      <c r="D566" s="23" t="s">
        <v>2056</v>
      </c>
      <c r="E566" s="23" t="s">
        <v>2057</v>
      </c>
      <c r="F566" s="23">
        <v>14</v>
      </c>
      <c r="G566" s="23">
        <v>642</v>
      </c>
      <c r="H566" s="23" t="s">
        <v>614</v>
      </c>
      <c r="I566" s="2">
        <f t="shared" si="16"/>
        <v>642</v>
      </c>
      <c r="J566" s="23" t="s">
        <v>15</v>
      </c>
      <c r="K566" s="25">
        <v>1</v>
      </c>
      <c r="L566" s="25">
        <v>350926</v>
      </c>
      <c r="M566" s="26">
        <v>350926</v>
      </c>
      <c r="N566" s="23" t="s">
        <v>16</v>
      </c>
      <c r="O566" s="23" t="s">
        <v>17</v>
      </c>
      <c r="P566" s="23" t="s">
        <v>18</v>
      </c>
      <c r="Q566" s="23" t="s">
        <v>18</v>
      </c>
      <c r="R566" s="23" t="s">
        <v>2494</v>
      </c>
      <c r="S566" s="23" t="s">
        <v>2495</v>
      </c>
      <c r="T566" s="23" t="s">
        <v>2496</v>
      </c>
      <c r="U566" s="23" t="s">
        <v>2497</v>
      </c>
      <c r="V566" s="23" t="s">
        <v>606</v>
      </c>
      <c r="W566" s="23">
        <f t="shared" si="17"/>
        <v>3</v>
      </c>
      <c r="X566" s="8">
        <f>K566*L566*N566</f>
        <v>28074.080000000002</v>
      </c>
    </row>
    <row r="567" spans="1:24" s="8" customFormat="1" ht="41.5" customHeight="1">
      <c r="A567" s="8" t="s">
        <v>2361</v>
      </c>
      <c r="B567" s="8" t="s">
        <v>2503</v>
      </c>
      <c r="C567" s="9">
        <v>45912.447531840298</v>
      </c>
      <c r="D567" s="8" t="s">
        <v>2056</v>
      </c>
      <c r="E567" s="8" t="s">
        <v>2057</v>
      </c>
      <c r="F567" s="8">
        <v>1</v>
      </c>
      <c r="G567" s="22" t="s">
        <v>1575</v>
      </c>
      <c r="H567" s="8" t="s">
        <v>615</v>
      </c>
      <c r="I567" s="2" t="str">
        <f t="shared" si="16"/>
        <v>Nút tai chống ồn ARUSHA (có dây)</v>
      </c>
      <c r="J567" s="8" t="s">
        <v>616</v>
      </c>
      <c r="K567" s="10">
        <v>200</v>
      </c>
      <c r="L567" s="10">
        <v>3800</v>
      </c>
      <c r="M567" s="11">
        <v>760000</v>
      </c>
      <c r="N567" s="8" t="s">
        <v>16</v>
      </c>
      <c r="O567" s="8" t="s">
        <v>17</v>
      </c>
      <c r="P567" s="8" t="s">
        <v>18</v>
      </c>
      <c r="Q567" s="8" t="s">
        <v>18</v>
      </c>
      <c r="R567" s="8" t="s">
        <v>2115</v>
      </c>
      <c r="S567" s="8" t="s">
        <v>2149</v>
      </c>
      <c r="T567" s="8" t="s">
        <v>2150</v>
      </c>
      <c r="U567" s="8" t="s">
        <v>2151</v>
      </c>
      <c r="V567" s="8" t="s">
        <v>577</v>
      </c>
      <c r="W567" s="8">
        <f t="shared" si="17"/>
        <v>3</v>
      </c>
      <c r="X567" s="8">
        <f>K567*L567*N567</f>
        <v>60800</v>
      </c>
    </row>
    <row r="568" spans="1:24" s="8" customFormat="1" ht="41.5" customHeight="1">
      <c r="A568" s="8" t="s">
        <v>2361</v>
      </c>
      <c r="B568" s="8" t="s">
        <v>2503</v>
      </c>
      <c r="C568" s="9">
        <v>45912.447531840298</v>
      </c>
      <c r="D568" s="8" t="s">
        <v>2056</v>
      </c>
      <c r="E568" s="8" t="s">
        <v>2057</v>
      </c>
      <c r="F568" s="8">
        <v>2</v>
      </c>
      <c r="G568" s="22" t="s">
        <v>79</v>
      </c>
      <c r="H568" s="8" t="s">
        <v>79</v>
      </c>
      <c r="I568" s="2" t="str">
        <f t="shared" si="16"/>
        <v>Khẩu trang 3M 9001</v>
      </c>
      <c r="J568" s="8" t="s">
        <v>15</v>
      </c>
      <c r="K568" s="10">
        <v>600</v>
      </c>
      <c r="L568" s="10">
        <v>7500</v>
      </c>
      <c r="M568" s="11">
        <v>4500000</v>
      </c>
      <c r="N568" s="8" t="s">
        <v>16</v>
      </c>
      <c r="O568" s="8" t="s">
        <v>17</v>
      </c>
      <c r="P568" s="8" t="s">
        <v>18</v>
      </c>
      <c r="Q568" s="8" t="s">
        <v>18</v>
      </c>
      <c r="R568" s="8" t="s">
        <v>2115</v>
      </c>
      <c r="S568" s="8" t="s">
        <v>2149</v>
      </c>
      <c r="T568" s="8" t="s">
        <v>2150</v>
      </c>
      <c r="U568" s="8" t="s">
        <v>2151</v>
      </c>
      <c r="V568" s="8" t="s">
        <v>577</v>
      </c>
      <c r="W568" s="8">
        <f t="shared" si="17"/>
        <v>3</v>
      </c>
      <c r="X568" s="8">
        <f>K568*L568*N568</f>
        <v>360000</v>
      </c>
    </row>
    <row r="569" spans="1:24" s="8" customFormat="1" ht="41.5" customHeight="1">
      <c r="A569" s="8" t="s">
        <v>2321</v>
      </c>
      <c r="B569" s="8" t="s">
        <v>2504</v>
      </c>
      <c r="C569" s="9">
        <v>45918.706693287</v>
      </c>
      <c r="D569" s="8" t="s">
        <v>2056</v>
      </c>
      <c r="E569" s="8" t="s">
        <v>2057</v>
      </c>
      <c r="F569" s="8">
        <v>1</v>
      </c>
      <c r="G569" s="2"/>
      <c r="H569" s="8" t="s">
        <v>80</v>
      </c>
      <c r="I569" s="2">
        <f t="shared" si="16"/>
        <v>0</v>
      </c>
      <c r="J569" s="8" t="s">
        <v>81</v>
      </c>
      <c r="K569" s="10">
        <v>60</v>
      </c>
      <c r="L569" s="10">
        <v>600000</v>
      </c>
      <c r="M569" s="11">
        <v>36000000</v>
      </c>
      <c r="N569" s="8" t="s">
        <v>16</v>
      </c>
      <c r="O569" s="8" t="s">
        <v>17</v>
      </c>
      <c r="P569" s="8" t="s">
        <v>18</v>
      </c>
      <c r="Q569" s="8" t="s">
        <v>18</v>
      </c>
      <c r="R569" s="8" t="s">
        <v>2115</v>
      </c>
      <c r="S569" s="8" t="s">
        <v>2152</v>
      </c>
      <c r="T569" s="8" t="s">
        <v>2153</v>
      </c>
      <c r="U569" s="8" t="s">
        <v>2154</v>
      </c>
      <c r="V569" s="8" t="s">
        <v>617</v>
      </c>
      <c r="W569" s="8">
        <f t="shared" si="17"/>
        <v>3</v>
      </c>
      <c r="X569" s="8">
        <f>K569*L569*N569</f>
        <v>2880000</v>
      </c>
    </row>
    <row r="570" spans="1:24" s="8" customFormat="1" ht="41.5" customHeight="1">
      <c r="A570" s="8" t="s">
        <v>2323</v>
      </c>
      <c r="B570" s="8" t="s">
        <v>2505</v>
      </c>
      <c r="C570" s="9">
        <v>45907.665462812503</v>
      </c>
      <c r="D570" s="8" t="s">
        <v>2056</v>
      </c>
      <c r="E570" s="8" t="s">
        <v>2057</v>
      </c>
      <c r="F570" s="8">
        <v>1</v>
      </c>
      <c r="G570" s="2"/>
      <c r="H570" s="8" t="s">
        <v>618</v>
      </c>
      <c r="I570" s="2">
        <f t="shared" si="16"/>
        <v>0</v>
      </c>
      <c r="J570" s="8" t="s">
        <v>53</v>
      </c>
      <c r="K570" s="10">
        <v>1</v>
      </c>
      <c r="L570" s="10">
        <v>0</v>
      </c>
      <c r="M570" s="11">
        <v>0</v>
      </c>
      <c r="N570" s="8" t="s">
        <v>16</v>
      </c>
      <c r="O570" s="8" t="s">
        <v>17</v>
      </c>
      <c r="P570" s="8" t="s">
        <v>18</v>
      </c>
      <c r="Q570" s="8" t="s">
        <v>18</v>
      </c>
      <c r="R570" s="8" t="s">
        <v>2156</v>
      </c>
      <c r="S570" s="8" t="s">
        <v>2157</v>
      </c>
      <c r="T570" s="8" t="s">
        <v>2158</v>
      </c>
      <c r="U570" s="8" t="s">
        <v>2159</v>
      </c>
      <c r="V570" s="8" t="s">
        <v>619</v>
      </c>
      <c r="W570" s="8">
        <f t="shared" si="17"/>
        <v>3</v>
      </c>
      <c r="X570" s="8">
        <f>K570*L570*N570</f>
        <v>0</v>
      </c>
    </row>
    <row r="571" spans="1:24" s="8" customFormat="1" ht="41.5" customHeight="1">
      <c r="A571" s="8" t="s">
        <v>2427</v>
      </c>
      <c r="B571" s="8" t="s">
        <v>2506</v>
      </c>
      <c r="C571" s="9">
        <v>45929.358879942098</v>
      </c>
      <c r="D571" s="8" t="s">
        <v>2056</v>
      </c>
      <c r="E571" s="8" t="s">
        <v>2057</v>
      </c>
      <c r="F571" s="8">
        <v>1</v>
      </c>
      <c r="G571" s="22" t="s">
        <v>448</v>
      </c>
      <c r="H571" s="8" t="s">
        <v>448</v>
      </c>
      <c r="I571" s="2" t="str">
        <f t="shared" si="16"/>
        <v>Dây an toàn toàn thân 2 móc</v>
      </c>
      <c r="J571" s="8" t="s">
        <v>15</v>
      </c>
      <c r="K571" s="10">
        <v>20</v>
      </c>
      <c r="L571" s="10">
        <v>135000</v>
      </c>
      <c r="M571" s="11">
        <v>2700000</v>
      </c>
      <c r="N571" s="8" t="s">
        <v>16</v>
      </c>
      <c r="O571" s="8" t="s">
        <v>17</v>
      </c>
      <c r="P571" s="8" t="s">
        <v>18</v>
      </c>
      <c r="Q571" s="8" t="s">
        <v>18</v>
      </c>
      <c r="R571" s="8" t="s">
        <v>2115</v>
      </c>
      <c r="S571" s="8" t="s">
        <v>2248</v>
      </c>
      <c r="T571" s="8" t="s">
        <v>2249</v>
      </c>
      <c r="U571" s="8" t="s">
        <v>2250</v>
      </c>
      <c r="V571" s="8" t="s">
        <v>620</v>
      </c>
      <c r="W571" s="8">
        <f t="shared" si="17"/>
        <v>3</v>
      </c>
      <c r="X571" s="8">
        <f>K571*L571*N571</f>
        <v>216000</v>
      </c>
    </row>
    <row r="572" spans="1:24" s="8" customFormat="1" ht="41.5" customHeight="1">
      <c r="A572" s="8" t="s">
        <v>2427</v>
      </c>
      <c r="B572" s="8" t="s">
        <v>2507</v>
      </c>
      <c r="C572" s="9">
        <v>45929.358606377296</v>
      </c>
      <c r="D572" s="8" t="s">
        <v>2056</v>
      </c>
      <c r="E572" s="8" t="s">
        <v>2057</v>
      </c>
      <c r="F572" s="8">
        <v>1</v>
      </c>
      <c r="G572" s="22" t="s">
        <v>300</v>
      </c>
      <c r="H572" s="8" t="s">
        <v>300</v>
      </c>
      <c r="I572" s="2" t="str">
        <f t="shared" si="16"/>
        <v>Côn sắt D16</v>
      </c>
      <c r="J572" s="8" t="s">
        <v>15</v>
      </c>
      <c r="K572" s="10">
        <v>1500</v>
      </c>
      <c r="L572" s="10">
        <v>17300</v>
      </c>
      <c r="M572" s="11">
        <v>25950000</v>
      </c>
      <c r="N572" s="8" t="s">
        <v>30</v>
      </c>
      <c r="O572" s="8" t="s">
        <v>17</v>
      </c>
      <c r="P572" s="8" t="s">
        <v>18</v>
      </c>
      <c r="Q572" s="8" t="s">
        <v>18</v>
      </c>
      <c r="R572" s="8" t="s">
        <v>2115</v>
      </c>
      <c r="S572" s="8" t="s">
        <v>2248</v>
      </c>
      <c r="T572" s="8" t="s">
        <v>2249</v>
      </c>
      <c r="U572" s="8" t="s">
        <v>2250</v>
      </c>
      <c r="V572" s="8" t="s">
        <v>620</v>
      </c>
      <c r="W572" s="8">
        <f t="shared" si="17"/>
        <v>3</v>
      </c>
      <c r="X572" s="8">
        <f>K572*L572*N572</f>
        <v>2595000</v>
      </c>
    </row>
    <row r="573" spans="1:24" s="8" customFormat="1" ht="41.5" customHeight="1">
      <c r="A573" s="8" t="s">
        <v>2427</v>
      </c>
      <c r="B573" s="8" t="s">
        <v>2507</v>
      </c>
      <c r="C573" s="9">
        <v>45929.358606377296</v>
      </c>
      <c r="D573" s="8" t="s">
        <v>2056</v>
      </c>
      <c r="E573" s="8" t="s">
        <v>2057</v>
      </c>
      <c r="F573" s="8">
        <v>2</v>
      </c>
      <c r="G573" s="27" t="s">
        <v>1194</v>
      </c>
      <c r="H573" s="8" t="s">
        <v>203</v>
      </c>
      <c r="I573" s="2" t="str">
        <f t="shared" si="16"/>
        <v>Bát ren D16</v>
      </c>
      <c r="J573" s="8" t="s">
        <v>15</v>
      </c>
      <c r="K573" s="10">
        <v>1000</v>
      </c>
      <c r="L573" s="10">
        <v>14400</v>
      </c>
      <c r="M573" s="11">
        <v>14400000</v>
      </c>
      <c r="N573" s="8" t="s">
        <v>30</v>
      </c>
      <c r="O573" s="8" t="s">
        <v>17</v>
      </c>
      <c r="P573" s="8" t="s">
        <v>18</v>
      </c>
      <c r="Q573" s="8" t="s">
        <v>18</v>
      </c>
      <c r="R573" s="8" t="s">
        <v>2115</v>
      </c>
      <c r="S573" s="8" t="s">
        <v>2248</v>
      </c>
      <c r="T573" s="8" t="s">
        <v>2249</v>
      </c>
      <c r="U573" s="8" t="s">
        <v>2250</v>
      </c>
      <c r="V573" s="8" t="s">
        <v>620</v>
      </c>
      <c r="W573" s="8">
        <f t="shared" si="17"/>
        <v>3</v>
      </c>
      <c r="X573" s="8">
        <f>K573*L573*N573</f>
        <v>1440000</v>
      </c>
    </row>
    <row r="574" spans="1:24" s="8" customFormat="1" ht="41.5" customHeight="1">
      <c r="A574" s="8" t="s">
        <v>2427</v>
      </c>
      <c r="B574" s="8" t="s">
        <v>2508</v>
      </c>
      <c r="C574" s="9">
        <v>45924.649879027798</v>
      </c>
      <c r="D574" s="8" t="s">
        <v>2056</v>
      </c>
      <c r="E574" s="8" t="s">
        <v>2057</v>
      </c>
      <c r="F574" s="8">
        <v>1</v>
      </c>
      <c r="G574" s="22" t="s">
        <v>627</v>
      </c>
      <c r="H574" s="8" t="s">
        <v>541</v>
      </c>
      <c r="I574" s="2" t="str">
        <f t="shared" si="16"/>
        <v>Bát ren D12 mạ</v>
      </c>
      <c r="J574" s="8" t="s">
        <v>15</v>
      </c>
      <c r="K574" s="10">
        <v>500</v>
      </c>
      <c r="L574" s="10">
        <v>13500</v>
      </c>
      <c r="M574" s="11">
        <v>6750000</v>
      </c>
      <c r="N574" s="8" t="s">
        <v>30</v>
      </c>
      <c r="O574" s="8" t="s">
        <v>17</v>
      </c>
      <c r="P574" s="8" t="s">
        <v>18</v>
      </c>
      <c r="Q574" s="8" t="s">
        <v>18</v>
      </c>
      <c r="R574" s="8" t="s">
        <v>2115</v>
      </c>
      <c r="S574" s="8" t="s">
        <v>2248</v>
      </c>
      <c r="T574" s="8" t="s">
        <v>2249</v>
      </c>
      <c r="U574" s="8" t="s">
        <v>2250</v>
      </c>
      <c r="V574" s="8" t="s">
        <v>581</v>
      </c>
      <c r="W574" s="8">
        <f t="shared" si="17"/>
        <v>3</v>
      </c>
      <c r="X574" s="8">
        <f>K574*L574*N574</f>
        <v>675000</v>
      </c>
    </row>
    <row r="575" spans="1:24" s="8" customFormat="1" ht="41.5" customHeight="1">
      <c r="A575" s="8" t="s">
        <v>2427</v>
      </c>
      <c r="B575" s="8" t="s">
        <v>2508</v>
      </c>
      <c r="C575" s="9">
        <v>45924.649879027798</v>
      </c>
      <c r="D575" s="8" t="s">
        <v>2056</v>
      </c>
      <c r="E575" s="8" t="s">
        <v>2057</v>
      </c>
      <c r="F575" s="8">
        <v>2</v>
      </c>
      <c r="G575" s="22" t="s">
        <v>621</v>
      </c>
      <c r="H575" s="8" t="s">
        <v>621</v>
      </c>
      <c r="I575" s="2" t="str">
        <f t="shared" si="16"/>
        <v>Tyren D12</v>
      </c>
      <c r="J575" s="8" t="s">
        <v>71</v>
      </c>
      <c r="K575" s="10">
        <v>300</v>
      </c>
      <c r="L575" s="10">
        <v>13500</v>
      </c>
      <c r="M575" s="11">
        <v>4050000</v>
      </c>
      <c r="N575" s="8" t="s">
        <v>30</v>
      </c>
      <c r="O575" s="8" t="s">
        <v>17</v>
      </c>
      <c r="P575" s="8" t="s">
        <v>18</v>
      </c>
      <c r="Q575" s="8" t="s">
        <v>18</v>
      </c>
      <c r="R575" s="8" t="s">
        <v>2115</v>
      </c>
      <c r="S575" s="8" t="s">
        <v>2248</v>
      </c>
      <c r="T575" s="8" t="s">
        <v>2249</v>
      </c>
      <c r="U575" s="8" t="s">
        <v>2250</v>
      </c>
      <c r="V575" s="8" t="s">
        <v>581</v>
      </c>
      <c r="W575" s="8">
        <f t="shared" si="17"/>
        <v>3</v>
      </c>
      <c r="X575" s="8">
        <f>K575*L575*N575</f>
        <v>405000</v>
      </c>
    </row>
    <row r="576" spans="1:24" s="8" customFormat="1" ht="41.5" customHeight="1">
      <c r="A576" s="8" t="s">
        <v>2427</v>
      </c>
      <c r="B576" s="8" t="s">
        <v>2509</v>
      </c>
      <c r="C576" s="9">
        <v>45924.647783657398</v>
      </c>
      <c r="D576" s="8" t="s">
        <v>2056</v>
      </c>
      <c r="E576" s="8" t="s">
        <v>2057</v>
      </c>
      <c r="F576" s="8">
        <v>1</v>
      </c>
      <c r="G576" s="22" t="s">
        <v>539</v>
      </c>
      <c r="H576" s="8" t="s">
        <v>539</v>
      </c>
      <c r="I576" s="2" t="str">
        <f t="shared" si="16"/>
        <v>Bạt nhựa PP</v>
      </c>
      <c r="J576" s="8" t="s">
        <v>127</v>
      </c>
      <c r="K576" s="10">
        <v>1</v>
      </c>
      <c r="L576" s="10">
        <v>390000</v>
      </c>
      <c r="M576" s="11">
        <v>390000</v>
      </c>
      <c r="N576" s="8" t="s">
        <v>16</v>
      </c>
      <c r="O576" s="8" t="s">
        <v>17</v>
      </c>
      <c r="P576" s="8" t="s">
        <v>18</v>
      </c>
      <c r="Q576" s="8" t="s">
        <v>18</v>
      </c>
      <c r="R576" s="8" t="s">
        <v>2115</v>
      </c>
      <c r="S576" s="8" t="s">
        <v>2248</v>
      </c>
      <c r="T576" s="8" t="s">
        <v>2249</v>
      </c>
      <c r="U576" s="8" t="s">
        <v>2250</v>
      </c>
      <c r="V576" s="8" t="s">
        <v>581</v>
      </c>
      <c r="W576" s="8">
        <f t="shared" si="17"/>
        <v>3</v>
      </c>
      <c r="X576" s="8">
        <f>K576*L576*N576</f>
        <v>31200</v>
      </c>
    </row>
    <row r="577" spans="1:24" s="8" customFormat="1" ht="41.5" customHeight="1">
      <c r="A577" s="8" t="s">
        <v>2427</v>
      </c>
      <c r="B577" s="8" t="s">
        <v>2509</v>
      </c>
      <c r="C577" s="9">
        <v>45924.647783657398</v>
      </c>
      <c r="D577" s="8" t="s">
        <v>2056</v>
      </c>
      <c r="E577" s="8" t="s">
        <v>2057</v>
      </c>
      <c r="F577" s="8">
        <v>2</v>
      </c>
      <c r="G577" s="22" t="s">
        <v>622</v>
      </c>
      <c r="H577" s="8" t="s">
        <v>622</v>
      </c>
      <c r="I577" s="2" t="str">
        <f t="shared" si="16"/>
        <v>Dây dù D12</v>
      </c>
      <c r="J577" s="8" t="s">
        <v>71</v>
      </c>
      <c r="K577" s="10">
        <v>215</v>
      </c>
      <c r="L577" s="10">
        <v>7000</v>
      </c>
      <c r="M577" s="11">
        <v>1505000</v>
      </c>
      <c r="N577" s="8" t="s">
        <v>16</v>
      </c>
      <c r="O577" s="8" t="s">
        <v>17</v>
      </c>
      <c r="P577" s="8" t="s">
        <v>18</v>
      </c>
      <c r="Q577" s="8" t="s">
        <v>18</v>
      </c>
      <c r="R577" s="8" t="s">
        <v>2115</v>
      </c>
      <c r="S577" s="8" t="s">
        <v>2248</v>
      </c>
      <c r="T577" s="8" t="s">
        <v>2249</v>
      </c>
      <c r="U577" s="8" t="s">
        <v>2250</v>
      </c>
      <c r="V577" s="8" t="s">
        <v>581</v>
      </c>
      <c r="W577" s="8">
        <f t="shared" si="17"/>
        <v>3</v>
      </c>
      <c r="X577" s="8">
        <f>K577*L577*N577</f>
        <v>120400</v>
      </c>
    </row>
    <row r="578" spans="1:24" s="8" customFormat="1" ht="41.5" customHeight="1">
      <c r="A578" s="8" t="s">
        <v>2427</v>
      </c>
      <c r="B578" s="8" t="s">
        <v>2509</v>
      </c>
      <c r="C578" s="9">
        <v>45924.647783657398</v>
      </c>
      <c r="D578" s="8" t="s">
        <v>2056</v>
      </c>
      <c r="E578" s="8" t="s">
        <v>2057</v>
      </c>
      <c r="F578" s="8">
        <v>3</v>
      </c>
      <c r="G578" s="22" t="s">
        <v>623</v>
      </c>
      <c r="H578" s="8" t="s">
        <v>623</v>
      </c>
      <c r="I578" s="2" t="str">
        <f t="shared" ref="I578:I641" si="18">G578</f>
        <v>Bao jumbo 90*90*120cm</v>
      </c>
      <c r="J578" s="8" t="s">
        <v>15</v>
      </c>
      <c r="K578" s="10">
        <v>300</v>
      </c>
      <c r="L578" s="10">
        <v>70000</v>
      </c>
      <c r="M578" s="11">
        <v>21000000</v>
      </c>
      <c r="N578" s="8" t="s">
        <v>16</v>
      </c>
      <c r="O578" s="8" t="s">
        <v>17</v>
      </c>
      <c r="P578" s="8" t="s">
        <v>18</v>
      </c>
      <c r="Q578" s="8" t="s">
        <v>18</v>
      </c>
      <c r="R578" s="8" t="s">
        <v>2115</v>
      </c>
      <c r="S578" s="8" t="s">
        <v>2248</v>
      </c>
      <c r="T578" s="8" t="s">
        <v>2249</v>
      </c>
      <c r="U578" s="8" t="s">
        <v>2250</v>
      </c>
      <c r="V578" s="8" t="s">
        <v>581</v>
      </c>
      <c r="W578" s="8">
        <f t="shared" si="17"/>
        <v>3</v>
      </c>
      <c r="X578" s="8">
        <f>K578*L578*N578</f>
        <v>1680000</v>
      </c>
    </row>
    <row r="579" spans="1:24" s="8" customFormat="1" ht="41.5" customHeight="1">
      <c r="A579" s="8" t="s">
        <v>2427</v>
      </c>
      <c r="B579" s="8" t="s">
        <v>2510</v>
      </c>
      <c r="C579" s="9">
        <v>45917.622028587997</v>
      </c>
      <c r="D579" s="8" t="s">
        <v>2056</v>
      </c>
      <c r="E579" s="8" t="s">
        <v>2057</v>
      </c>
      <c r="F579" s="8">
        <v>1</v>
      </c>
      <c r="G579" s="22" t="s">
        <v>539</v>
      </c>
      <c r="H579" s="8" t="s">
        <v>539</v>
      </c>
      <c r="I579" s="2" t="str">
        <f t="shared" si="18"/>
        <v>Bạt nhựa PP</v>
      </c>
      <c r="J579" s="8" t="s">
        <v>127</v>
      </c>
      <c r="K579" s="10">
        <v>1</v>
      </c>
      <c r="L579" s="10">
        <v>400000</v>
      </c>
      <c r="M579" s="11">
        <v>400000</v>
      </c>
      <c r="N579" s="8" t="s">
        <v>16</v>
      </c>
      <c r="O579" s="8" t="s">
        <v>17</v>
      </c>
      <c r="P579" s="8" t="s">
        <v>18</v>
      </c>
      <c r="Q579" s="8" t="s">
        <v>18</v>
      </c>
      <c r="R579" s="8" t="s">
        <v>2115</v>
      </c>
      <c r="S579" s="8" t="s">
        <v>2248</v>
      </c>
      <c r="T579" s="8" t="s">
        <v>2249</v>
      </c>
      <c r="U579" s="8" t="s">
        <v>2250</v>
      </c>
      <c r="V579" s="8" t="s">
        <v>598</v>
      </c>
      <c r="W579" s="8">
        <f t="shared" si="17"/>
        <v>3</v>
      </c>
      <c r="X579" s="8">
        <f>K579*L579*N579</f>
        <v>32000</v>
      </c>
    </row>
    <row r="580" spans="1:24" s="8" customFormat="1" ht="41.5" customHeight="1">
      <c r="A580" s="8" t="s">
        <v>2427</v>
      </c>
      <c r="B580" s="8" t="s">
        <v>2511</v>
      </c>
      <c r="C580" s="9">
        <v>45917.621742488402</v>
      </c>
      <c r="D580" s="8" t="s">
        <v>2056</v>
      </c>
      <c r="E580" s="8" t="s">
        <v>2057</v>
      </c>
      <c r="F580" s="8">
        <v>1</v>
      </c>
      <c r="G580" s="22" t="s">
        <v>300</v>
      </c>
      <c r="H580" s="8" t="s">
        <v>300</v>
      </c>
      <c r="I580" s="2" t="str">
        <f t="shared" si="18"/>
        <v>Côn sắt D16</v>
      </c>
      <c r="J580" s="8" t="s">
        <v>15</v>
      </c>
      <c r="K580" s="10">
        <v>1520</v>
      </c>
      <c r="L580" s="10">
        <v>17300</v>
      </c>
      <c r="M580" s="11">
        <v>26296000</v>
      </c>
      <c r="N580" s="8" t="s">
        <v>30</v>
      </c>
      <c r="O580" s="8" t="s">
        <v>17</v>
      </c>
      <c r="P580" s="8" t="s">
        <v>18</v>
      </c>
      <c r="Q580" s="8" t="s">
        <v>18</v>
      </c>
      <c r="R580" s="8" t="s">
        <v>2115</v>
      </c>
      <c r="S580" s="8" t="s">
        <v>2248</v>
      </c>
      <c r="T580" s="8" t="s">
        <v>2249</v>
      </c>
      <c r="U580" s="8" t="s">
        <v>2250</v>
      </c>
      <c r="V580" s="8" t="s">
        <v>598</v>
      </c>
      <c r="W580" s="8">
        <f t="shared" si="17"/>
        <v>3</v>
      </c>
      <c r="X580" s="8">
        <f>K580*L580*N580</f>
        <v>2629600</v>
      </c>
    </row>
    <row r="581" spans="1:24" s="8" customFormat="1" ht="41.5" customHeight="1">
      <c r="A581" s="8" t="s">
        <v>2427</v>
      </c>
      <c r="B581" s="8" t="s">
        <v>2511</v>
      </c>
      <c r="C581" s="9">
        <v>45917.621742488402</v>
      </c>
      <c r="D581" s="8" t="s">
        <v>2056</v>
      </c>
      <c r="E581" s="8" t="s">
        <v>2057</v>
      </c>
      <c r="F581" s="8">
        <v>2</v>
      </c>
      <c r="G581" s="27" t="s">
        <v>1194</v>
      </c>
      <c r="H581" s="8" t="s">
        <v>203</v>
      </c>
      <c r="I581" s="2" t="str">
        <f t="shared" si="18"/>
        <v>Bát ren D16</v>
      </c>
      <c r="J581" s="8" t="s">
        <v>15</v>
      </c>
      <c r="K581" s="10">
        <v>3000</v>
      </c>
      <c r="L581" s="10">
        <v>14400</v>
      </c>
      <c r="M581" s="11">
        <v>43200000</v>
      </c>
      <c r="N581" s="8" t="s">
        <v>30</v>
      </c>
      <c r="O581" s="8" t="s">
        <v>17</v>
      </c>
      <c r="P581" s="8" t="s">
        <v>18</v>
      </c>
      <c r="Q581" s="8" t="s">
        <v>18</v>
      </c>
      <c r="R581" s="8" t="s">
        <v>2115</v>
      </c>
      <c r="S581" s="8" t="s">
        <v>2248</v>
      </c>
      <c r="T581" s="8" t="s">
        <v>2249</v>
      </c>
      <c r="U581" s="8" t="s">
        <v>2250</v>
      </c>
      <c r="V581" s="8" t="s">
        <v>598</v>
      </c>
      <c r="W581" s="8">
        <f t="shared" si="17"/>
        <v>3</v>
      </c>
      <c r="X581" s="8">
        <f>K581*L581*N581</f>
        <v>4320000</v>
      </c>
    </row>
    <row r="582" spans="1:24" s="8" customFormat="1" ht="41.5" customHeight="1">
      <c r="A582" s="8" t="s">
        <v>2427</v>
      </c>
      <c r="B582" s="8" t="s">
        <v>2512</v>
      </c>
      <c r="C582" s="9">
        <v>45915.343312812503</v>
      </c>
      <c r="D582" s="8" t="s">
        <v>2056</v>
      </c>
      <c r="E582" s="8" t="s">
        <v>2057</v>
      </c>
      <c r="F582" s="8">
        <v>1</v>
      </c>
      <c r="G582" s="22" t="s">
        <v>623</v>
      </c>
      <c r="H582" s="8" t="s">
        <v>623</v>
      </c>
      <c r="I582" s="2" t="str">
        <f t="shared" si="18"/>
        <v>Bao jumbo 90*90*120cm</v>
      </c>
      <c r="J582" s="8" t="s">
        <v>15</v>
      </c>
      <c r="K582" s="10">
        <v>200</v>
      </c>
      <c r="L582" s="10">
        <v>70000</v>
      </c>
      <c r="M582" s="11">
        <v>14000000</v>
      </c>
      <c r="N582" s="8" t="s">
        <v>16</v>
      </c>
      <c r="O582" s="8" t="s">
        <v>17</v>
      </c>
      <c r="P582" s="8" t="s">
        <v>18</v>
      </c>
      <c r="Q582" s="8" t="s">
        <v>18</v>
      </c>
      <c r="R582" s="8" t="s">
        <v>2115</v>
      </c>
      <c r="S582" s="8" t="s">
        <v>2248</v>
      </c>
      <c r="T582" s="8" t="s">
        <v>2249</v>
      </c>
      <c r="U582" s="8" t="s">
        <v>2250</v>
      </c>
      <c r="V582" s="8" t="s">
        <v>624</v>
      </c>
      <c r="W582" s="8">
        <f t="shared" si="17"/>
        <v>3</v>
      </c>
      <c r="X582" s="8">
        <f>K582*L582*N582</f>
        <v>1120000</v>
      </c>
    </row>
    <row r="583" spans="1:24" s="8" customFormat="1" ht="41.5" customHeight="1">
      <c r="A583" s="8" t="s">
        <v>2427</v>
      </c>
      <c r="B583" s="8" t="s">
        <v>2512</v>
      </c>
      <c r="C583" s="9">
        <v>45915.343312812503</v>
      </c>
      <c r="D583" s="8" t="s">
        <v>2056</v>
      </c>
      <c r="E583" s="8" t="s">
        <v>2057</v>
      </c>
      <c r="F583" s="8">
        <v>2</v>
      </c>
      <c r="G583" s="27" t="s">
        <v>776</v>
      </c>
      <c r="H583" s="8" t="s">
        <v>625</v>
      </c>
      <c r="I583" s="2" t="str">
        <f t="shared" si="18"/>
        <v>Que hàn sắt Kim Tín KT421 D2.5 20kg/thùng</v>
      </c>
      <c r="J583" s="8" t="s">
        <v>35</v>
      </c>
      <c r="K583" s="10">
        <v>100</v>
      </c>
      <c r="L583" s="10">
        <v>24000</v>
      </c>
      <c r="M583" s="11">
        <v>2400000</v>
      </c>
      <c r="N583" s="8" t="s">
        <v>16</v>
      </c>
      <c r="O583" s="8" t="s">
        <v>17</v>
      </c>
      <c r="P583" s="8" t="s">
        <v>18</v>
      </c>
      <c r="Q583" s="8" t="s">
        <v>18</v>
      </c>
      <c r="R583" s="8" t="s">
        <v>2115</v>
      </c>
      <c r="S583" s="8" t="s">
        <v>2248</v>
      </c>
      <c r="T583" s="8" t="s">
        <v>2249</v>
      </c>
      <c r="U583" s="8" t="s">
        <v>2250</v>
      </c>
      <c r="V583" s="8" t="s">
        <v>624</v>
      </c>
      <c r="W583" s="8">
        <f t="shared" si="17"/>
        <v>3</v>
      </c>
      <c r="X583" s="8">
        <f>K583*L583*N583</f>
        <v>192000</v>
      </c>
    </row>
    <row r="584" spans="1:24" s="8" customFormat="1" ht="41.5" customHeight="1">
      <c r="A584" s="8" t="s">
        <v>2427</v>
      </c>
      <c r="B584" s="8" t="s">
        <v>2512</v>
      </c>
      <c r="C584" s="9">
        <v>45915.343312812503</v>
      </c>
      <c r="D584" s="8" t="s">
        <v>2056</v>
      </c>
      <c r="E584" s="8" t="s">
        <v>2057</v>
      </c>
      <c r="F584" s="8">
        <v>3</v>
      </c>
      <c r="G584" s="22" t="s">
        <v>626</v>
      </c>
      <c r="H584" s="8" t="s">
        <v>626</v>
      </c>
      <c r="I584" s="2" t="str">
        <f t="shared" si="18"/>
        <v>Cáp mạ D14</v>
      </c>
      <c r="J584" s="8" t="s">
        <v>71</v>
      </c>
      <c r="K584" s="10">
        <v>1000</v>
      </c>
      <c r="L584" s="10">
        <v>11900</v>
      </c>
      <c r="M584" s="11">
        <v>11900000</v>
      </c>
      <c r="N584" s="8" t="s">
        <v>16</v>
      </c>
      <c r="O584" s="8" t="s">
        <v>17</v>
      </c>
      <c r="P584" s="8" t="s">
        <v>18</v>
      </c>
      <c r="Q584" s="8" t="s">
        <v>18</v>
      </c>
      <c r="R584" s="8" t="s">
        <v>2115</v>
      </c>
      <c r="S584" s="8" t="s">
        <v>2248</v>
      </c>
      <c r="T584" s="8" t="s">
        <v>2249</v>
      </c>
      <c r="U584" s="8" t="s">
        <v>2250</v>
      </c>
      <c r="V584" s="8" t="s">
        <v>624</v>
      </c>
      <c r="W584" s="8">
        <f t="shared" si="17"/>
        <v>3</v>
      </c>
      <c r="X584" s="8">
        <f>K584*L584*N584</f>
        <v>952000</v>
      </c>
    </row>
    <row r="585" spans="1:24" s="8" customFormat="1" ht="41.5" customHeight="1">
      <c r="A585" s="8" t="s">
        <v>2427</v>
      </c>
      <c r="B585" s="8" t="s">
        <v>2513</v>
      </c>
      <c r="C585" s="9">
        <v>45915.342943182899</v>
      </c>
      <c r="D585" s="8" t="s">
        <v>2056</v>
      </c>
      <c r="E585" s="8" t="s">
        <v>2057</v>
      </c>
      <c r="F585" s="8">
        <v>1</v>
      </c>
      <c r="G585" s="22" t="s">
        <v>627</v>
      </c>
      <c r="H585" s="8" t="s">
        <v>627</v>
      </c>
      <c r="I585" s="2" t="str">
        <f t="shared" si="18"/>
        <v>Bát ren D12 mạ</v>
      </c>
      <c r="J585" s="8" t="s">
        <v>15</v>
      </c>
      <c r="K585" s="10">
        <v>200</v>
      </c>
      <c r="L585" s="10">
        <v>13500</v>
      </c>
      <c r="M585" s="11">
        <v>2700000</v>
      </c>
      <c r="N585" s="8" t="s">
        <v>30</v>
      </c>
      <c r="O585" s="8" t="s">
        <v>17</v>
      </c>
      <c r="P585" s="8" t="s">
        <v>18</v>
      </c>
      <c r="Q585" s="8" t="s">
        <v>18</v>
      </c>
      <c r="R585" s="8" t="s">
        <v>2115</v>
      </c>
      <c r="S585" s="8" t="s">
        <v>2248</v>
      </c>
      <c r="T585" s="8" t="s">
        <v>2249</v>
      </c>
      <c r="U585" s="8" t="s">
        <v>2250</v>
      </c>
      <c r="V585" s="8" t="s">
        <v>624</v>
      </c>
      <c r="W585" s="8">
        <f t="shared" si="17"/>
        <v>3</v>
      </c>
      <c r="X585" s="8">
        <f>K585*L585*N585</f>
        <v>270000</v>
      </c>
    </row>
    <row r="586" spans="1:24" s="8" customFormat="1" ht="41.5" customHeight="1">
      <c r="A586" s="8" t="s">
        <v>2427</v>
      </c>
      <c r="B586" s="8" t="s">
        <v>2513</v>
      </c>
      <c r="C586" s="9">
        <v>45915.342943182899</v>
      </c>
      <c r="D586" s="8" t="s">
        <v>2056</v>
      </c>
      <c r="E586" s="8" t="s">
        <v>2057</v>
      </c>
      <c r="F586" s="8">
        <v>2</v>
      </c>
      <c r="G586" s="22" t="s">
        <v>628</v>
      </c>
      <c r="H586" s="8" t="s">
        <v>628</v>
      </c>
      <c r="I586" s="2" t="str">
        <f t="shared" si="18"/>
        <v>Khóa cáp D12</v>
      </c>
      <c r="J586" s="8" t="s">
        <v>15</v>
      </c>
      <c r="K586" s="10">
        <v>200</v>
      </c>
      <c r="L586" s="10">
        <v>4500</v>
      </c>
      <c r="M586" s="11">
        <v>900000</v>
      </c>
      <c r="N586" s="8" t="s">
        <v>30</v>
      </c>
      <c r="O586" s="8" t="s">
        <v>17</v>
      </c>
      <c r="P586" s="8" t="s">
        <v>18</v>
      </c>
      <c r="Q586" s="8" t="s">
        <v>18</v>
      </c>
      <c r="R586" s="8" t="s">
        <v>2115</v>
      </c>
      <c r="S586" s="8" t="s">
        <v>2248</v>
      </c>
      <c r="T586" s="8" t="s">
        <v>2249</v>
      </c>
      <c r="U586" s="8" t="s">
        <v>2250</v>
      </c>
      <c r="V586" s="8" t="s">
        <v>624</v>
      </c>
      <c r="W586" s="8">
        <f t="shared" si="17"/>
        <v>3</v>
      </c>
      <c r="X586" s="8">
        <f>K586*L586*N586</f>
        <v>90000</v>
      </c>
    </row>
    <row r="587" spans="1:24" s="8" customFormat="1" ht="41.5" customHeight="1">
      <c r="A587" s="8" t="s">
        <v>2427</v>
      </c>
      <c r="B587" s="8" t="s">
        <v>2514</v>
      </c>
      <c r="C587" s="9">
        <v>45905.422064919003</v>
      </c>
      <c r="D587" s="8" t="s">
        <v>2056</v>
      </c>
      <c r="E587" s="8" t="s">
        <v>2057</v>
      </c>
      <c r="F587" s="8">
        <v>1</v>
      </c>
      <c r="G587" s="22" t="s">
        <v>300</v>
      </c>
      <c r="H587" s="8" t="s">
        <v>300</v>
      </c>
      <c r="I587" s="2" t="str">
        <f t="shared" si="18"/>
        <v>Côn sắt D16</v>
      </c>
      <c r="J587" s="8" t="s">
        <v>15</v>
      </c>
      <c r="K587" s="10">
        <v>1000</v>
      </c>
      <c r="L587" s="10">
        <v>17300</v>
      </c>
      <c r="M587" s="11">
        <v>17300000</v>
      </c>
      <c r="N587" s="8" t="s">
        <v>30</v>
      </c>
      <c r="O587" s="8" t="s">
        <v>17</v>
      </c>
      <c r="P587" s="8" t="s">
        <v>18</v>
      </c>
      <c r="Q587" s="8" t="s">
        <v>18</v>
      </c>
      <c r="R587" s="8" t="s">
        <v>2115</v>
      </c>
      <c r="S587" s="8" t="s">
        <v>2248</v>
      </c>
      <c r="T587" s="8" t="s">
        <v>2249</v>
      </c>
      <c r="U587" s="8" t="s">
        <v>2250</v>
      </c>
      <c r="V587" s="8" t="s">
        <v>567</v>
      </c>
      <c r="W587" s="8">
        <f t="shared" si="17"/>
        <v>3</v>
      </c>
      <c r="X587" s="8">
        <f>K587*L587*N587</f>
        <v>1730000</v>
      </c>
    </row>
    <row r="588" spans="1:24" s="8" customFormat="1" ht="41.5" customHeight="1">
      <c r="A588" s="8" t="s">
        <v>2427</v>
      </c>
      <c r="B588" s="8" t="s">
        <v>2514</v>
      </c>
      <c r="C588" s="9">
        <v>45905.422064919003</v>
      </c>
      <c r="D588" s="8" t="s">
        <v>2056</v>
      </c>
      <c r="E588" s="8" t="s">
        <v>2057</v>
      </c>
      <c r="F588" s="8">
        <v>2</v>
      </c>
      <c r="G588" s="22" t="s">
        <v>629</v>
      </c>
      <c r="H588" s="8" t="s">
        <v>629</v>
      </c>
      <c r="I588" s="2" t="str">
        <f t="shared" si="18"/>
        <v>Thép bản mã 1.8mm</v>
      </c>
      <c r="J588" s="8" t="s">
        <v>35</v>
      </c>
      <c r="K588" s="10">
        <v>25</v>
      </c>
      <c r="L588" s="10">
        <v>16000</v>
      </c>
      <c r="M588" s="11">
        <v>400000</v>
      </c>
      <c r="N588" s="8" t="s">
        <v>30</v>
      </c>
      <c r="O588" s="8" t="s">
        <v>17</v>
      </c>
      <c r="P588" s="8" t="s">
        <v>18</v>
      </c>
      <c r="Q588" s="8" t="s">
        <v>18</v>
      </c>
      <c r="R588" s="8" t="s">
        <v>2115</v>
      </c>
      <c r="S588" s="8" t="s">
        <v>2248</v>
      </c>
      <c r="T588" s="8" t="s">
        <v>2249</v>
      </c>
      <c r="U588" s="8" t="s">
        <v>2250</v>
      </c>
      <c r="V588" s="8" t="s">
        <v>567</v>
      </c>
      <c r="W588" s="8">
        <f t="shared" si="17"/>
        <v>3</v>
      </c>
      <c r="X588" s="8">
        <f>K588*L588*N588</f>
        <v>40000</v>
      </c>
    </row>
    <row r="589" spans="1:24" s="8" customFormat="1" ht="41.5" customHeight="1">
      <c r="A589" s="8" t="s">
        <v>2427</v>
      </c>
      <c r="B589" s="8" t="s">
        <v>2515</v>
      </c>
      <c r="C589" s="9">
        <v>45905.421792835601</v>
      </c>
      <c r="D589" s="8" t="s">
        <v>2056</v>
      </c>
      <c r="E589" s="8" t="s">
        <v>2057</v>
      </c>
      <c r="F589" s="8">
        <v>1</v>
      </c>
      <c r="G589" s="22" t="s">
        <v>630</v>
      </c>
      <c r="H589" s="8" t="s">
        <v>630</v>
      </c>
      <c r="I589" s="2" t="str">
        <f t="shared" si="18"/>
        <v>Dây an toàn</v>
      </c>
      <c r="J589" s="8" t="s">
        <v>15</v>
      </c>
      <c r="K589" s="10">
        <v>250</v>
      </c>
      <c r="L589" s="10">
        <v>93400</v>
      </c>
      <c r="M589" s="11">
        <v>23350000</v>
      </c>
      <c r="N589" s="8" t="s">
        <v>16</v>
      </c>
      <c r="O589" s="8" t="s">
        <v>17</v>
      </c>
      <c r="P589" s="8" t="s">
        <v>18</v>
      </c>
      <c r="Q589" s="8" t="s">
        <v>18</v>
      </c>
      <c r="R589" s="8" t="s">
        <v>2115</v>
      </c>
      <c r="S589" s="8" t="s">
        <v>2248</v>
      </c>
      <c r="T589" s="8" t="s">
        <v>2249</v>
      </c>
      <c r="U589" s="8" t="s">
        <v>2250</v>
      </c>
      <c r="V589" s="8" t="s">
        <v>567</v>
      </c>
      <c r="W589" s="8">
        <f t="shared" si="17"/>
        <v>3</v>
      </c>
      <c r="X589" s="8">
        <f>K589*L589*N589</f>
        <v>1868000</v>
      </c>
    </row>
    <row r="590" spans="1:24" s="8" customFormat="1" ht="41.5" customHeight="1">
      <c r="A590" s="8" t="s">
        <v>2329</v>
      </c>
      <c r="B590" s="8" t="s">
        <v>2516</v>
      </c>
      <c r="C590" s="9">
        <v>45929.421716053199</v>
      </c>
      <c r="D590" s="8" t="s">
        <v>2056</v>
      </c>
      <c r="E590" s="8" t="s">
        <v>2057</v>
      </c>
      <c r="F590" s="8">
        <v>1</v>
      </c>
      <c r="G590" s="22" t="s">
        <v>631</v>
      </c>
      <c r="H590" s="8" t="s">
        <v>631</v>
      </c>
      <c r="I590" s="2" t="str">
        <f t="shared" si="18"/>
        <v>Máy đục bê tông HM1306</v>
      </c>
      <c r="J590" s="8" t="s">
        <v>15</v>
      </c>
      <c r="K590" s="10">
        <v>2</v>
      </c>
      <c r="L590" s="10">
        <v>11195370.5</v>
      </c>
      <c r="M590" s="11">
        <v>22390741</v>
      </c>
      <c r="N590" s="8" t="s">
        <v>16</v>
      </c>
      <c r="O590" s="8" t="s">
        <v>17</v>
      </c>
      <c r="P590" s="8" t="s">
        <v>18</v>
      </c>
      <c r="Q590" s="8" t="s">
        <v>18</v>
      </c>
      <c r="R590" s="8" t="s">
        <v>2115</v>
      </c>
      <c r="S590" s="8" t="s">
        <v>2161</v>
      </c>
      <c r="T590" s="8" t="s">
        <v>2162</v>
      </c>
      <c r="U590" s="8" t="s">
        <v>2517</v>
      </c>
      <c r="V590" s="8" t="s">
        <v>620</v>
      </c>
      <c r="W590" s="8">
        <f t="shared" si="17"/>
        <v>3</v>
      </c>
      <c r="X590" s="8">
        <f>K590*L590*N590</f>
        <v>1791259.28</v>
      </c>
    </row>
    <row r="591" spans="1:24" s="8" customFormat="1" ht="41.5" customHeight="1">
      <c r="A591" s="8" t="s">
        <v>2329</v>
      </c>
      <c r="B591" s="8" t="s">
        <v>2516</v>
      </c>
      <c r="C591" s="9">
        <v>45929.421716053199</v>
      </c>
      <c r="D591" s="8" t="s">
        <v>2056</v>
      </c>
      <c r="E591" s="8" t="s">
        <v>2057</v>
      </c>
      <c r="F591" s="8">
        <v>2</v>
      </c>
      <c r="G591" s="22" t="s">
        <v>302</v>
      </c>
      <c r="H591" s="8" t="s">
        <v>302</v>
      </c>
      <c r="I591" s="2" t="str">
        <f t="shared" si="18"/>
        <v>Máy khoan búa GBH 2-24 DRE</v>
      </c>
      <c r="J591" s="8" t="s">
        <v>15</v>
      </c>
      <c r="K591" s="10">
        <v>1</v>
      </c>
      <c r="L591" s="10">
        <v>2685185</v>
      </c>
      <c r="M591" s="11">
        <v>2685185</v>
      </c>
      <c r="N591" s="8" t="s">
        <v>16</v>
      </c>
      <c r="O591" s="8" t="s">
        <v>17</v>
      </c>
      <c r="P591" s="8" t="s">
        <v>18</v>
      </c>
      <c r="Q591" s="8" t="s">
        <v>18</v>
      </c>
      <c r="R591" s="8" t="s">
        <v>2115</v>
      </c>
      <c r="S591" s="8" t="s">
        <v>2161</v>
      </c>
      <c r="T591" s="8" t="s">
        <v>2162</v>
      </c>
      <c r="U591" s="8" t="s">
        <v>2517</v>
      </c>
      <c r="V591" s="8" t="s">
        <v>620</v>
      </c>
      <c r="W591" s="8">
        <f t="shared" si="17"/>
        <v>3</v>
      </c>
      <c r="X591" s="8">
        <f>K591*L591*N591</f>
        <v>214814.80000000002</v>
      </c>
    </row>
    <row r="592" spans="1:24" s="8" customFormat="1" ht="41.5" customHeight="1">
      <c r="A592" s="8" t="s">
        <v>2329</v>
      </c>
      <c r="B592" s="8" t="s">
        <v>2518</v>
      </c>
      <c r="C592" s="9">
        <v>45903.3793627778</v>
      </c>
      <c r="D592" s="8" t="s">
        <v>2056</v>
      </c>
      <c r="E592" s="8" t="s">
        <v>2057</v>
      </c>
      <c r="F592" s="8">
        <v>1</v>
      </c>
      <c r="G592" s="22" t="s">
        <v>632</v>
      </c>
      <c r="H592" s="8" t="s">
        <v>632</v>
      </c>
      <c r="I592" s="2" t="str">
        <f t="shared" si="18"/>
        <v>Máy cưa lọng 4350CT</v>
      </c>
      <c r="J592" s="8" t="s">
        <v>15</v>
      </c>
      <c r="K592" s="10">
        <v>1</v>
      </c>
      <c r="L592" s="10">
        <v>3094444</v>
      </c>
      <c r="M592" s="11">
        <v>3094444</v>
      </c>
      <c r="N592" s="8" t="s">
        <v>16</v>
      </c>
      <c r="O592" s="8" t="s">
        <v>17</v>
      </c>
      <c r="P592" s="8" t="s">
        <v>18</v>
      </c>
      <c r="Q592" s="8" t="s">
        <v>18</v>
      </c>
      <c r="R592" s="8" t="s">
        <v>2115</v>
      </c>
      <c r="S592" s="8" t="s">
        <v>2161</v>
      </c>
      <c r="T592" s="8" t="s">
        <v>2162</v>
      </c>
      <c r="U592" s="8" t="s">
        <v>2517</v>
      </c>
      <c r="V592" s="8" t="s">
        <v>633</v>
      </c>
      <c r="W592" s="8">
        <f t="shared" si="17"/>
        <v>3</v>
      </c>
      <c r="X592" s="8">
        <f>K592*L592*N592</f>
        <v>247555.52000000002</v>
      </c>
    </row>
    <row r="593" spans="1:24" s="8" customFormat="1" ht="41.5" customHeight="1">
      <c r="A593" s="8" t="s">
        <v>2519</v>
      </c>
      <c r="B593" s="8" t="s">
        <v>2520</v>
      </c>
      <c r="C593" s="9">
        <v>45919.405292731499</v>
      </c>
      <c r="D593" s="8" t="s">
        <v>2056</v>
      </c>
      <c r="E593" s="8" t="s">
        <v>2057</v>
      </c>
      <c r="F593" s="8">
        <v>1</v>
      </c>
      <c r="G593" s="22" t="s">
        <v>2261</v>
      </c>
      <c r="H593" s="8" t="s">
        <v>634</v>
      </c>
      <c r="I593" s="2" t="str">
        <f t="shared" si="18"/>
        <v>Áp to mát chống rò điện và quá tải LB63N1</v>
      </c>
      <c r="J593" s="8" t="s">
        <v>15</v>
      </c>
      <c r="K593" s="10">
        <v>15</v>
      </c>
      <c r="L593" s="10">
        <v>286200</v>
      </c>
      <c r="M593" s="11">
        <v>4293000</v>
      </c>
      <c r="N593" s="8" t="s">
        <v>16</v>
      </c>
      <c r="O593" s="8" t="s">
        <v>17</v>
      </c>
      <c r="P593" s="8" t="s">
        <v>18</v>
      </c>
      <c r="Q593" s="8" t="s">
        <v>18</v>
      </c>
      <c r="R593" s="8" t="s">
        <v>2115</v>
      </c>
      <c r="S593" s="8" t="s">
        <v>2521</v>
      </c>
      <c r="T593" s="8" t="s">
        <v>2522</v>
      </c>
      <c r="U593" s="8" t="s">
        <v>2523</v>
      </c>
      <c r="V593" s="8" t="s">
        <v>606</v>
      </c>
      <c r="W593" s="8">
        <f t="shared" si="17"/>
        <v>3</v>
      </c>
      <c r="X593" s="8">
        <f>K593*L593*N593</f>
        <v>343440</v>
      </c>
    </row>
    <row r="594" spans="1:24" s="8" customFormat="1" ht="41.5" customHeight="1">
      <c r="A594" s="8" t="s">
        <v>2336</v>
      </c>
      <c r="B594" s="8" t="s">
        <v>2524</v>
      </c>
      <c r="C594" s="9">
        <v>45947.463299919</v>
      </c>
      <c r="D594" s="8" t="s">
        <v>2062</v>
      </c>
      <c r="E594" s="8" t="s">
        <v>2057</v>
      </c>
      <c r="F594" s="8">
        <v>1</v>
      </c>
      <c r="G594" s="2">
        <v>635</v>
      </c>
      <c r="H594" s="8" t="s">
        <v>143</v>
      </c>
      <c r="I594" s="2">
        <f t="shared" si="18"/>
        <v>635</v>
      </c>
      <c r="M594" s="11">
        <v>20000</v>
      </c>
      <c r="N594" s="8" t="s">
        <v>30</v>
      </c>
      <c r="O594" s="8" t="s">
        <v>17</v>
      </c>
      <c r="P594" s="8" t="s">
        <v>18</v>
      </c>
      <c r="Q594" s="8" t="s">
        <v>18</v>
      </c>
      <c r="S594" s="8" t="s">
        <v>2216</v>
      </c>
      <c r="T594" s="8" t="s">
        <v>2217</v>
      </c>
      <c r="V594" s="8" t="s">
        <v>507</v>
      </c>
      <c r="W594" s="8">
        <f t="shared" si="17"/>
        <v>4</v>
      </c>
      <c r="X594" s="8">
        <f>K594*L594*N594</f>
        <v>0</v>
      </c>
    </row>
    <row r="595" spans="1:24" s="8" customFormat="1" ht="41.5" customHeight="1">
      <c r="A595" s="8" t="s">
        <v>2336</v>
      </c>
      <c r="B595" s="8" t="s">
        <v>2525</v>
      </c>
      <c r="C595" s="9">
        <v>45947.462863368099</v>
      </c>
      <c r="D595" s="8" t="s">
        <v>2062</v>
      </c>
      <c r="E595" s="8" t="s">
        <v>2057</v>
      </c>
      <c r="F595" s="8">
        <v>1</v>
      </c>
      <c r="G595" s="2">
        <v>635</v>
      </c>
      <c r="H595" s="8" t="s">
        <v>116</v>
      </c>
      <c r="I595" s="2">
        <f t="shared" si="18"/>
        <v>635</v>
      </c>
      <c r="M595" s="11">
        <v>20000</v>
      </c>
      <c r="N595" s="8" t="s">
        <v>30</v>
      </c>
      <c r="O595" s="8" t="s">
        <v>17</v>
      </c>
      <c r="P595" s="8" t="s">
        <v>18</v>
      </c>
      <c r="Q595" s="8" t="s">
        <v>18</v>
      </c>
      <c r="S595" s="8" t="s">
        <v>2216</v>
      </c>
      <c r="T595" s="8" t="s">
        <v>2217</v>
      </c>
      <c r="V595" s="8" t="s">
        <v>507</v>
      </c>
      <c r="W595" s="8">
        <f t="shared" si="17"/>
        <v>4</v>
      </c>
      <c r="X595" s="8">
        <f>K595*L595*N595</f>
        <v>0</v>
      </c>
    </row>
    <row r="596" spans="1:24" s="8" customFormat="1" ht="41.5" customHeight="1">
      <c r="A596" s="8" t="s">
        <v>2336</v>
      </c>
      <c r="B596" s="8" t="s">
        <v>2526</v>
      </c>
      <c r="C596" s="9">
        <v>45947.462623784697</v>
      </c>
      <c r="D596" s="8" t="s">
        <v>2062</v>
      </c>
      <c r="E596" s="8" t="s">
        <v>2057</v>
      </c>
      <c r="F596" s="8">
        <v>1</v>
      </c>
      <c r="G596" s="2">
        <v>635</v>
      </c>
      <c r="H596" s="8" t="s">
        <v>143</v>
      </c>
      <c r="I596" s="2">
        <f t="shared" si="18"/>
        <v>635</v>
      </c>
      <c r="M596" s="11">
        <v>20000</v>
      </c>
      <c r="N596" s="8" t="s">
        <v>30</v>
      </c>
      <c r="O596" s="8" t="s">
        <v>17</v>
      </c>
      <c r="P596" s="8" t="s">
        <v>18</v>
      </c>
      <c r="Q596" s="8" t="s">
        <v>18</v>
      </c>
      <c r="S596" s="8" t="s">
        <v>2216</v>
      </c>
      <c r="T596" s="8" t="s">
        <v>2217</v>
      </c>
      <c r="V596" s="8" t="s">
        <v>507</v>
      </c>
      <c r="W596" s="8">
        <f t="shared" si="17"/>
        <v>4</v>
      </c>
      <c r="X596" s="8">
        <f>K596*L596*N596</f>
        <v>0</v>
      </c>
    </row>
    <row r="597" spans="1:24" s="8" customFormat="1" ht="41.5" customHeight="1">
      <c r="A597" s="8" t="s">
        <v>2336</v>
      </c>
      <c r="B597" s="8" t="s">
        <v>2527</v>
      </c>
      <c r="C597" s="9">
        <v>45947.462623784697</v>
      </c>
      <c r="D597" s="8" t="s">
        <v>2062</v>
      </c>
      <c r="E597" s="8" t="s">
        <v>2057</v>
      </c>
      <c r="F597" s="8">
        <v>1</v>
      </c>
      <c r="G597" s="2">
        <v>635</v>
      </c>
      <c r="H597" s="8" t="s">
        <v>143</v>
      </c>
      <c r="I597" s="2">
        <f t="shared" si="18"/>
        <v>635</v>
      </c>
      <c r="M597" s="11">
        <v>20000</v>
      </c>
      <c r="N597" s="8" t="s">
        <v>30</v>
      </c>
      <c r="O597" s="8" t="s">
        <v>17</v>
      </c>
      <c r="P597" s="8" t="s">
        <v>18</v>
      </c>
      <c r="Q597" s="8" t="s">
        <v>18</v>
      </c>
      <c r="S597" s="8" t="s">
        <v>2216</v>
      </c>
      <c r="T597" s="8" t="s">
        <v>2217</v>
      </c>
      <c r="V597" s="8" t="s">
        <v>507</v>
      </c>
      <c r="W597" s="8">
        <f t="shared" si="17"/>
        <v>4</v>
      </c>
      <c r="X597" s="8">
        <f>K597*L597*N597</f>
        <v>0</v>
      </c>
    </row>
    <row r="598" spans="1:24" s="8" customFormat="1" ht="41.5" customHeight="1">
      <c r="A598" s="8" t="s">
        <v>2336</v>
      </c>
      <c r="B598" s="8" t="s">
        <v>2528</v>
      </c>
      <c r="C598" s="9">
        <v>45947.462553553203</v>
      </c>
      <c r="D598" s="8" t="s">
        <v>2062</v>
      </c>
      <c r="E598" s="8" t="s">
        <v>2057</v>
      </c>
      <c r="F598" s="8">
        <v>1</v>
      </c>
      <c r="G598" s="2">
        <v>635</v>
      </c>
      <c r="H598" s="8" t="s">
        <v>117</v>
      </c>
      <c r="I598" s="2">
        <f t="shared" si="18"/>
        <v>635</v>
      </c>
      <c r="M598" s="11">
        <v>50000</v>
      </c>
      <c r="N598" s="8" t="s">
        <v>30</v>
      </c>
      <c r="O598" s="8" t="s">
        <v>17</v>
      </c>
      <c r="P598" s="8" t="s">
        <v>18</v>
      </c>
      <c r="Q598" s="8" t="s">
        <v>18</v>
      </c>
      <c r="S598" s="8" t="s">
        <v>2216</v>
      </c>
      <c r="T598" s="8" t="s">
        <v>2217</v>
      </c>
      <c r="V598" s="8" t="s">
        <v>507</v>
      </c>
      <c r="W598" s="8">
        <f t="shared" si="17"/>
        <v>4</v>
      </c>
      <c r="X598" s="8">
        <f>K598*L598*N598</f>
        <v>0</v>
      </c>
    </row>
    <row r="599" spans="1:24" s="8" customFormat="1" ht="41.5" customHeight="1">
      <c r="A599" s="8" t="s">
        <v>2339</v>
      </c>
      <c r="B599" s="8" t="s">
        <v>2529</v>
      </c>
      <c r="C599" s="9">
        <v>45946.566016053199</v>
      </c>
      <c r="D599" s="8" t="s">
        <v>2218</v>
      </c>
      <c r="E599" s="8" t="s">
        <v>2057</v>
      </c>
      <c r="F599" s="8">
        <v>1</v>
      </c>
      <c r="G599" s="2">
        <v>635</v>
      </c>
      <c r="H599" s="8" t="s">
        <v>118</v>
      </c>
      <c r="I599" s="2">
        <f t="shared" si="18"/>
        <v>635</v>
      </c>
      <c r="M599" s="11">
        <v>50000</v>
      </c>
      <c r="N599" s="8" t="s">
        <v>30</v>
      </c>
      <c r="O599" s="8" t="s">
        <v>17</v>
      </c>
      <c r="P599" s="8" t="s">
        <v>18</v>
      </c>
      <c r="Q599" s="8" t="s">
        <v>18</v>
      </c>
      <c r="S599" s="8" t="s">
        <v>2340</v>
      </c>
      <c r="T599" s="8" t="s">
        <v>2341</v>
      </c>
      <c r="V599" s="8" t="s">
        <v>509</v>
      </c>
      <c r="W599" s="8">
        <f t="shared" si="17"/>
        <v>4</v>
      </c>
      <c r="X599" s="8">
        <f>K599*L599*N599</f>
        <v>0</v>
      </c>
    </row>
    <row r="600" spans="1:24" s="8" customFormat="1" ht="41.5" customHeight="1">
      <c r="A600" s="8" t="s">
        <v>2339</v>
      </c>
      <c r="B600" s="8" t="s">
        <v>2530</v>
      </c>
      <c r="C600" s="9">
        <v>45946.502803483803</v>
      </c>
      <c r="D600" s="8" t="s">
        <v>2218</v>
      </c>
      <c r="E600" s="8" t="s">
        <v>2057</v>
      </c>
      <c r="F600" s="8">
        <v>1</v>
      </c>
      <c r="G600" s="2">
        <v>635</v>
      </c>
      <c r="H600" s="8" t="s">
        <v>118</v>
      </c>
      <c r="I600" s="2">
        <f t="shared" si="18"/>
        <v>635</v>
      </c>
      <c r="M600" s="11">
        <v>20000</v>
      </c>
      <c r="N600" s="8" t="s">
        <v>30</v>
      </c>
      <c r="O600" s="8" t="s">
        <v>17</v>
      </c>
      <c r="P600" s="8" t="s">
        <v>18</v>
      </c>
      <c r="Q600" s="8" t="s">
        <v>18</v>
      </c>
      <c r="S600" s="8" t="s">
        <v>2219</v>
      </c>
      <c r="T600" s="8" t="s">
        <v>2220</v>
      </c>
      <c r="V600" s="8" t="s">
        <v>509</v>
      </c>
      <c r="W600" s="8">
        <f t="shared" si="17"/>
        <v>4</v>
      </c>
      <c r="X600" s="8">
        <f>K600*L600*N600</f>
        <v>0</v>
      </c>
    </row>
    <row r="601" spans="1:24" s="8" customFormat="1" ht="41.5" customHeight="1">
      <c r="A601" s="8" t="s">
        <v>2339</v>
      </c>
      <c r="B601" s="8" t="s">
        <v>2531</v>
      </c>
      <c r="C601" s="9">
        <v>45946.496824803202</v>
      </c>
      <c r="D601" s="8" t="s">
        <v>2218</v>
      </c>
      <c r="E601" s="8" t="s">
        <v>2057</v>
      </c>
      <c r="F601" s="8">
        <v>1</v>
      </c>
      <c r="G601" s="2">
        <v>635</v>
      </c>
      <c r="H601" s="8" t="s">
        <v>118</v>
      </c>
      <c r="I601" s="2">
        <f t="shared" si="18"/>
        <v>635</v>
      </c>
      <c r="M601" s="11">
        <v>52000</v>
      </c>
      <c r="N601" s="8" t="s">
        <v>30</v>
      </c>
      <c r="O601" s="8" t="s">
        <v>17</v>
      </c>
      <c r="P601" s="8" t="s">
        <v>18</v>
      </c>
      <c r="Q601" s="8" t="s">
        <v>18</v>
      </c>
      <c r="S601" s="8" t="s">
        <v>2219</v>
      </c>
      <c r="T601" s="8" t="s">
        <v>2220</v>
      </c>
      <c r="V601" s="8" t="s">
        <v>509</v>
      </c>
      <c r="W601" s="8">
        <f t="shared" si="17"/>
        <v>4</v>
      </c>
      <c r="X601" s="8">
        <f>K601*L601*N601</f>
        <v>0</v>
      </c>
    </row>
    <row r="602" spans="1:24" s="8" customFormat="1" ht="41.5" customHeight="1">
      <c r="A602" s="8" t="s">
        <v>2339</v>
      </c>
      <c r="B602" s="8" t="s">
        <v>2532</v>
      </c>
      <c r="C602" s="9">
        <v>45946.496494074097</v>
      </c>
      <c r="D602" s="8" t="s">
        <v>2218</v>
      </c>
      <c r="E602" s="8" t="s">
        <v>2057</v>
      </c>
      <c r="F602" s="8">
        <v>1</v>
      </c>
      <c r="G602" s="2">
        <v>635</v>
      </c>
      <c r="H602" s="8" t="s">
        <v>118</v>
      </c>
      <c r="I602" s="2">
        <f t="shared" si="18"/>
        <v>635</v>
      </c>
      <c r="M602" s="11">
        <v>20000</v>
      </c>
      <c r="N602" s="8" t="s">
        <v>30</v>
      </c>
      <c r="O602" s="8" t="s">
        <v>17</v>
      </c>
      <c r="P602" s="8" t="s">
        <v>18</v>
      </c>
      <c r="Q602" s="8" t="s">
        <v>18</v>
      </c>
      <c r="S602" s="8" t="s">
        <v>2219</v>
      </c>
      <c r="T602" s="8" t="s">
        <v>2220</v>
      </c>
      <c r="V602" s="8" t="s">
        <v>509</v>
      </c>
      <c r="W602" s="8">
        <f t="shared" si="17"/>
        <v>4</v>
      </c>
      <c r="X602" s="8">
        <f>K602*L602*N602</f>
        <v>0</v>
      </c>
    </row>
    <row r="603" spans="1:24" s="8" customFormat="1" ht="41.5" customHeight="1">
      <c r="A603" s="8" t="s">
        <v>2339</v>
      </c>
      <c r="B603" s="8" t="s">
        <v>2533</v>
      </c>
      <c r="C603" s="9">
        <v>45946.496494074097</v>
      </c>
      <c r="D603" s="8" t="s">
        <v>2218</v>
      </c>
      <c r="E603" s="8" t="s">
        <v>2057</v>
      </c>
      <c r="F603" s="8">
        <v>1</v>
      </c>
      <c r="G603" s="2">
        <v>635</v>
      </c>
      <c r="H603" s="8" t="s">
        <v>118</v>
      </c>
      <c r="I603" s="2">
        <f t="shared" si="18"/>
        <v>635</v>
      </c>
      <c r="M603" s="11">
        <v>20000</v>
      </c>
      <c r="N603" s="8" t="s">
        <v>30</v>
      </c>
      <c r="O603" s="8" t="s">
        <v>17</v>
      </c>
      <c r="P603" s="8" t="s">
        <v>18</v>
      </c>
      <c r="Q603" s="8" t="s">
        <v>18</v>
      </c>
      <c r="S603" s="8" t="s">
        <v>2219</v>
      </c>
      <c r="T603" s="8" t="s">
        <v>2220</v>
      </c>
      <c r="V603" s="8" t="s">
        <v>509</v>
      </c>
      <c r="W603" s="8">
        <f t="shared" si="17"/>
        <v>4</v>
      </c>
      <c r="X603" s="8">
        <f>K603*L603*N603</f>
        <v>0</v>
      </c>
    </row>
    <row r="604" spans="1:24" s="8" customFormat="1" ht="41.5" customHeight="1">
      <c r="A604" s="8" t="s">
        <v>2339</v>
      </c>
      <c r="B604" s="8" t="s">
        <v>2534</v>
      </c>
      <c r="C604" s="9">
        <v>45946.496493981504</v>
      </c>
      <c r="D604" s="8" t="s">
        <v>2218</v>
      </c>
      <c r="E604" s="8" t="s">
        <v>2057</v>
      </c>
      <c r="F604" s="8">
        <v>1</v>
      </c>
      <c r="G604" s="2">
        <v>635</v>
      </c>
      <c r="H604" s="8" t="s">
        <v>118</v>
      </c>
      <c r="I604" s="2">
        <f t="shared" si="18"/>
        <v>635</v>
      </c>
      <c r="M604" s="11">
        <v>20000</v>
      </c>
      <c r="N604" s="8" t="s">
        <v>30</v>
      </c>
      <c r="O604" s="8" t="s">
        <v>17</v>
      </c>
      <c r="P604" s="8" t="s">
        <v>18</v>
      </c>
      <c r="Q604" s="8" t="s">
        <v>18</v>
      </c>
      <c r="S604" s="8" t="s">
        <v>2219</v>
      </c>
      <c r="T604" s="8" t="s">
        <v>2220</v>
      </c>
      <c r="V604" s="8" t="s">
        <v>509</v>
      </c>
      <c r="W604" s="8">
        <f t="shared" si="17"/>
        <v>4</v>
      </c>
      <c r="X604" s="8">
        <f>K604*L604*N604</f>
        <v>0</v>
      </c>
    </row>
    <row r="605" spans="1:24" s="8" customFormat="1" ht="41.5" customHeight="1">
      <c r="A605" s="8" t="s">
        <v>2339</v>
      </c>
      <c r="B605" s="8" t="s">
        <v>2535</v>
      </c>
      <c r="C605" s="9">
        <v>45946.496493946797</v>
      </c>
      <c r="D605" s="8" t="s">
        <v>2218</v>
      </c>
      <c r="E605" s="8" t="s">
        <v>2057</v>
      </c>
      <c r="F605" s="8">
        <v>1</v>
      </c>
      <c r="G605" s="2">
        <v>635</v>
      </c>
      <c r="H605" s="8" t="s">
        <v>118</v>
      </c>
      <c r="I605" s="2">
        <f t="shared" si="18"/>
        <v>635</v>
      </c>
      <c r="M605" s="11">
        <v>20000</v>
      </c>
      <c r="N605" s="8" t="s">
        <v>30</v>
      </c>
      <c r="O605" s="8" t="s">
        <v>17</v>
      </c>
      <c r="P605" s="8" t="s">
        <v>18</v>
      </c>
      <c r="Q605" s="8" t="s">
        <v>18</v>
      </c>
      <c r="S605" s="8" t="s">
        <v>2219</v>
      </c>
      <c r="T605" s="8" t="s">
        <v>2220</v>
      </c>
      <c r="V605" s="8" t="s">
        <v>509</v>
      </c>
      <c r="W605" s="8">
        <f t="shared" si="17"/>
        <v>4</v>
      </c>
      <c r="X605" s="8">
        <f>K605*L605*N605</f>
        <v>0</v>
      </c>
    </row>
    <row r="606" spans="1:24" s="8" customFormat="1" ht="41.5" customHeight="1">
      <c r="A606" s="8" t="s">
        <v>2339</v>
      </c>
      <c r="B606" s="8" t="s">
        <v>2536</v>
      </c>
      <c r="C606" s="9">
        <v>45946.484628495396</v>
      </c>
      <c r="D606" s="8" t="s">
        <v>2218</v>
      </c>
      <c r="E606" s="8" t="s">
        <v>2057</v>
      </c>
      <c r="F606" s="8">
        <v>1</v>
      </c>
      <c r="G606" s="2">
        <v>635</v>
      </c>
      <c r="H606" s="8" t="s">
        <v>118</v>
      </c>
      <c r="I606" s="2">
        <f t="shared" si="18"/>
        <v>635</v>
      </c>
      <c r="M606" s="11">
        <v>20000</v>
      </c>
      <c r="N606" s="8" t="s">
        <v>30</v>
      </c>
      <c r="O606" s="8" t="s">
        <v>17</v>
      </c>
      <c r="P606" s="8" t="s">
        <v>18</v>
      </c>
      <c r="Q606" s="8" t="s">
        <v>18</v>
      </c>
      <c r="S606" s="8" t="s">
        <v>2219</v>
      </c>
      <c r="T606" s="8" t="s">
        <v>2220</v>
      </c>
      <c r="V606" s="8" t="s">
        <v>509</v>
      </c>
      <c r="W606" s="8">
        <f t="shared" si="17"/>
        <v>4</v>
      </c>
      <c r="X606" s="8">
        <f>K606*L606*N606</f>
        <v>0</v>
      </c>
    </row>
    <row r="607" spans="1:24" s="8" customFormat="1" ht="41.5" customHeight="1">
      <c r="A607" s="8" t="s">
        <v>2339</v>
      </c>
      <c r="B607" s="8" t="s">
        <v>2537</v>
      </c>
      <c r="C607" s="9">
        <v>45946.484566504601</v>
      </c>
      <c r="D607" s="8" t="s">
        <v>2218</v>
      </c>
      <c r="E607" s="8" t="s">
        <v>2057</v>
      </c>
      <c r="F607" s="8">
        <v>1</v>
      </c>
      <c r="G607" s="2">
        <v>635</v>
      </c>
      <c r="H607" s="8" t="s">
        <v>118</v>
      </c>
      <c r="I607" s="2">
        <f t="shared" si="18"/>
        <v>635</v>
      </c>
      <c r="M607" s="11">
        <v>20000</v>
      </c>
      <c r="N607" s="8" t="s">
        <v>30</v>
      </c>
      <c r="O607" s="8" t="s">
        <v>17</v>
      </c>
      <c r="P607" s="8" t="s">
        <v>18</v>
      </c>
      <c r="Q607" s="8" t="s">
        <v>18</v>
      </c>
      <c r="S607" s="8" t="s">
        <v>2219</v>
      </c>
      <c r="T607" s="8" t="s">
        <v>2220</v>
      </c>
      <c r="V607" s="8" t="s">
        <v>509</v>
      </c>
      <c r="W607" s="8">
        <f t="shared" si="17"/>
        <v>4</v>
      </c>
      <c r="X607" s="8">
        <f>K607*L607*N607</f>
        <v>0</v>
      </c>
    </row>
    <row r="608" spans="1:24" s="8" customFormat="1" ht="41.5" customHeight="1">
      <c r="A608" s="8" t="s">
        <v>2339</v>
      </c>
      <c r="B608" s="8" t="s">
        <v>2538</v>
      </c>
      <c r="C608" s="9">
        <v>45946.483671365699</v>
      </c>
      <c r="D608" s="8" t="s">
        <v>2218</v>
      </c>
      <c r="E608" s="8" t="s">
        <v>2057</v>
      </c>
      <c r="F608" s="8">
        <v>1</v>
      </c>
      <c r="G608" s="2">
        <v>635</v>
      </c>
      <c r="H608" s="8" t="s">
        <v>118</v>
      </c>
      <c r="I608" s="2">
        <f t="shared" si="18"/>
        <v>635</v>
      </c>
      <c r="M608" s="11">
        <v>20000</v>
      </c>
      <c r="N608" s="8" t="s">
        <v>30</v>
      </c>
      <c r="O608" s="8" t="s">
        <v>17</v>
      </c>
      <c r="P608" s="8" t="s">
        <v>18</v>
      </c>
      <c r="Q608" s="8" t="s">
        <v>18</v>
      </c>
      <c r="S608" s="8" t="s">
        <v>2219</v>
      </c>
      <c r="T608" s="8" t="s">
        <v>2220</v>
      </c>
      <c r="V608" s="8" t="s">
        <v>509</v>
      </c>
      <c r="W608" s="8">
        <f t="shared" si="17"/>
        <v>4</v>
      </c>
      <c r="X608" s="8">
        <f>K608*L608*N608</f>
        <v>0</v>
      </c>
    </row>
    <row r="609" spans="1:24" s="8" customFormat="1" ht="41.5" customHeight="1">
      <c r="A609" s="8" t="s">
        <v>2339</v>
      </c>
      <c r="B609" s="8" t="s">
        <v>2539</v>
      </c>
      <c r="C609" s="9">
        <v>45946.483311979202</v>
      </c>
      <c r="D609" s="8" t="s">
        <v>2218</v>
      </c>
      <c r="E609" s="8" t="s">
        <v>2057</v>
      </c>
      <c r="F609" s="8">
        <v>1</v>
      </c>
      <c r="G609" s="2">
        <v>635</v>
      </c>
      <c r="H609" s="8" t="s">
        <v>118</v>
      </c>
      <c r="I609" s="2">
        <f t="shared" si="18"/>
        <v>635</v>
      </c>
      <c r="M609" s="11">
        <v>20000</v>
      </c>
      <c r="N609" s="8" t="s">
        <v>30</v>
      </c>
      <c r="O609" s="8" t="s">
        <v>17</v>
      </c>
      <c r="P609" s="8" t="s">
        <v>18</v>
      </c>
      <c r="Q609" s="8" t="s">
        <v>18</v>
      </c>
      <c r="S609" s="8" t="s">
        <v>2219</v>
      </c>
      <c r="T609" s="8" t="s">
        <v>2220</v>
      </c>
      <c r="V609" s="8" t="s">
        <v>509</v>
      </c>
      <c r="W609" s="8">
        <f t="shared" si="17"/>
        <v>4</v>
      </c>
      <c r="X609" s="8">
        <f>K609*L609*N609</f>
        <v>0</v>
      </c>
    </row>
    <row r="610" spans="1:24" s="8" customFormat="1" ht="41.5" customHeight="1">
      <c r="A610" s="8" t="s">
        <v>2339</v>
      </c>
      <c r="B610" s="8" t="s">
        <v>2540</v>
      </c>
      <c r="C610" s="9">
        <v>45946.482049560203</v>
      </c>
      <c r="D610" s="8" t="s">
        <v>2218</v>
      </c>
      <c r="E610" s="8" t="s">
        <v>2057</v>
      </c>
      <c r="F610" s="8">
        <v>1</v>
      </c>
      <c r="G610" s="2">
        <v>635</v>
      </c>
      <c r="H610" s="8" t="s">
        <v>118</v>
      </c>
      <c r="I610" s="2">
        <f t="shared" si="18"/>
        <v>635</v>
      </c>
      <c r="M610" s="11">
        <v>20000</v>
      </c>
      <c r="N610" s="8" t="s">
        <v>30</v>
      </c>
      <c r="O610" s="8" t="s">
        <v>17</v>
      </c>
      <c r="P610" s="8" t="s">
        <v>18</v>
      </c>
      <c r="Q610" s="8" t="s">
        <v>18</v>
      </c>
      <c r="S610" s="8" t="s">
        <v>2219</v>
      </c>
      <c r="T610" s="8" t="s">
        <v>2220</v>
      </c>
      <c r="V610" s="8" t="s">
        <v>509</v>
      </c>
      <c r="W610" s="8">
        <f t="shared" ref="W610:W673" si="19">ROUNDUP(MONTH(V610)/3,0)</f>
        <v>4</v>
      </c>
      <c r="X610" s="8">
        <f>K610*L610*N610</f>
        <v>0</v>
      </c>
    </row>
    <row r="611" spans="1:24" s="8" customFormat="1" ht="41.5" customHeight="1">
      <c r="A611" s="8" t="s">
        <v>2339</v>
      </c>
      <c r="B611" s="8" t="s">
        <v>2541</v>
      </c>
      <c r="C611" s="9">
        <v>45946.480903750002</v>
      </c>
      <c r="D611" s="8" t="s">
        <v>2218</v>
      </c>
      <c r="E611" s="8" t="s">
        <v>2057</v>
      </c>
      <c r="F611" s="8">
        <v>1</v>
      </c>
      <c r="G611" s="2">
        <v>635</v>
      </c>
      <c r="H611" s="8" t="s">
        <v>118</v>
      </c>
      <c r="I611" s="2">
        <f t="shared" si="18"/>
        <v>635</v>
      </c>
      <c r="M611" s="11">
        <v>20000</v>
      </c>
      <c r="N611" s="8" t="s">
        <v>30</v>
      </c>
      <c r="O611" s="8" t="s">
        <v>17</v>
      </c>
      <c r="P611" s="8" t="s">
        <v>18</v>
      </c>
      <c r="Q611" s="8" t="s">
        <v>18</v>
      </c>
      <c r="S611" s="8" t="s">
        <v>2219</v>
      </c>
      <c r="T611" s="8" t="s">
        <v>2220</v>
      </c>
      <c r="V611" s="8" t="s">
        <v>509</v>
      </c>
      <c r="W611" s="8">
        <f t="shared" si="19"/>
        <v>4</v>
      </c>
      <c r="X611" s="8">
        <f>K611*L611*N611</f>
        <v>0</v>
      </c>
    </row>
    <row r="612" spans="1:24" s="8" customFormat="1" ht="41.5" customHeight="1">
      <c r="A612" s="8" t="s">
        <v>2339</v>
      </c>
      <c r="B612" s="8" t="s">
        <v>2542</v>
      </c>
      <c r="C612" s="9">
        <v>45946.477601273102</v>
      </c>
      <c r="D612" s="8" t="s">
        <v>2218</v>
      </c>
      <c r="E612" s="8" t="s">
        <v>2057</v>
      </c>
      <c r="F612" s="8">
        <v>1</v>
      </c>
      <c r="G612" s="2">
        <v>635</v>
      </c>
      <c r="H612" s="8" t="s">
        <v>118</v>
      </c>
      <c r="I612" s="2">
        <f t="shared" si="18"/>
        <v>635</v>
      </c>
      <c r="M612" s="11">
        <v>20000</v>
      </c>
      <c r="N612" s="8" t="s">
        <v>30</v>
      </c>
      <c r="O612" s="8" t="s">
        <v>17</v>
      </c>
      <c r="P612" s="8" t="s">
        <v>18</v>
      </c>
      <c r="Q612" s="8" t="s">
        <v>18</v>
      </c>
      <c r="S612" s="8" t="s">
        <v>2219</v>
      </c>
      <c r="T612" s="8" t="s">
        <v>2220</v>
      </c>
      <c r="V612" s="8" t="s">
        <v>509</v>
      </c>
      <c r="W612" s="8">
        <f t="shared" si="19"/>
        <v>4</v>
      </c>
      <c r="X612" s="8">
        <f>K612*L612*N612</f>
        <v>0</v>
      </c>
    </row>
    <row r="613" spans="1:24" s="8" customFormat="1" ht="41.5" customHeight="1">
      <c r="A613" s="8" t="s">
        <v>2339</v>
      </c>
      <c r="B613" s="8" t="s">
        <v>2543</v>
      </c>
      <c r="C613" s="9">
        <v>45946.4772464005</v>
      </c>
      <c r="D613" s="8" t="s">
        <v>2218</v>
      </c>
      <c r="E613" s="8" t="s">
        <v>2057</v>
      </c>
      <c r="F613" s="8">
        <v>1</v>
      </c>
      <c r="G613" s="2">
        <v>635</v>
      </c>
      <c r="H613" s="8" t="s">
        <v>118</v>
      </c>
      <c r="I613" s="2">
        <f t="shared" si="18"/>
        <v>635</v>
      </c>
      <c r="M613" s="11">
        <v>20000</v>
      </c>
      <c r="N613" s="8" t="s">
        <v>30</v>
      </c>
      <c r="O613" s="8" t="s">
        <v>17</v>
      </c>
      <c r="P613" s="8" t="s">
        <v>18</v>
      </c>
      <c r="Q613" s="8" t="s">
        <v>18</v>
      </c>
      <c r="S613" s="8" t="s">
        <v>2219</v>
      </c>
      <c r="T613" s="8" t="s">
        <v>2220</v>
      </c>
      <c r="V613" s="8" t="s">
        <v>509</v>
      </c>
      <c r="W613" s="8">
        <f t="shared" si="19"/>
        <v>4</v>
      </c>
      <c r="X613" s="8">
        <f>K613*L613*N613</f>
        <v>0</v>
      </c>
    </row>
    <row r="614" spans="1:24" s="8" customFormat="1" ht="41.5" customHeight="1">
      <c r="A614" s="8" t="s">
        <v>2339</v>
      </c>
      <c r="B614" s="8" t="s">
        <v>2544</v>
      </c>
      <c r="C614" s="9">
        <v>45947.908152060198</v>
      </c>
      <c r="D614" s="8" t="s">
        <v>2218</v>
      </c>
      <c r="E614" s="8" t="s">
        <v>2057</v>
      </c>
      <c r="F614" s="8">
        <v>1</v>
      </c>
      <c r="G614" s="2">
        <v>635</v>
      </c>
      <c r="H614" s="8" t="s">
        <v>118</v>
      </c>
      <c r="I614" s="2">
        <f t="shared" si="18"/>
        <v>635</v>
      </c>
      <c r="M614" s="11">
        <v>20000</v>
      </c>
      <c r="N614" s="8" t="s">
        <v>30</v>
      </c>
      <c r="O614" s="8" t="s">
        <v>17</v>
      </c>
      <c r="P614" s="8" t="s">
        <v>18</v>
      </c>
      <c r="Q614" s="8" t="s">
        <v>18</v>
      </c>
      <c r="S614" s="8" t="s">
        <v>2219</v>
      </c>
      <c r="T614" s="8" t="s">
        <v>2220</v>
      </c>
      <c r="V614" s="8" t="s">
        <v>507</v>
      </c>
      <c r="W614" s="8">
        <f t="shared" si="19"/>
        <v>4</v>
      </c>
      <c r="X614" s="8">
        <f>K614*L614*N614</f>
        <v>0</v>
      </c>
    </row>
    <row r="615" spans="1:24" s="8" customFormat="1" ht="41.5" customHeight="1">
      <c r="A615" s="8" t="s">
        <v>2339</v>
      </c>
      <c r="B615" s="8" t="s">
        <v>2545</v>
      </c>
      <c r="C615" s="9">
        <v>45946.466763900498</v>
      </c>
      <c r="D615" s="8" t="s">
        <v>2218</v>
      </c>
      <c r="E615" s="8" t="s">
        <v>2057</v>
      </c>
      <c r="F615" s="8">
        <v>1</v>
      </c>
      <c r="G615" s="2">
        <v>635</v>
      </c>
      <c r="H615" s="8" t="s">
        <v>118</v>
      </c>
      <c r="I615" s="2">
        <f t="shared" si="18"/>
        <v>635</v>
      </c>
      <c r="M615" s="11">
        <v>49600</v>
      </c>
      <c r="N615" s="8" t="s">
        <v>30</v>
      </c>
      <c r="O615" s="8" t="s">
        <v>17</v>
      </c>
      <c r="P615" s="8" t="s">
        <v>18</v>
      </c>
      <c r="Q615" s="8" t="s">
        <v>18</v>
      </c>
      <c r="S615" s="8" t="s">
        <v>2219</v>
      </c>
      <c r="T615" s="8" t="s">
        <v>2220</v>
      </c>
      <c r="V615" s="8" t="s">
        <v>509</v>
      </c>
      <c r="W615" s="8">
        <f t="shared" si="19"/>
        <v>4</v>
      </c>
      <c r="X615" s="8">
        <f>K615*L615*N615</f>
        <v>0</v>
      </c>
    </row>
    <row r="616" spans="1:24" s="8" customFormat="1" ht="41.5" customHeight="1">
      <c r="A616" s="8" t="s">
        <v>2339</v>
      </c>
      <c r="B616" s="8" t="s">
        <v>2546</v>
      </c>
      <c r="C616" s="9">
        <v>45946.466400034697</v>
      </c>
      <c r="D616" s="8" t="s">
        <v>2218</v>
      </c>
      <c r="E616" s="8" t="s">
        <v>2057</v>
      </c>
      <c r="F616" s="8">
        <v>1</v>
      </c>
      <c r="G616" s="2">
        <v>635</v>
      </c>
      <c r="H616" s="8" t="s">
        <v>118</v>
      </c>
      <c r="I616" s="2">
        <f t="shared" si="18"/>
        <v>635</v>
      </c>
      <c r="M616" s="11">
        <v>20000</v>
      </c>
      <c r="N616" s="8" t="s">
        <v>30</v>
      </c>
      <c r="O616" s="8" t="s">
        <v>17</v>
      </c>
      <c r="P616" s="8" t="s">
        <v>18</v>
      </c>
      <c r="Q616" s="8" t="s">
        <v>18</v>
      </c>
      <c r="S616" s="8" t="s">
        <v>2219</v>
      </c>
      <c r="T616" s="8" t="s">
        <v>2220</v>
      </c>
      <c r="V616" s="8" t="s">
        <v>509</v>
      </c>
      <c r="W616" s="8">
        <f t="shared" si="19"/>
        <v>4</v>
      </c>
      <c r="X616" s="8">
        <f>K616*L616*N616</f>
        <v>0</v>
      </c>
    </row>
    <row r="617" spans="1:24" s="8" customFormat="1" ht="41.5" customHeight="1">
      <c r="A617" s="8" t="s">
        <v>2339</v>
      </c>
      <c r="B617" s="8" t="s">
        <v>2547</v>
      </c>
      <c r="C617" s="9">
        <v>45946.462500601898</v>
      </c>
      <c r="D617" s="8" t="s">
        <v>2218</v>
      </c>
      <c r="E617" s="8" t="s">
        <v>2057</v>
      </c>
      <c r="F617" s="8">
        <v>1</v>
      </c>
      <c r="G617" s="2">
        <v>635</v>
      </c>
      <c r="H617" s="8" t="s">
        <v>118</v>
      </c>
      <c r="I617" s="2">
        <f t="shared" si="18"/>
        <v>635</v>
      </c>
      <c r="M617" s="11">
        <v>20000</v>
      </c>
      <c r="N617" s="8" t="s">
        <v>30</v>
      </c>
      <c r="O617" s="8" t="s">
        <v>17</v>
      </c>
      <c r="P617" s="8" t="s">
        <v>18</v>
      </c>
      <c r="Q617" s="8" t="s">
        <v>18</v>
      </c>
      <c r="S617" s="8" t="s">
        <v>2219</v>
      </c>
      <c r="T617" s="8" t="s">
        <v>2220</v>
      </c>
      <c r="V617" s="8" t="s">
        <v>509</v>
      </c>
      <c r="W617" s="8">
        <f t="shared" si="19"/>
        <v>4</v>
      </c>
      <c r="X617" s="8">
        <f>K617*L617*N617</f>
        <v>0</v>
      </c>
    </row>
    <row r="618" spans="1:24" s="8" customFormat="1" ht="41.5" customHeight="1">
      <c r="A618" s="8" t="s">
        <v>2339</v>
      </c>
      <c r="B618" s="8" t="s">
        <v>2548</v>
      </c>
      <c r="C618" s="9">
        <v>45946.460599780097</v>
      </c>
      <c r="D618" s="8" t="s">
        <v>2218</v>
      </c>
      <c r="E618" s="8" t="s">
        <v>2057</v>
      </c>
      <c r="F618" s="8">
        <v>1</v>
      </c>
      <c r="G618" s="2">
        <v>635</v>
      </c>
      <c r="H618" s="8" t="s">
        <v>118</v>
      </c>
      <c r="I618" s="2">
        <f t="shared" si="18"/>
        <v>635</v>
      </c>
      <c r="M618" s="11">
        <v>20000</v>
      </c>
      <c r="N618" s="8" t="s">
        <v>30</v>
      </c>
      <c r="O618" s="8" t="s">
        <v>17</v>
      </c>
      <c r="P618" s="8" t="s">
        <v>18</v>
      </c>
      <c r="Q618" s="8" t="s">
        <v>18</v>
      </c>
      <c r="S618" s="8" t="s">
        <v>2219</v>
      </c>
      <c r="T618" s="8" t="s">
        <v>2220</v>
      </c>
      <c r="V618" s="8" t="s">
        <v>509</v>
      </c>
      <c r="W618" s="8">
        <f t="shared" si="19"/>
        <v>4</v>
      </c>
      <c r="X618" s="8">
        <f>K618*L618*N618</f>
        <v>0</v>
      </c>
    </row>
    <row r="619" spans="1:24" s="8" customFormat="1" ht="41.5" customHeight="1">
      <c r="A619" s="8" t="s">
        <v>2339</v>
      </c>
      <c r="B619" s="8" t="s">
        <v>2549</v>
      </c>
      <c r="C619" s="9">
        <v>45946.460236539402</v>
      </c>
      <c r="D619" s="8" t="s">
        <v>2218</v>
      </c>
      <c r="E619" s="8" t="s">
        <v>2057</v>
      </c>
      <c r="F619" s="8">
        <v>1</v>
      </c>
      <c r="G619" s="2">
        <v>635</v>
      </c>
      <c r="H619" s="8" t="s">
        <v>118</v>
      </c>
      <c r="I619" s="2">
        <f t="shared" si="18"/>
        <v>635</v>
      </c>
      <c r="M619" s="11">
        <v>20000</v>
      </c>
      <c r="N619" s="8" t="s">
        <v>30</v>
      </c>
      <c r="O619" s="8" t="s">
        <v>17</v>
      </c>
      <c r="P619" s="8" t="s">
        <v>18</v>
      </c>
      <c r="Q619" s="8" t="s">
        <v>18</v>
      </c>
      <c r="S619" s="8" t="s">
        <v>2219</v>
      </c>
      <c r="T619" s="8" t="s">
        <v>2220</v>
      </c>
      <c r="V619" s="8" t="s">
        <v>509</v>
      </c>
      <c r="W619" s="8">
        <f t="shared" si="19"/>
        <v>4</v>
      </c>
      <c r="X619" s="8">
        <f>K619*L619*N619</f>
        <v>0</v>
      </c>
    </row>
    <row r="620" spans="1:24" s="8" customFormat="1" ht="41.5" customHeight="1">
      <c r="A620" s="8" t="s">
        <v>2339</v>
      </c>
      <c r="B620" s="8" t="s">
        <v>2550</v>
      </c>
      <c r="C620" s="9">
        <v>45946.460236215302</v>
      </c>
      <c r="D620" s="8" t="s">
        <v>2218</v>
      </c>
      <c r="E620" s="8" t="s">
        <v>2057</v>
      </c>
      <c r="F620" s="8">
        <v>1</v>
      </c>
      <c r="G620" s="2">
        <v>635</v>
      </c>
      <c r="H620" s="8" t="s">
        <v>118</v>
      </c>
      <c r="I620" s="2">
        <f t="shared" si="18"/>
        <v>635</v>
      </c>
      <c r="M620" s="11">
        <v>20000</v>
      </c>
      <c r="N620" s="8" t="s">
        <v>30</v>
      </c>
      <c r="O620" s="8" t="s">
        <v>17</v>
      </c>
      <c r="P620" s="8" t="s">
        <v>18</v>
      </c>
      <c r="Q620" s="8" t="s">
        <v>18</v>
      </c>
      <c r="S620" s="8" t="s">
        <v>2219</v>
      </c>
      <c r="T620" s="8" t="s">
        <v>2220</v>
      </c>
      <c r="V620" s="8" t="s">
        <v>509</v>
      </c>
      <c r="W620" s="8">
        <f t="shared" si="19"/>
        <v>4</v>
      </c>
      <c r="X620" s="8">
        <f>K620*L620*N620</f>
        <v>0</v>
      </c>
    </row>
    <row r="621" spans="1:24" s="8" customFormat="1" ht="41.5" customHeight="1">
      <c r="A621" s="8" t="s">
        <v>2339</v>
      </c>
      <c r="B621" s="8" t="s">
        <v>2551</v>
      </c>
      <c r="C621" s="9">
        <v>45947.9067236111</v>
      </c>
      <c r="D621" s="8" t="s">
        <v>2218</v>
      </c>
      <c r="E621" s="8" t="s">
        <v>2057</v>
      </c>
      <c r="F621" s="8">
        <v>1</v>
      </c>
      <c r="G621" s="2">
        <v>635</v>
      </c>
      <c r="H621" s="8" t="s">
        <v>118</v>
      </c>
      <c r="I621" s="2">
        <f t="shared" si="18"/>
        <v>635</v>
      </c>
      <c r="M621" s="11">
        <v>20000</v>
      </c>
      <c r="N621" s="8" t="s">
        <v>30</v>
      </c>
      <c r="O621" s="8" t="s">
        <v>17</v>
      </c>
      <c r="P621" s="8" t="s">
        <v>18</v>
      </c>
      <c r="Q621" s="8" t="s">
        <v>18</v>
      </c>
      <c r="S621" s="8" t="s">
        <v>2219</v>
      </c>
      <c r="T621" s="8" t="s">
        <v>2220</v>
      </c>
      <c r="V621" s="8" t="s">
        <v>507</v>
      </c>
      <c r="W621" s="8">
        <f t="shared" si="19"/>
        <v>4</v>
      </c>
      <c r="X621" s="8">
        <f>K621*L621*N621</f>
        <v>0</v>
      </c>
    </row>
    <row r="622" spans="1:24" s="8" customFormat="1" ht="41.5" customHeight="1">
      <c r="A622" s="8" t="s">
        <v>2339</v>
      </c>
      <c r="B622" s="8" t="s">
        <v>2552</v>
      </c>
      <c r="C622" s="9">
        <v>45947.906723599503</v>
      </c>
      <c r="D622" s="8" t="s">
        <v>2218</v>
      </c>
      <c r="E622" s="8" t="s">
        <v>2057</v>
      </c>
      <c r="F622" s="8">
        <v>1</v>
      </c>
      <c r="G622" s="2">
        <v>635</v>
      </c>
      <c r="H622" s="8" t="s">
        <v>118</v>
      </c>
      <c r="I622" s="2">
        <f t="shared" si="18"/>
        <v>635</v>
      </c>
      <c r="M622" s="11">
        <v>20000</v>
      </c>
      <c r="N622" s="8" t="s">
        <v>30</v>
      </c>
      <c r="O622" s="8" t="s">
        <v>17</v>
      </c>
      <c r="P622" s="8" t="s">
        <v>18</v>
      </c>
      <c r="Q622" s="8" t="s">
        <v>18</v>
      </c>
      <c r="S622" s="8" t="s">
        <v>2219</v>
      </c>
      <c r="T622" s="8" t="s">
        <v>2220</v>
      </c>
      <c r="V622" s="8" t="s">
        <v>507</v>
      </c>
      <c r="W622" s="8">
        <f t="shared" si="19"/>
        <v>4</v>
      </c>
      <c r="X622" s="8">
        <f>K622*L622*N622</f>
        <v>0</v>
      </c>
    </row>
    <row r="623" spans="1:24" s="8" customFormat="1" ht="41.5" customHeight="1">
      <c r="A623" s="8" t="s">
        <v>2553</v>
      </c>
      <c r="B623" s="8" t="s">
        <v>2554</v>
      </c>
      <c r="C623" s="9">
        <v>45890.659071562499</v>
      </c>
      <c r="D623" s="8" t="s">
        <v>2056</v>
      </c>
      <c r="E623" s="8" t="s">
        <v>2057</v>
      </c>
      <c r="F623" s="8">
        <v>1</v>
      </c>
      <c r="G623" s="2">
        <v>642</v>
      </c>
      <c r="H623" s="8" t="s">
        <v>144</v>
      </c>
      <c r="I623" s="2">
        <f t="shared" si="18"/>
        <v>642</v>
      </c>
      <c r="J623" s="8" t="s">
        <v>145</v>
      </c>
      <c r="K623" s="10">
        <v>1</v>
      </c>
      <c r="L623" s="10">
        <v>263636</v>
      </c>
      <c r="M623" s="11">
        <v>263636</v>
      </c>
      <c r="N623" s="8" t="s">
        <v>16</v>
      </c>
      <c r="O623" s="8" t="s">
        <v>17</v>
      </c>
      <c r="P623" s="8" t="s">
        <v>18</v>
      </c>
      <c r="Q623" s="8" t="s">
        <v>18</v>
      </c>
      <c r="R623" s="8" t="s">
        <v>2115</v>
      </c>
      <c r="S623" s="8" t="s">
        <v>2252</v>
      </c>
      <c r="T623" s="8" t="s">
        <v>2253</v>
      </c>
      <c r="U623" s="8" t="s">
        <v>2254</v>
      </c>
      <c r="V623" s="8" t="s">
        <v>635</v>
      </c>
      <c r="W623" s="8">
        <f t="shared" si="19"/>
        <v>3</v>
      </c>
      <c r="X623" s="8">
        <f>K623*L623*N623</f>
        <v>21090.880000000001</v>
      </c>
    </row>
    <row r="624" spans="1:24" s="8" customFormat="1" ht="41.5" customHeight="1">
      <c r="A624" s="8" t="s">
        <v>2280</v>
      </c>
      <c r="B624" s="8" t="s">
        <v>125</v>
      </c>
      <c r="C624" s="9">
        <v>45899.691935138901</v>
      </c>
      <c r="D624" s="8" t="s">
        <v>2056</v>
      </c>
      <c r="E624" s="8" t="s">
        <v>2057</v>
      </c>
      <c r="F624" s="8">
        <v>1</v>
      </c>
      <c r="G624" s="27" t="s">
        <v>1339</v>
      </c>
      <c r="H624" s="8" t="s">
        <v>264</v>
      </c>
      <c r="I624" s="2" t="str">
        <f t="shared" si="18"/>
        <v>Dây thép MK D1.0</v>
      </c>
      <c r="J624" s="8" t="s">
        <v>35</v>
      </c>
      <c r="K624" s="10">
        <v>1300</v>
      </c>
      <c r="L624" s="10">
        <v>16000</v>
      </c>
      <c r="M624" s="11">
        <v>20800000</v>
      </c>
      <c r="N624" s="8" t="s">
        <v>30</v>
      </c>
      <c r="O624" s="8" t="s">
        <v>17</v>
      </c>
      <c r="P624" s="8" t="s">
        <v>18</v>
      </c>
      <c r="Q624" s="8" t="s">
        <v>18</v>
      </c>
      <c r="R624" s="8" t="s">
        <v>2110</v>
      </c>
      <c r="S624" s="8" t="s">
        <v>2292</v>
      </c>
      <c r="T624" s="8" t="s">
        <v>2293</v>
      </c>
      <c r="U624" s="8" t="s">
        <v>2294</v>
      </c>
      <c r="V624" s="8" t="s">
        <v>636</v>
      </c>
      <c r="W624" s="8">
        <f t="shared" si="19"/>
        <v>3</v>
      </c>
      <c r="X624" s="8">
        <f>K624*L624*N624</f>
        <v>2080000</v>
      </c>
    </row>
    <row r="625" spans="1:24" s="8" customFormat="1" ht="41.5" customHeight="1">
      <c r="A625" s="8" t="s">
        <v>2280</v>
      </c>
      <c r="B625" s="8" t="s">
        <v>125</v>
      </c>
      <c r="C625" s="9">
        <v>45899.691935138901</v>
      </c>
      <c r="D625" s="8" t="s">
        <v>2056</v>
      </c>
      <c r="E625" s="8" t="s">
        <v>2057</v>
      </c>
      <c r="F625" s="8">
        <v>2</v>
      </c>
      <c r="G625" s="22" t="s">
        <v>637</v>
      </c>
      <c r="H625" s="8" t="s">
        <v>637</v>
      </c>
      <c r="I625" s="2" t="str">
        <f t="shared" si="18"/>
        <v>Lưới thép hàn</v>
      </c>
      <c r="J625" s="8" t="s">
        <v>638</v>
      </c>
      <c r="K625" s="10">
        <v>5</v>
      </c>
      <c r="L625" s="10">
        <v>1020000</v>
      </c>
      <c r="M625" s="11">
        <v>5100000</v>
      </c>
      <c r="N625" s="8" t="s">
        <v>30</v>
      </c>
      <c r="O625" s="8" t="s">
        <v>17</v>
      </c>
      <c r="P625" s="8" t="s">
        <v>18</v>
      </c>
      <c r="Q625" s="8" t="s">
        <v>18</v>
      </c>
      <c r="R625" s="8" t="s">
        <v>2110</v>
      </c>
      <c r="S625" s="8" t="s">
        <v>2292</v>
      </c>
      <c r="T625" s="8" t="s">
        <v>2293</v>
      </c>
      <c r="U625" s="8" t="s">
        <v>2294</v>
      </c>
      <c r="V625" s="8" t="s">
        <v>636</v>
      </c>
      <c r="W625" s="8">
        <f t="shared" si="19"/>
        <v>3</v>
      </c>
      <c r="X625" s="8">
        <f>K625*L625*N625</f>
        <v>510000</v>
      </c>
    </row>
    <row r="626" spans="1:24" s="8" customFormat="1" ht="41.5" customHeight="1">
      <c r="A626" s="8" t="s">
        <v>2280</v>
      </c>
      <c r="B626" s="8" t="s">
        <v>125</v>
      </c>
      <c r="C626" s="9">
        <v>45899.691935138901</v>
      </c>
      <c r="D626" s="8" t="s">
        <v>2056</v>
      </c>
      <c r="E626" s="8" t="s">
        <v>2057</v>
      </c>
      <c r="F626" s="8">
        <v>3</v>
      </c>
      <c r="G626" s="22" t="s">
        <v>639</v>
      </c>
      <c r="H626" s="8" t="s">
        <v>639</v>
      </c>
      <c r="I626" s="2" t="str">
        <f t="shared" si="18"/>
        <v>Dây thép mạ kẽm</v>
      </c>
      <c r="J626" s="8" t="s">
        <v>35</v>
      </c>
      <c r="K626" s="10">
        <v>1000</v>
      </c>
      <c r="L626" s="10">
        <v>20500</v>
      </c>
      <c r="M626" s="11">
        <v>20500000</v>
      </c>
      <c r="N626" s="8" t="s">
        <v>30</v>
      </c>
      <c r="O626" s="8" t="s">
        <v>17</v>
      </c>
      <c r="P626" s="8" t="s">
        <v>18</v>
      </c>
      <c r="Q626" s="8" t="s">
        <v>18</v>
      </c>
      <c r="R626" s="8" t="s">
        <v>2110</v>
      </c>
      <c r="S626" s="8" t="s">
        <v>2292</v>
      </c>
      <c r="T626" s="8" t="s">
        <v>2293</v>
      </c>
      <c r="U626" s="8" t="s">
        <v>2294</v>
      </c>
      <c r="V626" s="8" t="s">
        <v>636</v>
      </c>
      <c r="W626" s="8">
        <f t="shared" si="19"/>
        <v>3</v>
      </c>
      <c r="X626" s="8">
        <f>K626*L626*N626</f>
        <v>2050000</v>
      </c>
    </row>
    <row r="627" spans="1:24" s="8" customFormat="1" ht="41.5" customHeight="1">
      <c r="A627" s="8" t="s">
        <v>2280</v>
      </c>
      <c r="B627" s="8" t="s">
        <v>125</v>
      </c>
      <c r="C627" s="9">
        <v>45899.691935138901</v>
      </c>
      <c r="D627" s="8" t="s">
        <v>2056</v>
      </c>
      <c r="E627" s="8" t="s">
        <v>2057</v>
      </c>
      <c r="F627" s="8">
        <v>4</v>
      </c>
      <c r="G627" s="22" t="s">
        <v>640</v>
      </c>
      <c r="H627" s="8" t="s">
        <v>640</v>
      </c>
      <c r="I627" s="2" t="str">
        <f t="shared" si="18"/>
        <v>Đinh vít bắn ngói 8#X30mm</v>
      </c>
      <c r="J627" s="8" t="s">
        <v>35</v>
      </c>
      <c r="K627" s="10">
        <v>220</v>
      </c>
      <c r="L627" s="10">
        <v>33000</v>
      </c>
      <c r="M627" s="11">
        <v>7260000</v>
      </c>
      <c r="N627" s="8" t="s">
        <v>30</v>
      </c>
      <c r="O627" s="8" t="s">
        <v>17</v>
      </c>
      <c r="P627" s="8" t="s">
        <v>18</v>
      </c>
      <c r="Q627" s="8" t="s">
        <v>18</v>
      </c>
      <c r="R627" s="8" t="s">
        <v>2110</v>
      </c>
      <c r="S627" s="8" t="s">
        <v>2292</v>
      </c>
      <c r="T627" s="8" t="s">
        <v>2293</v>
      </c>
      <c r="U627" s="8" t="s">
        <v>2294</v>
      </c>
      <c r="V627" s="8" t="s">
        <v>636</v>
      </c>
      <c r="W627" s="8">
        <f t="shared" si="19"/>
        <v>3</v>
      </c>
      <c r="X627" s="8">
        <f>K627*L627*N627</f>
        <v>726000</v>
      </c>
    </row>
    <row r="628" spans="1:24" s="8" customFormat="1" ht="41.5" customHeight="1">
      <c r="A628" s="8" t="s">
        <v>2280</v>
      </c>
      <c r="B628" s="8" t="s">
        <v>125</v>
      </c>
      <c r="C628" s="9">
        <v>45899.691935138901</v>
      </c>
      <c r="D628" s="8" t="s">
        <v>2056</v>
      </c>
      <c r="E628" s="8" t="s">
        <v>2057</v>
      </c>
      <c r="F628" s="8">
        <v>5</v>
      </c>
      <c r="G628" s="22" t="s">
        <v>641</v>
      </c>
      <c r="H628" s="8" t="s">
        <v>641</v>
      </c>
      <c r="I628" s="2" t="str">
        <f t="shared" si="18"/>
        <v>Đinh vít dù 8#X13mm</v>
      </c>
      <c r="J628" s="8" t="s">
        <v>35</v>
      </c>
      <c r="K628" s="10">
        <v>250</v>
      </c>
      <c r="L628" s="10">
        <v>34000</v>
      </c>
      <c r="M628" s="11">
        <v>8500000</v>
      </c>
      <c r="N628" s="8" t="s">
        <v>30</v>
      </c>
      <c r="O628" s="8" t="s">
        <v>17</v>
      </c>
      <c r="P628" s="8" t="s">
        <v>18</v>
      </c>
      <c r="Q628" s="8" t="s">
        <v>18</v>
      </c>
      <c r="R628" s="8" t="s">
        <v>2110</v>
      </c>
      <c r="S628" s="8" t="s">
        <v>2292</v>
      </c>
      <c r="T628" s="8" t="s">
        <v>2293</v>
      </c>
      <c r="U628" s="8" t="s">
        <v>2294</v>
      </c>
      <c r="V628" s="8" t="s">
        <v>636</v>
      </c>
      <c r="W628" s="8">
        <f t="shared" si="19"/>
        <v>3</v>
      </c>
      <c r="X628" s="8">
        <f>K628*L628*N628</f>
        <v>850000</v>
      </c>
    </row>
    <row r="629" spans="1:24" s="8" customFormat="1" ht="41.5" customHeight="1">
      <c r="A629" s="8" t="s">
        <v>2280</v>
      </c>
      <c r="B629" s="8" t="s">
        <v>642</v>
      </c>
      <c r="C629" s="9">
        <v>45899.691678576397</v>
      </c>
      <c r="D629" s="8" t="s">
        <v>2056</v>
      </c>
      <c r="E629" s="8" t="s">
        <v>2057</v>
      </c>
      <c r="F629" s="8">
        <v>1</v>
      </c>
      <c r="G629" s="27" t="s">
        <v>776</v>
      </c>
      <c r="H629" s="8" t="s">
        <v>643</v>
      </c>
      <c r="I629" s="2" t="str">
        <f t="shared" si="18"/>
        <v>Que hàn sắt Kim Tín KT421 D2.5 20kg/thùng</v>
      </c>
      <c r="J629" s="8" t="s">
        <v>35</v>
      </c>
      <c r="K629" s="10">
        <v>400</v>
      </c>
      <c r="L629" s="10">
        <v>26500</v>
      </c>
      <c r="M629" s="11">
        <v>10600000</v>
      </c>
      <c r="N629" s="8" t="s">
        <v>16</v>
      </c>
      <c r="O629" s="8" t="s">
        <v>17</v>
      </c>
      <c r="P629" s="8" t="s">
        <v>18</v>
      </c>
      <c r="Q629" s="8" t="s">
        <v>18</v>
      </c>
      <c r="R629" s="8" t="s">
        <v>2110</v>
      </c>
      <c r="S629" s="8" t="s">
        <v>2292</v>
      </c>
      <c r="T629" s="8" t="s">
        <v>2293</v>
      </c>
      <c r="U629" s="8" t="s">
        <v>2294</v>
      </c>
      <c r="V629" s="8" t="s">
        <v>636</v>
      </c>
      <c r="W629" s="8">
        <f t="shared" si="19"/>
        <v>3</v>
      </c>
      <c r="X629" s="8">
        <f>K629*L629*N629</f>
        <v>848000</v>
      </c>
    </row>
    <row r="630" spans="1:24" s="8" customFormat="1" ht="41.5" customHeight="1">
      <c r="A630" s="8" t="s">
        <v>2280</v>
      </c>
      <c r="B630" s="8" t="s">
        <v>642</v>
      </c>
      <c r="C630" s="9">
        <v>45899.691678576397</v>
      </c>
      <c r="D630" s="8" t="s">
        <v>2056</v>
      </c>
      <c r="E630" s="8" t="s">
        <v>2057</v>
      </c>
      <c r="F630" s="8">
        <v>2</v>
      </c>
      <c r="G630" s="22" t="s">
        <v>644</v>
      </c>
      <c r="H630" s="8" t="s">
        <v>644</v>
      </c>
      <c r="I630" s="2" t="str">
        <f t="shared" si="18"/>
        <v>TCA52 - Cọ lăn Đông Nam Á Epoxy 2T5</v>
      </c>
      <c r="J630" s="8" t="s">
        <v>15</v>
      </c>
      <c r="K630" s="10">
        <v>200</v>
      </c>
      <c r="L630" s="10">
        <v>26500</v>
      </c>
      <c r="M630" s="11">
        <v>5300000</v>
      </c>
      <c r="N630" s="8" t="s">
        <v>16</v>
      </c>
      <c r="O630" s="8" t="s">
        <v>17</v>
      </c>
      <c r="P630" s="8" t="s">
        <v>18</v>
      </c>
      <c r="Q630" s="8" t="s">
        <v>18</v>
      </c>
      <c r="R630" s="8" t="s">
        <v>2110</v>
      </c>
      <c r="S630" s="8" t="s">
        <v>2292</v>
      </c>
      <c r="T630" s="8" t="s">
        <v>2293</v>
      </c>
      <c r="U630" s="8" t="s">
        <v>2294</v>
      </c>
      <c r="V630" s="8" t="s">
        <v>636</v>
      </c>
      <c r="W630" s="8">
        <f t="shared" si="19"/>
        <v>3</v>
      </c>
      <c r="X630" s="8">
        <f>K630*L630*N630</f>
        <v>424000</v>
      </c>
    </row>
    <row r="631" spans="1:24" s="8" customFormat="1" ht="41.5" customHeight="1">
      <c r="A631" s="8" t="s">
        <v>2280</v>
      </c>
      <c r="B631" s="8" t="s">
        <v>642</v>
      </c>
      <c r="C631" s="9">
        <v>45899.691678576397</v>
      </c>
      <c r="D631" s="8" t="s">
        <v>2056</v>
      </c>
      <c r="E631" s="8" t="s">
        <v>2057</v>
      </c>
      <c r="F631" s="8">
        <v>3</v>
      </c>
      <c r="G631" s="22" t="s">
        <v>1285</v>
      </c>
      <c r="H631" s="8" t="s">
        <v>645</v>
      </c>
      <c r="I631" s="2" t="str">
        <f t="shared" si="18"/>
        <v>Đá cắt 125</v>
      </c>
      <c r="J631" s="8" t="s">
        <v>99</v>
      </c>
      <c r="K631" s="10">
        <v>1000</v>
      </c>
      <c r="L631" s="10">
        <v>1700</v>
      </c>
      <c r="M631" s="11">
        <v>1700000</v>
      </c>
      <c r="N631" s="8" t="s">
        <v>16</v>
      </c>
      <c r="O631" s="8" t="s">
        <v>17</v>
      </c>
      <c r="P631" s="8" t="s">
        <v>18</v>
      </c>
      <c r="Q631" s="8" t="s">
        <v>18</v>
      </c>
      <c r="R631" s="8" t="s">
        <v>2110</v>
      </c>
      <c r="S631" s="8" t="s">
        <v>2292</v>
      </c>
      <c r="T631" s="8" t="s">
        <v>2293</v>
      </c>
      <c r="U631" s="8" t="s">
        <v>2294</v>
      </c>
      <c r="V631" s="8" t="s">
        <v>636</v>
      </c>
      <c r="W631" s="8">
        <f t="shared" si="19"/>
        <v>3</v>
      </c>
      <c r="X631" s="8">
        <f>K631*L631*N631</f>
        <v>136000</v>
      </c>
    </row>
    <row r="632" spans="1:24" s="8" customFormat="1" ht="41.5" customHeight="1">
      <c r="A632" s="8" t="s">
        <v>2280</v>
      </c>
      <c r="B632" s="8" t="s">
        <v>642</v>
      </c>
      <c r="C632" s="9">
        <v>45899.691678576397</v>
      </c>
      <c r="D632" s="8" t="s">
        <v>2056</v>
      </c>
      <c r="E632" s="8" t="s">
        <v>2057</v>
      </c>
      <c r="F632" s="8">
        <v>4</v>
      </c>
      <c r="G632" s="22" t="s">
        <v>646</v>
      </c>
      <c r="H632" s="8" t="s">
        <v>646</v>
      </c>
      <c r="I632" s="2" t="str">
        <f t="shared" si="18"/>
        <v>Bàn chải đánh rỉ kim loại 80*20mm</v>
      </c>
      <c r="J632" s="8" t="s">
        <v>15</v>
      </c>
      <c r="K632" s="10">
        <v>240</v>
      </c>
      <c r="L632" s="10">
        <v>2000</v>
      </c>
      <c r="M632" s="11">
        <v>480000</v>
      </c>
      <c r="N632" s="8" t="s">
        <v>16</v>
      </c>
      <c r="O632" s="8" t="s">
        <v>17</v>
      </c>
      <c r="P632" s="8" t="s">
        <v>18</v>
      </c>
      <c r="Q632" s="8" t="s">
        <v>18</v>
      </c>
      <c r="R632" s="8" t="s">
        <v>2110</v>
      </c>
      <c r="S632" s="8" t="s">
        <v>2292</v>
      </c>
      <c r="T632" s="8" t="s">
        <v>2293</v>
      </c>
      <c r="U632" s="8" t="s">
        <v>2294</v>
      </c>
      <c r="V632" s="8" t="s">
        <v>636</v>
      </c>
      <c r="W632" s="8">
        <f t="shared" si="19"/>
        <v>3</v>
      </c>
      <c r="X632" s="8">
        <f>K632*L632*N632</f>
        <v>38400</v>
      </c>
    </row>
    <row r="633" spans="1:24" s="8" customFormat="1" ht="41.5" customHeight="1">
      <c r="A633" s="8" t="s">
        <v>2280</v>
      </c>
      <c r="B633" s="8" t="s">
        <v>642</v>
      </c>
      <c r="C633" s="9">
        <v>45899.691678576397</v>
      </c>
      <c r="D633" s="8" t="s">
        <v>2056</v>
      </c>
      <c r="E633" s="8" t="s">
        <v>2057</v>
      </c>
      <c r="F633" s="8">
        <v>5</v>
      </c>
      <c r="G633" s="2"/>
      <c r="H633" s="8" t="s">
        <v>647</v>
      </c>
      <c r="I633" s="2">
        <f t="shared" si="18"/>
        <v>0</v>
      </c>
      <c r="J633" s="8" t="s">
        <v>99</v>
      </c>
      <c r="K633" s="10">
        <v>100</v>
      </c>
      <c r="L633" s="10">
        <v>15000</v>
      </c>
      <c r="M633" s="11">
        <v>1500000</v>
      </c>
      <c r="N633" s="8" t="s">
        <v>16</v>
      </c>
      <c r="O633" s="8" t="s">
        <v>17</v>
      </c>
      <c r="P633" s="8" t="s">
        <v>18</v>
      </c>
      <c r="Q633" s="8" t="s">
        <v>18</v>
      </c>
      <c r="R633" s="8" t="s">
        <v>2110</v>
      </c>
      <c r="S633" s="8" t="s">
        <v>2292</v>
      </c>
      <c r="T633" s="8" t="s">
        <v>2293</v>
      </c>
      <c r="U633" s="8" t="s">
        <v>2294</v>
      </c>
      <c r="V633" s="8" t="s">
        <v>636</v>
      </c>
      <c r="W633" s="8">
        <f t="shared" si="19"/>
        <v>3</v>
      </c>
      <c r="X633" s="8">
        <f>K633*L633*N633</f>
        <v>120000</v>
      </c>
    </row>
    <row r="634" spans="1:24" s="8" customFormat="1" ht="41.5" customHeight="1">
      <c r="A634" s="8" t="s">
        <v>2280</v>
      </c>
      <c r="B634" s="8" t="s">
        <v>642</v>
      </c>
      <c r="C634" s="9">
        <v>45899.691678576397</v>
      </c>
      <c r="D634" s="8" t="s">
        <v>2056</v>
      </c>
      <c r="E634" s="8" t="s">
        <v>2057</v>
      </c>
      <c r="F634" s="8">
        <v>6</v>
      </c>
      <c r="G634" s="22" t="s">
        <v>2262</v>
      </c>
      <c r="H634" s="8" t="s">
        <v>648</v>
      </c>
      <c r="I634" s="2" t="str">
        <f t="shared" si="18"/>
        <v>Thước cuốn kích thước bản ngang 25mm dài 7.5m</v>
      </c>
      <c r="J634" s="8" t="s">
        <v>19</v>
      </c>
      <c r="K634" s="10">
        <v>100</v>
      </c>
      <c r="L634" s="10">
        <v>6500</v>
      </c>
      <c r="M634" s="11">
        <v>650000</v>
      </c>
      <c r="N634" s="8" t="s">
        <v>16</v>
      </c>
      <c r="O634" s="8" t="s">
        <v>17</v>
      </c>
      <c r="P634" s="8" t="s">
        <v>18</v>
      </c>
      <c r="Q634" s="8" t="s">
        <v>18</v>
      </c>
      <c r="R634" s="8" t="s">
        <v>2110</v>
      </c>
      <c r="S634" s="8" t="s">
        <v>2292</v>
      </c>
      <c r="T634" s="8" t="s">
        <v>2293</v>
      </c>
      <c r="U634" s="8" t="s">
        <v>2294</v>
      </c>
      <c r="V634" s="8" t="s">
        <v>636</v>
      </c>
      <c r="W634" s="8">
        <f t="shared" si="19"/>
        <v>3</v>
      </c>
      <c r="X634" s="8">
        <f>K634*L634*N634</f>
        <v>52000</v>
      </c>
    </row>
    <row r="635" spans="1:24" s="8" customFormat="1" ht="41.5" customHeight="1">
      <c r="A635" s="8" t="s">
        <v>2280</v>
      </c>
      <c r="B635" s="8" t="s">
        <v>642</v>
      </c>
      <c r="C635" s="9">
        <v>45899.691678576397</v>
      </c>
      <c r="D635" s="8" t="s">
        <v>2056</v>
      </c>
      <c r="E635" s="8" t="s">
        <v>2057</v>
      </c>
      <c r="F635" s="8">
        <v>7</v>
      </c>
      <c r="G635" s="22" t="s">
        <v>649</v>
      </c>
      <c r="H635" s="8" t="s">
        <v>649</v>
      </c>
      <c r="I635" s="2" t="str">
        <f t="shared" si="18"/>
        <v>Sơn sắt mạ kẽm màu cafe Z43</v>
      </c>
      <c r="J635" s="8" t="s">
        <v>35</v>
      </c>
      <c r="K635" s="10">
        <v>52</v>
      </c>
      <c r="L635" s="10">
        <v>74000</v>
      </c>
      <c r="M635" s="11">
        <v>3848000</v>
      </c>
      <c r="N635" s="8" t="s">
        <v>16</v>
      </c>
      <c r="O635" s="8" t="s">
        <v>17</v>
      </c>
      <c r="P635" s="8" t="s">
        <v>18</v>
      </c>
      <c r="Q635" s="8" t="s">
        <v>18</v>
      </c>
      <c r="R635" s="8" t="s">
        <v>2110</v>
      </c>
      <c r="S635" s="8" t="s">
        <v>2292</v>
      </c>
      <c r="T635" s="8" t="s">
        <v>2293</v>
      </c>
      <c r="U635" s="8" t="s">
        <v>2294</v>
      </c>
      <c r="V635" s="8" t="s">
        <v>636</v>
      </c>
      <c r="W635" s="8">
        <f t="shared" si="19"/>
        <v>3</v>
      </c>
      <c r="X635" s="8">
        <f>K635*L635*N635</f>
        <v>307840</v>
      </c>
    </row>
    <row r="636" spans="1:24" s="8" customFormat="1" ht="41.5" customHeight="1">
      <c r="A636" s="8" t="s">
        <v>2280</v>
      </c>
      <c r="B636" s="8" t="s">
        <v>642</v>
      </c>
      <c r="C636" s="9">
        <v>45899.691678576397</v>
      </c>
      <c r="D636" s="8" t="s">
        <v>2056</v>
      </c>
      <c r="E636" s="8" t="s">
        <v>2057</v>
      </c>
      <c r="F636" s="8">
        <v>8</v>
      </c>
      <c r="G636" s="22" t="s">
        <v>378</v>
      </c>
      <c r="H636" s="8" t="s">
        <v>378</v>
      </c>
      <c r="I636" s="2" t="str">
        <f t="shared" si="18"/>
        <v>Sơn xịt Kobe mã 300</v>
      </c>
      <c r="J636" s="8" t="s">
        <v>55</v>
      </c>
      <c r="K636" s="10">
        <v>20</v>
      </c>
      <c r="L636" s="10">
        <v>305000</v>
      </c>
      <c r="M636" s="11">
        <v>6100000</v>
      </c>
      <c r="N636" s="8" t="s">
        <v>16</v>
      </c>
      <c r="O636" s="8" t="s">
        <v>17</v>
      </c>
      <c r="P636" s="8" t="s">
        <v>18</v>
      </c>
      <c r="Q636" s="8" t="s">
        <v>18</v>
      </c>
      <c r="R636" s="8" t="s">
        <v>2110</v>
      </c>
      <c r="S636" s="8" t="s">
        <v>2292</v>
      </c>
      <c r="T636" s="8" t="s">
        <v>2293</v>
      </c>
      <c r="U636" s="8" t="s">
        <v>2294</v>
      </c>
      <c r="V636" s="8" t="s">
        <v>636</v>
      </c>
      <c r="W636" s="8">
        <f t="shared" si="19"/>
        <v>3</v>
      </c>
      <c r="X636" s="8">
        <f>K636*L636*N636</f>
        <v>488000</v>
      </c>
    </row>
    <row r="637" spans="1:24" s="8" customFormat="1" ht="41.5" customHeight="1">
      <c r="A637" s="8" t="s">
        <v>2280</v>
      </c>
      <c r="B637" s="8" t="s">
        <v>642</v>
      </c>
      <c r="C637" s="9">
        <v>45899.691678576397</v>
      </c>
      <c r="D637" s="8" t="s">
        <v>2056</v>
      </c>
      <c r="E637" s="8" t="s">
        <v>2057</v>
      </c>
      <c r="F637" s="8">
        <v>9</v>
      </c>
      <c r="G637" s="22" t="s">
        <v>650</v>
      </c>
      <c r="H637" s="8" t="s">
        <v>650</v>
      </c>
      <c r="I637" s="2" t="str">
        <f t="shared" si="18"/>
        <v>Sơn xịt Kobe mã 242</v>
      </c>
      <c r="J637" s="8" t="s">
        <v>55</v>
      </c>
      <c r="K637" s="10">
        <v>20</v>
      </c>
      <c r="L637" s="10">
        <v>290000</v>
      </c>
      <c r="M637" s="11">
        <v>5800000</v>
      </c>
      <c r="N637" s="8" t="s">
        <v>16</v>
      </c>
      <c r="O637" s="8" t="s">
        <v>17</v>
      </c>
      <c r="P637" s="8" t="s">
        <v>18</v>
      </c>
      <c r="Q637" s="8" t="s">
        <v>18</v>
      </c>
      <c r="R637" s="8" t="s">
        <v>2110</v>
      </c>
      <c r="S637" s="8" t="s">
        <v>2292</v>
      </c>
      <c r="T637" s="8" t="s">
        <v>2293</v>
      </c>
      <c r="U637" s="8" t="s">
        <v>2294</v>
      </c>
      <c r="V637" s="8" t="s">
        <v>636</v>
      </c>
      <c r="W637" s="8">
        <f t="shared" si="19"/>
        <v>3</v>
      </c>
      <c r="X637" s="8">
        <f>K637*L637*N637</f>
        <v>464000</v>
      </c>
    </row>
    <row r="638" spans="1:24" s="13" customFormat="1" ht="41.5" customHeight="1">
      <c r="A638" s="8" t="s">
        <v>2281</v>
      </c>
      <c r="B638" s="13" t="s">
        <v>2555</v>
      </c>
      <c r="C638" s="14">
        <v>45890.676063460603</v>
      </c>
      <c r="D638" s="13" t="s">
        <v>2056</v>
      </c>
      <c r="E638" s="13" t="s">
        <v>2057</v>
      </c>
      <c r="F638" s="13">
        <v>1</v>
      </c>
      <c r="G638" s="28" t="s">
        <v>1363</v>
      </c>
      <c r="H638" s="13" t="s">
        <v>59</v>
      </c>
      <c r="I638" s="2" t="str">
        <f t="shared" si="18"/>
        <v>Tôn màu</v>
      </c>
      <c r="J638" s="13" t="s">
        <v>106</v>
      </c>
      <c r="K638" s="15">
        <v>1193.9000000000001</v>
      </c>
      <c r="L638" s="15">
        <v>76000</v>
      </c>
      <c r="M638" s="16">
        <v>90736400</v>
      </c>
      <c r="N638" s="13" t="s">
        <v>30</v>
      </c>
      <c r="O638" s="13" t="s">
        <v>17</v>
      </c>
      <c r="P638" s="13" t="s">
        <v>18</v>
      </c>
      <c r="Q638" s="13" t="s">
        <v>18</v>
      </c>
      <c r="R638" s="13" t="s">
        <v>2115</v>
      </c>
      <c r="S638" s="13" t="s">
        <v>2126</v>
      </c>
      <c r="T638" s="13" t="s">
        <v>2127</v>
      </c>
      <c r="U638" s="13" t="s">
        <v>2128</v>
      </c>
      <c r="V638" s="13" t="s">
        <v>635</v>
      </c>
      <c r="W638" s="13">
        <f t="shared" si="19"/>
        <v>3</v>
      </c>
      <c r="X638" s="8">
        <f>K638*L638*N638</f>
        <v>9073640</v>
      </c>
    </row>
    <row r="639" spans="1:24" s="8" customFormat="1" ht="41.5" customHeight="1">
      <c r="A639" s="8" t="s">
        <v>2281</v>
      </c>
      <c r="B639" s="8" t="s">
        <v>2555</v>
      </c>
      <c r="C639" s="9">
        <v>45890.676063460603</v>
      </c>
      <c r="D639" s="8" t="s">
        <v>2056</v>
      </c>
      <c r="E639" s="8" t="s">
        <v>2057</v>
      </c>
      <c r="F639" s="8">
        <v>2</v>
      </c>
      <c r="G639" s="27" t="s">
        <v>2140</v>
      </c>
      <c r="H639" s="8" t="s">
        <v>267</v>
      </c>
      <c r="I639" s="2" t="str">
        <f t="shared" si="18"/>
        <v>Thép ống hộp</v>
      </c>
      <c r="J639" s="8" t="s">
        <v>35</v>
      </c>
      <c r="K639" s="10">
        <v>22231.51</v>
      </c>
      <c r="L639" s="10">
        <v>17400</v>
      </c>
      <c r="M639" s="11">
        <v>386828274</v>
      </c>
      <c r="N639" s="8" t="s">
        <v>30</v>
      </c>
      <c r="O639" s="8" t="s">
        <v>17</v>
      </c>
      <c r="P639" s="8" t="s">
        <v>18</v>
      </c>
      <c r="Q639" s="8" t="s">
        <v>18</v>
      </c>
      <c r="R639" s="8" t="s">
        <v>2115</v>
      </c>
      <c r="S639" s="8" t="s">
        <v>2126</v>
      </c>
      <c r="T639" s="8" t="s">
        <v>2127</v>
      </c>
      <c r="U639" s="8" t="s">
        <v>2128</v>
      </c>
      <c r="V639" s="8" t="s">
        <v>635</v>
      </c>
      <c r="W639" s="8">
        <f t="shared" si="19"/>
        <v>3</v>
      </c>
      <c r="X639" s="8">
        <f>K639*L639*N639</f>
        <v>38682827.399999999</v>
      </c>
    </row>
    <row r="640" spans="1:24" s="8" customFormat="1" ht="41.5" customHeight="1">
      <c r="A640" s="8" t="s">
        <v>2281</v>
      </c>
      <c r="B640" s="8" t="s">
        <v>2555</v>
      </c>
      <c r="C640" s="9">
        <v>45890.676063460603</v>
      </c>
      <c r="D640" s="8" t="s">
        <v>2056</v>
      </c>
      <c r="E640" s="8" t="s">
        <v>2057</v>
      </c>
      <c r="F640" s="8">
        <v>3</v>
      </c>
      <c r="G640" s="27" t="s">
        <v>2140</v>
      </c>
      <c r="H640" s="8" t="s">
        <v>268</v>
      </c>
      <c r="I640" s="2" t="str">
        <f t="shared" si="18"/>
        <v>Thép ống hộp</v>
      </c>
      <c r="J640" s="8" t="s">
        <v>35</v>
      </c>
      <c r="K640" s="10">
        <v>757.95</v>
      </c>
      <c r="L640" s="10">
        <v>17400</v>
      </c>
      <c r="M640" s="11">
        <v>13188330</v>
      </c>
      <c r="N640" s="8" t="s">
        <v>30</v>
      </c>
      <c r="O640" s="8" t="s">
        <v>17</v>
      </c>
      <c r="P640" s="8" t="s">
        <v>18</v>
      </c>
      <c r="Q640" s="8" t="s">
        <v>18</v>
      </c>
      <c r="R640" s="8" t="s">
        <v>2115</v>
      </c>
      <c r="S640" s="8" t="s">
        <v>2126</v>
      </c>
      <c r="T640" s="8" t="s">
        <v>2127</v>
      </c>
      <c r="U640" s="8" t="s">
        <v>2128</v>
      </c>
      <c r="V640" s="8" t="s">
        <v>635</v>
      </c>
      <c r="W640" s="8">
        <f t="shared" si="19"/>
        <v>3</v>
      </c>
      <c r="X640" s="8">
        <f>K640*L640*N640</f>
        <v>1318833</v>
      </c>
    </row>
    <row r="641" spans="1:24" s="8" customFormat="1" ht="41.5" customHeight="1">
      <c r="A641" s="8" t="s">
        <v>2281</v>
      </c>
      <c r="B641" s="8" t="s">
        <v>2556</v>
      </c>
      <c r="C641" s="9">
        <v>45898.778105520803</v>
      </c>
      <c r="D641" s="8" t="s">
        <v>2056</v>
      </c>
      <c r="E641" s="8" t="s">
        <v>2057</v>
      </c>
      <c r="F641" s="8">
        <v>1</v>
      </c>
      <c r="G641" s="27" t="s">
        <v>1435</v>
      </c>
      <c r="H641" s="8" t="s">
        <v>651</v>
      </c>
      <c r="I641" s="2" t="str">
        <f t="shared" si="18"/>
        <v>Dây điện 2x1.5</v>
      </c>
      <c r="J641" s="8" t="s">
        <v>71</v>
      </c>
      <c r="K641" s="10">
        <v>100</v>
      </c>
      <c r="L641" s="10">
        <v>9119</v>
      </c>
      <c r="M641" s="11">
        <v>911900</v>
      </c>
      <c r="N641" s="8" t="s">
        <v>16</v>
      </c>
      <c r="O641" s="8" t="s">
        <v>17</v>
      </c>
      <c r="P641" s="8" t="s">
        <v>18</v>
      </c>
      <c r="Q641" s="8" t="s">
        <v>18</v>
      </c>
      <c r="R641" s="8" t="s">
        <v>2115</v>
      </c>
      <c r="S641" s="8" t="s">
        <v>2236</v>
      </c>
      <c r="T641" s="8" t="s">
        <v>2237</v>
      </c>
      <c r="U641" s="8" t="s">
        <v>2238</v>
      </c>
      <c r="V641" s="8" t="s">
        <v>652</v>
      </c>
      <c r="W641" s="8">
        <f t="shared" si="19"/>
        <v>3</v>
      </c>
      <c r="X641" s="8">
        <f>K641*L641*N641</f>
        <v>72952</v>
      </c>
    </row>
    <row r="642" spans="1:24" s="8" customFormat="1" ht="41.5" customHeight="1">
      <c r="A642" s="8" t="s">
        <v>2281</v>
      </c>
      <c r="B642" s="8" t="s">
        <v>2556</v>
      </c>
      <c r="C642" s="9">
        <v>45898.778105520803</v>
      </c>
      <c r="D642" s="8" t="s">
        <v>2056</v>
      </c>
      <c r="E642" s="8" t="s">
        <v>2057</v>
      </c>
      <c r="F642" s="8">
        <v>2</v>
      </c>
      <c r="G642" s="22" t="s">
        <v>2263</v>
      </c>
      <c r="H642" s="8" t="s">
        <v>653</v>
      </c>
      <c r="I642" s="2" t="str">
        <f t="shared" ref="I642:I705" si="20">G642</f>
        <v>Dây điện Cu/pvc/pvc3x1.5</v>
      </c>
      <c r="J642" s="8" t="s">
        <v>71</v>
      </c>
      <c r="K642" s="10">
        <v>200</v>
      </c>
      <c r="L642" s="10">
        <v>14186</v>
      </c>
      <c r="M642" s="11">
        <v>2837200</v>
      </c>
      <c r="N642" s="8" t="s">
        <v>16</v>
      </c>
      <c r="O642" s="8" t="s">
        <v>17</v>
      </c>
      <c r="P642" s="8" t="s">
        <v>18</v>
      </c>
      <c r="Q642" s="8" t="s">
        <v>18</v>
      </c>
      <c r="R642" s="8" t="s">
        <v>2115</v>
      </c>
      <c r="S642" s="8" t="s">
        <v>2236</v>
      </c>
      <c r="T642" s="8" t="s">
        <v>2237</v>
      </c>
      <c r="U642" s="8" t="s">
        <v>2238</v>
      </c>
      <c r="V642" s="8" t="s">
        <v>652</v>
      </c>
      <c r="W642" s="8">
        <f t="shared" si="19"/>
        <v>3</v>
      </c>
      <c r="X642" s="8">
        <f>K642*L642*N642</f>
        <v>226976</v>
      </c>
    </row>
    <row r="643" spans="1:24" s="8" customFormat="1" ht="41.5" customHeight="1">
      <c r="A643" s="8" t="s">
        <v>2281</v>
      </c>
      <c r="B643" s="8" t="s">
        <v>2556</v>
      </c>
      <c r="C643" s="9">
        <v>45898.778105520803</v>
      </c>
      <c r="D643" s="8" t="s">
        <v>2056</v>
      </c>
      <c r="E643" s="8" t="s">
        <v>2057</v>
      </c>
      <c r="F643" s="8">
        <v>3</v>
      </c>
      <c r="G643" s="22" t="s">
        <v>1464</v>
      </c>
      <c r="H643" s="8" t="s">
        <v>654</v>
      </c>
      <c r="I643" s="2" t="str">
        <f t="shared" si="20"/>
        <v>Cáp nhôm vặn xoắn ABC 4x25</v>
      </c>
      <c r="J643" s="8" t="s">
        <v>71</v>
      </c>
      <c r="K643" s="10">
        <v>500</v>
      </c>
      <c r="L643" s="10">
        <v>24537</v>
      </c>
      <c r="M643" s="11">
        <v>12268500</v>
      </c>
      <c r="N643" s="8" t="s">
        <v>16</v>
      </c>
      <c r="O643" s="8" t="s">
        <v>17</v>
      </c>
      <c r="P643" s="8" t="s">
        <v>18</v>
      </c>
      <c r="Q643" s="8" t="s">
        <v>18</v>
      </c>
      <c r="R643" s="8" t="s">
        <v>2115</v>
      </c>
      <c r="S643" s="8" t="s">
        <v>2236</v>
      </c>
      <c r="T643" s="8" t="s">
        <v>2237</v>
      </c>
      <c r="U643" s="8" t="s">
        <v>2238</v>
      </c>
      <c r="V643" s="8" t="s">
        <v>652</v>
      </c>
      <c r="W643" s="8">
        <f t="shared" si="19"/>
        <v>3</v>
      </c>
      <c r="X643" s="8">
        <f>K643*L643*N643</f>
        <v>981480</v>
      </c>
    </row>
    <row r="644" spans="1:24" s="8" customFormat="1" ht="41.5" customHeight="1">
      <c r="A644" s="8" t="s">
        <v>2281</v>
      </c>
      <c r="B644" s="8" t="s">
        <v>2556</v>
      </c>
      <c r="C644" s="9">
        <v>45898.778105520803</v>
      </c>
      <c r="D644" s="8" t="s">
        <v>2056</v>
      </c>
      <c r="E644" s="8" t="s">
        <v>2057</v>
      </c>
      <c r="F644" s="8">
        <v>4</v>
      </c>
      <c r="G644" s="22" t="s">
        <v>1548</v>
      </c>
      <c r="H644" s="8" t="s">
        <v>408</v>
      </c>
      <c r="I644" s="2" t="str">
        <f t="shared" si="20"/>
        <v>Dây điện Cu/pvc/pvc3x2.5</v>
      </c>
      <c r="J644" s="8" t="s">
        <v>71</v>
      </c>
      <c r="K644" s="10">
        <v>400</v>
      </c>
      <c r="L644" s="10">
        <v>23161</v>
      </c>
      <c r="M644" s="11">
        <v>9264400</v>
      </c>
      <c r="N644" s="8" t="s">
        <v>16</v>
      </c>
      <c r="O644" s="8" t="s">
        <v>17</v>
      </c>
      <c r="P644" s="8" t="s">
        <v>18</v>
      </c>
      <c r="Q644" s="8" t="s">
        <v>18</v>
      </c>
      <c r="R644" s="8" t="s">
        <v>2115</v>
      </c>
      <c r="S644" s="8" t="s">
        <v>2236</v>
      </c>
      <c r="T644" s="8" t="s">
        <v>2237</v>
      </c>
      <c r="U644" s="8" t="s">
        <v>2238</v>
      </c>
      <c r="V644" s="8" t="s">
        <v>652</v>
      </c>
      <c r="W644" s="8">
        <f t="shared" si="19"/>
        <v>3</v>
      </c>
      <c r="X644" s="8">
        <f>K644*L644*N644</f>
        <v>741152</v>
      </c>
    </row>
    <row r="645" spans="1:24" s="8" customFormat="1" ht="41.5" customHeight="1">
      <c r="A645" s="8" t="s">
        <v>2281</v>
      </c>
      <c r="B645" s="8" t="s">
        <v>2556</v>
      </c>
      <c r="C645" s="9">
        <v>45898.778105520803</v>
      </c>
      <c r="D645" s="8" t="s">
        <v>2056</v>
      </c>
      <c r="E645" s="8" t="s">
        <v>2057</v>
      </c>
      <c r="F645" s="8">
        <v>5</v>
      </c>
      <c r="G645" s="22" t="s">
        <v>1814</v>
      </c>
      <c r="H645" s="8" t="s">
        <v>655</v>
      </c>
      <c r="I645" s="2" t="str">
        <f t="shared" si="20"/>
        <v>Dây điện 1x16 CU/PVC cadisun</v>
      </c>
      <c r="J645" s="8" t="s">
        <v>71</v>
      </c>
      <c r="K645" s="10">
        <v>50</v>
      </c>
      <c r="L645" s="10">
        <v>44448</v>
      </c>
      <c r="M645" s="11">
        <v>2222400</v>
      </c>
      <c r="N645" s="8" t="s">
        <v>16</v>
      </c>
      <c r="O645" s="8" t="s">
        <v>17</v>
      </c>
      <c r="P645" s="8" t="s">
        <v>18</v>
      </c>
      <c r="Q645" s="8" t="s">
        <v>18</v>
      </c>
      <c r="R645" s="8" t="s">
        <v>2115</v>
      </c>
      <c r="S645" s="8" t="s">
        <v>2236</v>
      </c>
      <c r="T645" s="8" t="s">
        <v>2237</v>
      </c>
      <c r="U645" s="8" t="s">
        <v>2238</v>
      </c>
      <c r="V645" s="8" t="s">
        <v>652</v>
      </c>
      <c r="W645" s="8">
        <f t="shared" si="19"/>
        <v>3</v>
      </c>
      <c r="X645" s="8">
        <f>K645*L645*N645</f>
        <v>177792</v>
      </c>
    </row>
    <row r="646" spans="1:24" s="8" customFormat="1" ht="41.5" customHeight="1">
      <c r="A646" s="8" t="s">
        <v>2281</v>
      </c>
      <c r="B646" s="8" t="s">
        <v>2556</v>
      </c>
      <c r="C646" s="9">
        <v>45898.778105520803</v>
      </c>
      <c r="D646" s="8" t="s">
        <v>2056</v>
      </c>
      <c r="E646" s="8" t="s">
        <v>2057</v>
      </c>
      <c r="F646" s="8">
        <v>6</v>
      </c>
      <c r="G646" s="22" t="s">
        <v>1816</v>
      </c>
      <c r="H646" s="8" t="s">
        <v>656</v>
      </c>
      <c r="I646" s="2" t="str">
        <f t="shared" si="20"/>
        <v>Dây điện 3x4 Cadisun</v>
      </c>
      <c r="J646" s="8" t="s">
        <v>71</v>
      </c>
      <c r="K646" s="10">
        <v>60</v>
      </c>
      <c r="L646" s="10">
        <v>37458</v>
      </c>
      <c r="M646" s="11">
        <v>2247480</v>
      </c>
      <c r="N646" s="8" t="s">
        <v>16</v>
      </c>
      <c r="O646" s="8" t="s">
        <v>17</v>
      </c>
      <c r="P646" s="8" t="s">
        <v>18</v>
      </c>
      <c r="Q646" s="8" t="s">
        <v>18</v>
      </c>
      <c r="R646" s="8" t="s">
        <v>2115</v>
      </c>
      <c r="S646" s="8" t="s">
        <v>2236</v>
      </c>
      <c r="T646" s="8" t="s">
        <v>2237</v>
      </c>
      <c r="U646" s="8" t="s">
        <v>2238</v>
      </c>
      <c r="V646" s="8" t="s">
        <v>652</v>
      </c>
      <c r="W646" s="8">
        <f t="shared" si="19"/>
        <v>3</v>
      </c>
      <c r="X646" s="8">
        <f>K646*L646*N646</f>
        <v>179798.39999999999</v>
      </c>
    </row>
    <row r="647" spans="1:24" s="8" customFormat="1" ht="41.5" customHeight="1">
      <c r="A647" s="8" t="s">
        <v>2281</v>
      </c>
      <c r="B647" s="8" t="s">
        <v>2556</v>
      </c>
      <c r="C647" s="9">
        <v>45898.778105520803</v>
      </c>
      <c r="D647" s="8" t="s">
        <v>2056</v>
      </c>
      <c r="E647" s="8" t="s">
        <v>2057</v>
      </c>
      <c r="F647" s="8">
        <v>7</v>
      </c>
      <c r="G647" s="2"/>
      <c r="H647" s="8" t="s">
        <v>409</v>
      </c>
      <c r="I647" s="2">
        <f t="shared" si="20"/>
        <v>0</v>
      </c>
      <c r="J647" s="8" t="s">
        <v>71</v>
      </c>
      <c r="K647" s="10">
        <v>200</v>
      </c>
      <c r="L647" s="10">
        <v>16444</v>
      </c>
      <c r="M647" s="11">
        <v>3288800</v>
      </c>
      <c r="N647" s="8" t="s">
        <v>16</v>
      </c>
      <c r="O647" s="8" t="s">
        <v>17</v>
      </c>
      <c r="P647" s="8" t="s">
        <v>18</v>
      </c>
      <c r="Q647" s="8" t="s">
        <v>18</v>
      </c>
      <c r="R647" s="8" t="s">
        <v>2115</v>
      </c>
      <c r="S647" s="8" t="s">
        <v>2236</v>
      </c>
      <c r="T647" s="8" t="s">
        <v>2237</v>
      </c>
      <c r="U647" s="8" t="s">
        <v>2238</v>
      </c>
      <c r="V647" s="8" t="s">
        <v>652</v>
      </c>
      <c r="W647" s="8">
        <f t="shared" si="19"/>
        <v>3</v>
      </c>
      <c r="X647" s="8">
        <f>K647*L647*N647</f>
        <v>263104</v>
      </c>
    </row>
    <row r="648" spans="1:24" s="8" customFormat="1" ht="41.5" customHeight="1">
      <c r="A648" s="8" t="s">
        <v>2281</v>
      </c>
      <c r="B648" s="8" t="s">
        <v>2556</v>
      </c>
      <c r="C648" s="9">
        <v>45898.778105520803</v>
      </c>
      <c r="D648" s="8" t="s">
        <v>2056</v>
      </c>
      <c r="E648" s="8" t="s">
        <v>2057</v>
      </c>
      <c r="F648" s="8">
        <v>8</v>
      </c>
      <c r="G648" s="22" t="s">
        <v>657</v>
      </c>
      <c r="H648" s="8" t="s">
        <v>657</v>
      </c>
      <c r="I648" s="2" t="str">
        <f t="shared" si="20"/>
        <v>Quạt HS 28"ĐN 3Đ</v>
      </c>
      <c r="J648" s="8" t="s">
        <v>15</v>
      </c>
      <c r="K648" s="10">
        <v>2</v>
      </c>
      <c r="L648" s="10">
        <v>1175929.5</v>
      </c>
      <c r="M648" s="11">
        <v>2351859</v>
      </c>
      <c r="N648" s="8" t="s">
        <v>16</v>
      </c>
      <c r="O648" s="8" t="s">
        <v>17</v>
      </c>
      <c r="P648" s="8" t="s">
        <v>18</v>
      </c>
      <c r="Q648" s="8" t="s">
        <v>18</v>
      </c>
      <c r="R648" s="8" t="s">
        <v>2115</v>
      </c>
      <c r="S648" s="8" t="s">
        <v>2236</v>
      </c>
      <c r="T648" s="8" t="s">
        <v>2237</v>
      </c>
      <c r="U648" s="8" t="s">
        <v>2238</v>
      </c>
      <c r="V648" s="8" t="s">
        <v>652</v>
      </c>
      <c r="W648" s="8">
        <f t="shared" si="19"/>
        <v>3</v>
      </c>
      <c r="X648" s="8">
        <f>K648*L648*N648</f>
        <v>188148.72</v>
      </c>
    </row>
    <row r="649" spans="1:24" s="8" customFormat="1" ht="41.5" customHeight="1">
      <c r="A649" s="8" t="s">
        <v>2281</v>
      </c>
      <c r="B649" s="8" t="s">
        <v>2556</v>
      </c>
      <c r="C649" s="9">
        <v>45898.778105520803</v>
      </c>
      <c r="D649" s="8" t="s">
        <v>2056</v>
      </c>
      <c r="E649" s="8" t="s">
        <v>2057</v>
      </c>
      <c r="F649" s="8">
        <v>9</v>
      </c>
      <c r="G649" s="22" t="s">
        <v>1482</v>
      </c>
      <c r="H649" s="8" t="s">
        <v>410</v>
      </c>
      <c r="I649" s="2" t="str">
        <f t="shared" si="20"/>
        <v>RCCB SL68N/2P32A-0.03A-SL680N/2032/030</v>
      </c>
      <c r="J649" s="8" t="s">
        <v>15</v>
      </c>
      <c r="K649" s="10">
        <v>3</v>
      </c>
      <c r="L649" s="10">
        <v>373139</v>
      </c>
      <c r="M649" s="11">
        <v>1119417</v>
      </c>
      <c r="N649" s="8" t="s">
        <v>16</v>
      </c>
      <c r="O649" s="8" t="s">
        <v>17</v>
      </c>
      <c r="P649" s="8" t="s">
        <v>18</v>
      </c>
      <c r="Q649" s="8" t="s">
        <v>18</v>
      </c>
      <c r="R649" s="8" t="s">
        <v>2115</v>
      </c>
      <c r="S649" s="8" t="s">
        <v>2236</v>
      </c>
      <c r="T649" s="8" t="s">
        <v>2237</v>
      </c>
      <c r="U649" s="8" t="s">
        <v>2238</v>
      </c>
      <c r="V649" s="8" t="s">
        <v>652</v>
      </c>
      <c r="W649" s="8">
        <f t="shared" si="19"/>
        <v>3</v>
      </c>
      <c r="X649" s="8">
        <f>K649*L649*N649</f>
        <v>89553.36</v>
      </c>
    </row>
    <row r="650" spans="1:24" s="8" customFormat="1" ht="41.5" customHeight="1">
      <c r="A650" s="8" t="s">
        <v>2281</v>
      </c>
      <c r="B650" s="8" t="s">
        <v>2556</v>
      </c>
      <c r="C650" s="9">
        <v>45898.778105520803</v>
      </c>
      <c r="D650" s="8" t="s">
        <v>2056</v>
      </c>
      <c r="E650" s="8" t="s">
        <v>2057</v>
      </c>
      <c r="F650" s="8">
        <v>10</v>
      </c>
      <c r="G650" s="22" t="s">
        <v>658</v>
      </c>
      <c r="H650" s="8" t="s">
        <v>658</v>
      </c>
      <c r="I650" s="2" t="str">
        <f t="shared" si="20"/>
        <v>Dây điện Cu/PVC/PVC 4x6</v>
      </c>
      <c r="J650" s="8" t="s">
        <v>71</v>
      </c>
      <c r="K650" s="10">
        <v>20</v>
      </c>
      <c r="L650" s="10">
        <v>74428</v>
      </c>
      <c r="M650" s="11">
        <v>1488560</v>
      </c>
      <c r="N650" s="8" t="s">
        <v>16</v>
      </c>
      <c r="O650" s="8" t="s">
        <v>17</v>
      </c>
      <c r="P650" s="8" t="s">
        <v>18</v>
      </c>
      <c r="Q650" s="8" t="s">
        <v>18</v>
      </c>
      <c r="R650" s="8" t="s">
        <v>2115</v>
      </c>
      <c r="S650" s="8" t="s">
        <v>2236</v>
      </c>
      <c r="T650" s="8" t="s">
        <v>2237</v>
      </c>
      <c r="U650" s="8" t="s">
        <v>2238</v>
      </c>
      <c r="V650" s="8" t="s">
        <v>652</v>
      </c>
      <c r="W650" s="8">
        <f t="shared" si="19"/>
        <v>3</v>
      </c>
      <c r="X650" s="8">
        <f>K650*L650*N650</f>
        <v>119084.8</v>
      </c>
    </row>
    <row r="651" spans="1:24" s="8" customFormat="1" ht="41.5" customHeight="1">
      <c r="A651" s="8" t="s">
        <v>2281</v>
      </c>
      <c r="B651" s="8" t="s">
        <v>2556</v>
      </c>
      <c r="C651" s="9">
        <v>45898.778105520803</v>
      </c>
      <c r="D651" s="8" t="s">
        <v>2056</v>
      </c>
      <c r="E651" s="8" t="s">
        <v>2057</v>
      </c>
      <c r="F651" s="8">
        <v>11</v>
      </c>
      <c r="G651" s="22" t="s">
        <v>659</v>
      </c>
      <c r="H651" s="8" t="s">
        <v>659</v>
      </c>
      <c r="I651" s="2" t="str">
        <f t="shared" si="20"/>
        <v>Cáp nhôm vặn xoắn ABC 4x35</v>
      </c>
      <c r="J651" s="8" t="s">
        <v>71</v>
      </c>
      <c r="K651" s="10">
        <v>220</v>
      </c>
      <c r="L651" s="10">
        <v>35185</v>
      </c>
      <c r="M651" s="11">
        <v>7740700</v>
      </c>
      <c r="N651" s="8" t="s">
        <v>16</v>
      </c>
      <c r="O651" s="8" t="s">
        <v>17</v>
      </c>
      <c r="P651" s="8" t="s">
        <v>18</v>
      </c>
      <c r="Q651" s="8" t="s">
        <v>18</v>
      </c>
      <c r="R651" s="8" t="s">
        <v>2115</v>
      </c>
      <c r="S651" s="8" t="s">
        <v>2236</v>
      </c>
      <c r="T651" s="8" t="s">
        <v>2237</v>
      </c>
      <c r="U651" s="8" t="s">
        <v>2238</v>
      </c>
      <c r="V651" s="8" t="s">
        <v>652</v>
      </c>
      <c r="W651" s="8">
        <f t="shared" si="19"/>
        <v>3</v>
      </c>
      <c r="X651" s="8">
        <f>K651*L651*N651</f>
        <v>619256</v>
      </c>
    </row>
    <row r="652" spans="1:24" s="8" customFormat="1" ht="41.5" customHeight="1">
      <c r="A652" s="8" t="s">
        <v>2281</v>
      </c>
      <c r="B652" s="8" t="s">
        <v>2556</v>
      </c>
      <c r="C652" s="9">
        <v>45898.778105520803</v>
      </c>
      <c r="D652" s="8" t="s">
        <v>2056</v>
      </c>
      <c r="E652" s="8" t="s">
        <v>2057</v>
      </c>
      <c r="F652" s="8">
        <v>12</v>
      </c>
      <c r="G652" s="22" t="s">
        <v>411</v>
      </c>
      <c r="H652" s="8" t="s">
        <v>411</v>
      </c>
      <c r="I652" s="2" t="str">
        <f t="shared" si="20"/>
        <v>Ổ cắm chịu tải 4</v>
      </c>
      <c r="J652" s="8" t="s">
        <v>15</v>
      </c>
      <c r="K652" s="10">
        <v>9</v>
      </c>
      <c r="L652" s="10">
        <v>21792</v>
      </c>
      <c r="M652" s="11">
        <v>196128</v>
      </c>
      <c r="N652" s="8" t="s">
        <v>16</v>
      </c>
      <c r="O652" s="8" t="s">
        <v>17</v>
      </c>
      <c r="P652" s="8" t="s">
        <v>18</v>
      </c>
      <c r="Q652" s="8" t="s">
        <v>18</v>
      </c>
      <c r="R652" s="8" t="s">
        <v>2115</v>
      </c>
      <c r="S652" s="8" t="s">
        <v>2236</v>
      </c>
      <c r="T652" s="8" t="s">
        <v>2237</v>
      </c>
      <c r="U652" s="8" t="s">
        <v>2238</v>
      </c>
      <c r="V652" s="8" t="s">
        <v>652</v>
      </c>
      <c r="W652" s="8">
        <f t="shared" si="19"/>
        <v>3</v>
      </c>
      <c r="X652" s="8">
        <f>K652*L652*N652</f>
        <v>15690.24</v>
      </c>
    </row>
    <row r="653" spans="1:24" s="8" customFormat="1" ht="41.5" customHeight="1">
      <c r="A653" s="8" t="s">
        <v>2557</v>
      </c>
      <c r="B653" s="8" t="s">
        <v>2558</v>
      </c>
      <c r="C653" s="9">
        <v>45887.662773738397</v>
      </c>
      <c r="D653" s="8" t="s">
        <v>2056</v>
      </c>
      <c r="E653" s="8" t="s">
        <v>2057</v>
      </c>
      <c r="F653" s="8">
        <v>1</v>
      </c>
      <c r="G653" s="22" t="s">
        <v>2264</v>
      </c>
      <c r="H653" s="8" t="s">
        <v>660</v>
      </c>
      <c r="I653" s="2" t="str">
        <f t="shared" si="20"/>
        <v>Bệt V45M</v>
      </c>
      <c r="J653" s="8" t="s">
        <v>53</v>
      </c>
      <c r="K653" s="10">
        <v>2</v>
      </c>
      <c r="L653" s="10">
        <v>2750000</v>
      </c>
      <c r="M653" s="11">
        <v>5500000</v>
      </c>
      <c r="N653" s="8" t="s">
        <v>16</v>
      </c>
      <c r="O653" s="8" t="s">
        <v>17</v>
      </c>
      <c r="P653" s="8" t="s">
        <v>18</v>
      </c>
      <c r="Q653" s="8" t="s">
        <v>18</v>
      </c>
      <c r="R653" s="8" t="s">
        <v>2115</v>
      </c>
      <c r="S653" s="8" t="s">
        <v>2559</v>
      </c>
      <c r="T653" s="8" t="s">
        <v>2560</v>
      </c>
      <c r="U653" s="8" t="s">
        <v>2561</v>
      </c>
      <c r="V653" s="8" t="s">
        <v>661</v>
      </c>
      <c r="W653" s="8">
        <f t="shared" si="19"/>
        <v>3</v>
      </c>
      <c r="X653" s="8">
        <f>K653*L653*N653</f>
        <v>440000</v>
      </c>
    </row>
    <row r="654" spans="1:24" s="8" customFormat="1" ht="41.5" customHeight="1">
      <c r="A654" s="8" t="s">
        <v>2557</v>
      </c>
      <c r="B654" s="8" t="s">
        <v>2558</v>
      </c>
      <c r="C654" s="9">
        <v>45887.662773738397</v>
      </c>
      <c r="D654" s="8" t="s">
        <v>2056</v>
      </c>
      <c r="E654" s="8" t="s">
        <v>2057</v>
      </c>
      <c r="F654" s="8">
        <v>2</v>
      </c>
      <c r="G654" s="22" t="s">
        <v>2265</v>
      </c>
      <c r="H654" s="8" t="s">
        <v>662</v>
      </c>
      <c r="I654" s="2" t="str">
        <f t="shared" si="20"/>
        <v>Sen tắm VG</v>
      </c>
      <c r="J654" s="8" t="s">
        <v>53</v>
      </c>
      <c r="K654" s="10">
        <v>2</v>
      </c>
      <c r="L654" s="10">
        <v>1150000</v>
      </c>
      <c r="M654" s="11">
        <v>2300000</v>
      </c>
      <c r="N654" s="8" t="s">
        <v>16</v>
      </c>
      <c r="O654" s="8" t="s">
        <v>17</v>
      </c>
      <c r="P654" s="8" t="s">
        <v>18</v>
      </c>
      <c r="Q654" s="8" t="s">
        <v>18</v>
      </c>
      <c r="R654" s="8" t="s">
        <v>2115</v>
      </c>
      <c r="S654" s="8" t="s">
        <v>2559</v>
      </c>
      <c r="T654" s="8" t="s">
        <v>2560</v>
      </c>
      <c r="U654" s="8" t="s">
        <v>2561</v>
      </c>
      <c r="V654" s="8" t="s">
        <v>661</v>
      </c>
      <c r="W654" s="8">
        <f t="shared" si="19"/>
        <v>3</v>
      </c>
      <c r="X654" s="8">
        <f>K654*L654*N654</f>
        <v>184000</v>
      </c>
    </row>
    <row r="655" spans="1:24" s="8" customFormat="1" ht="41.5" customHeight="1">
      <c r="A655" s="8" t="s">
        <v>2557</v>
      </c>
      <c r="B655" s="8" t="s">
        <v>2558</v>
      </c>
      <c r="C655" s="9">
        <v>45887.662773738397</v>
      </c>
      <c r="D655" s="8" t="s">
        <v>2056</v>
      </c>
      <c r="E655" s="8" t="s">
        <v>2057</v>
      </c>
      <c r="F655" s="8">
        <v>3</v>
      </c>
      <c r="G655" s="22" t="s">
        <v>663</v>
      </c>
      <c r="H655" s="8" t="s">
        <v>663</v>
      </c>
      <c r="I655" s="2" t="str">
        <f t="shared" si="20"/>
        <v>Vòi chậu VG168 (CĐ)</v>
      </c>
      <c r="J655" s="8" t="s">
        <v>53</v>
      </c>
      <c r="K655" s="10">
        <v>3</v>
      </c>
      <c r="L655" s="10">
        <v>800000</v>
      </c>
      <c r="M655" s="11">
        <v>2400000</v>
      </c>
      <c r="N655" s="8" t="s">
        <v>16</v>
      </c>
      <c r="O655" s="8" t="s">
        <v>17</v>
      </c>
      <c r="P655" s="8" t="s">
        <v>18</v>
      </c>
      <c r="Q655" s="8" t="s">
        <v>18</v>
      </c>
      <c r="R655" s="8" t="s">
        <v>2115</v>
      </c>
      <c r="S655" s="8" t="s">
        <v>2559</v>
      </c>
      <c r="T655" s="8" t="s">
        <v>2560</v>
      </c>
      <c r="U655" s="8" t="s">
        <v>2561</v>
      </c>
      <c r="V655" s="8" t="s">
        <v>661</v>
      </c>
      <c r="W655" s="8">
        <f t="shared" si="19"/>
        <v>3</v>
      </c>
      <c r="X655" s="8">
        <f>K655*L655*N655</f>
        <v>192000</v>
      </c>
    </row>
    <row r="656" spans="1:24" s="8" customFormat="1" ht="41.5" customHeight="1">
      <c r="A656" s="8" t="s">
        <v>2557</v>
      </c>
      <c r="B656" s="8" t="s">
        <v>2558</v>
      </c>
      <c r="C656" s="9">
        <v>45887.662773738397</v>
      </c>
      <c r="D656" s="8" t="s">
        <v>2056</v>
      </c>
      <c r="E656" s="8" t="s">
        <v>2057</v>
      </c>
      <c r="F656" s="8">
        <v>4</v>
      </c>
      <c r="G656" s="22" t="s">
        <v>664</v>
      </c>
      <c r="H656" s="8" t="s">
        <v>664</v>
      </c>
      <c r="I656" s="2" t="str">
        <f t="shared" si="20"/>
        <v>Chậu V62SC - VI14 - 9GP01</v>
      </c>
      <c r="J656" s="8" t="s">
        <v>53</v>
      </c>
      <c r="K656" s="10">
        <v>3</v>
      </c>
      <c r="L656" s="10">
        <v>1550000</v>
      </c>
      <c r="M656" s="11">
        <v>4650000</v>
      </c>
      <c r="N656" s="8" t="s">
        <v>16</v>
      </c>
      <c r="O656" s="8" t="s">
        <v>17</v>
      </c>
      <c r="P656" s="8" t="s">
        <v>18</v>
      </c>
      <c r="Q656" s="8" t="s">
        <v>18</v>
      </c>
      <c r="R656" s="8" t="s">
        <v>2115</v>
      </c>
      <c r="S656" s="8" t="s">
        <v>2559</v>
      </c>
      <c r="T656" s="8" t="s">
        <v>2560</v>
      </c>
      <c r="U656" s="8" t="s">
        <v>2561</v>
      </c>
      <c r="V656" s="8" t="s">
        <v>661</v>
      </c>
      <c r="W656" s="8">
        <f t="shared" si="19"/>
        <v>3</v>
      </c>
      <c r="X656" s="8">
        <f>K656*L656*N656</f>
        <v>372000</v>
      </c>
    </row>
    <row r="657" spans="1:24" s="8" customFormat="1" ht="41.5" customHeight="1">
      <c r="A657" s="8" t="s">
        <v>2557</v>
      </c>
      <c r="B657" s="8" t="s">
        <v>2558</v>
      </c>
      <c r="C657" s="9">
        <v>45887.662773738397</v>
      </c>
      <c r="D657" s="8" t="s">
        <v>2056</v>
      </c>
      <c r="E657" s="8" t="s">
        <v>2057</v>
      </c>
      <c r="F657" s="8">
        <v>5</v>
      </c>
      <c r="G657" s="22" t="s">
        <v>665</v>
      </c>
      <c r="H657" s="8" t="s">
        <v>665</v>
      </c>
      <c r="I657" s="2" t="str">
        <f t="shared" si="20"/>
        <v>Gương vuông 50*70 VG833</v>
      </c>
      <c r="J657" s="8" t="s">
        <v>15</v>
      </c>
      <c r="K657" s="10">
        <v>3</v>
      </c>
      <c r="L657" s="10">
        <v>330000</v>
      </c>
      <c r="M657" s="11">
        <v>990000</v>
      </c>
      <c r="N657" s="8" t="s">
        <v>16</v>
      </c>
      <c r="O657" s="8" t="s">
        <v>17</v>
      </c>
      <c r="P657" s="8" t="s">
        <v>18</v>
      </c>
      <c r="Q657" s="8" t="s">
        <v>18</v>
      </c>
      <c r="R657" s="8" t="s">
        <v>2115</v>
      </c>
      <c r="S657" s="8" t="s">
        <v>2559</v>
      </c>
      <c r="T657" s="8" t="s">
        <v>2560</v>
      </c>
      <c r="U657" s="8" t="s">
        <v>2561</v>
      </c>
      <c r="V657" s="8" t="s">
        <v>661</v>
      </c>
      <c r="W657" s="8">
        <f t="shared" si="19"/>
        <v>3</v>
      </c>
      <c r="X657" s="8">
        <f>K657*L657*N657</f>
        <v>79200</v>
      </c>
    </row>
    <row r="658" spans="1:24" s="8" customFormat="1" ht="41.5" customHeight="1">
      <c r="A658" s="8" t="s">
        <v>2302</v>
      </c>
      <c r="B658" s="8" t="s">
        <v>2562</v>
      </c>
      <c r="C658" s="9">
        <v>45899.665422627302</v>
      </c>
      <c r="D658" s="8" t="s">
        <v>2056</v>
      </c>
      <c r="E658" s="8" t="s">
        <v>2057</v>
      </c>
      <c r="F658" s="8">
        <v>1</v>
      </c>
      <c r="G658" s="22" t="s">
        <v>1346</v>
      </c>
      <c r="H658" s="8" t="s">
        <v>70</v>
      </c>
      <c r="I658" s="2" t="str">
        <f t="shared" si="20"/>
        <v>Tôn xốp</v>
      </c>
      <c r="J658" s="8" t="s">
        <v>71</v>
      </c>
      <c r="K658" s="10">
        <v>278</v>
      </c>
      <c r="L658" s="10">
        <v>143000</v>
      </c>
      <c r="M658" s="11">
        <v>39754000</v>
      </c>
      <c r="N658" s="8" t="s">
        <v>30</v>
      </c>
      <c r="O658" s="8" t="s">
        <v>17</v>
      </c>
      <c r="P658" s="8" t="s">
        <v>18</v>
      </c>
      <c r="Q658" s="8" t="s">
        <v>18</v>
      </c>
      <c r="R658" s="8" t="s">
        <v>2115</v>
      </c>
      <c r="S658" s="8" t="s">
        <v>2137</v>
      </c>
      <c r="T658" s="8" t="s">
        <v>2138</v>
      </c>
      <c r="U658" s="8" t="s">
        <v>2139</v>
      </c>
      <c r="V658" s="8" t="s">
        <v>636</v>
      </c>
      <c r="W658" s="8">
        <f t="shared" si="19"/>
        <v>3</v>
      </c>
      <c r="X658" s="8">
        <f>K658*L658*N658</f>
        <v>3975400</v>
      </c>
    </row>
    <row r="659" spans="1:24" s="8" customFormat="1" ht="41.5" customHeight="1">
      <c r="A659" s="8" t="s">
        <v>2302</v>
      </c>
      <c r="B659" s="8" t="s">
        <v>2563</v>
      </c>
      <c r="C659" s="9">
        <v>45890.715571203698</v>
      </c>
      <c r="D659" s="8" t="s">
        <v>2056</v>
      </c>
      <c r="E659" s="8" t="s">
        <v>2057</v>
      </c>
      <c r="F659" s="8">
        <v>1</v>
      </c>
      <c r="G659" s="27" t="s">
        <v>2140</v>
      </c>
      <c r="H659" s="8" t="s">
        <v>666</v>
      </c>
      <c r="I659" s="2" t="str">
        <f t="shared" si="20"/>
        <v>Thép ống hộp</v>
      </c>
      <c r="J659" s="8" t="s">
        <v>62</v>
      </c>
      <c r="K659" s="10">
        <v>194.22</v>
      </c>
      <c r="L659" s="10">
        <v>17363.64</v>
      </c>
      <c r="M659" s="11">
        <v>3372366</v>
      </c>
      <c r="N659" s="8" t="s">
        <v>30</v>
      </c>
      <c r="O659" s="8" t="s">
        <v>17</v>
      </c>
      <c r="P659" s="8" t="s">
        <v>18</v>
      </c>
      <c r="Q659" s="8" t="s">
        <v>18</v>
      </c>
      <c r="R659" s="8" t="s">
        <v>2115</v>
      </c>
      <c r="S659" s="8" t="s">
        <v>2137</v>
      </c>
      <c r="T659" s="8" t="s">
        <v>2138</v>
      </c>
      <c r="U659" s="8" t="s">
        <v>2139</v>
      </c>
      <c r="V659" s="8" t="s">
        <v>635</v>
      </c>
      <c r="W659" s="8">
        <f t="shared" si="19"/>
        <v>3</v>
      </c>
      <c r="X659" s="8">
        <f>K659*L659*N659</f>
        <v>337236.61608000001</v>
      </c>
    </row>
    <row r="660" spans="1:24" s="8" customFormat="1" ht="41.5" customHeight="1">
      <c r="A660" s="8" t="s">
        <v>2302</v>
      </c>
      <c r="B660" s="8" t="s">
        <v>2563</v>
      </c>
      <c r="C660" s="9">
        <v>45890.715571203698</v>
      </c>
      <c r="D660" s="8" t="s">
        <v>2056</v>
      </c>
      <c r="E660" s="8" t="s">
        <v>2057</v>
      </c>
      <c r="F660" s="8">
        <v>2</v>
      </c>
      <c r="G660" s="27" t="s">
        <v>2140</v>
      </c>
      <c r="H660" s="8" t="s">
        <v>667</v>
      </c>
      <c r="I660" s="2" t="str">
        <f t="shared" si="20"/>
        <v>Thép ống hộp</v>
      </c>
      <c r="J660" s="8" t="s">
        <v>62</v>
      </c>
      <c r="K660" s="10">
        <v>369</v>
      </c>
      <c r="L660" s="10">
        <v>17363.64</v>
      </c>
      <c r="M660" s="11">
        <v>6407183</v>
      </c>
      <c r="N660" s="8" t="s">
        <v>30</v>
      </c>
      <c r="O660" s="8" t="s">
        <v>17</v>
      </c>
      <c r="P660" s="8" t="s">
        <v>18</v>
      </c>
      <c r="Q660" s="8" t="s">
        <v>18</v>
      </c>
      <c r="R660" s="8" t="s">
        <v>2115</v>
      </c>
      <c r="S660" s="8" t="s">
        <v>2137</v>
      </c>
      <c r="T660" s="8" t="s">
        <v>2138</v>
      </c>
      <c r="U660" s="8" t="s">
        <v>2139</v>
      </c>
      <c r="V660" s="8" t="s">
        <v>635</v>
      </c>
      <c r="W660" s="8">
        <f t="shared" si="19"/>
        <v>3</v>
      </c>
      <c r="X660" s="8">
        <f>K660*L660*N660</f>
        <v>640718.31600000011</v>
      </c>
    </row>
    <row r="661" spans="1:24" s="8" customFormat="1" ht="41.5" customHeight="1">
      <c r="A661" s="8" t="s">
        <v>2302</v>
      </c>
      <c r="B661" s="8" t="s">
        <v>2563</v>
      </c>
      <c r="C661" s="9">
        <v>45890.715571203698</v>
      </c>
      <c r="D661" s="8" t="s">
        <v>2056</v>
      </c>
      <c r="E661" s="8" t="s">
        <v>2057</v>
      </c>
      <c r="F661" s="8">
        <v>3</v>
      </c>
      <c r="G661" s="27" t="s">
        <v>2140</v>
      </c>
      <c r="H661" s="8" t="s">
        <v>668</v>
      </c>
      <c r="I661" s="2" t="str">
        <f t="shared" si="20"/>
        <v>Thép ống hộp</v>
      </c>
      <c r="J661" s="8" t="s">
        <v>62</v>
      </c>
      <c r="K661" s="10">
        <v>228.9</v>
      </c>
      <c r="L661" s="10">
        <v>17363.64</v>
      </c>
      <c r="M661" s="11">
        <v>3974537</v>
      </c>
      <c r="N661" s="8" t="s">
        <v>30</v>
      </c>
      <c r="O661" s="8" t="s">
        <v>17</v>
      </c>
      <c r="P661" s="8" t="s">
        <v>18</v>
      </c>
      <c r="Q661" s="8" t="s">
        <v>18</v>
      </c>
      <c r="R661" s="8" t="s">
        <v>2115</v>
      </c>
      <c r="S661" s="8" t="s">
        <v>2137</v>
      </c>
      <c r="T661" s="8" t="s">
        <v>2138</v>
      </c>
      <c r="U661" s="8" t="s">
        <v>2139</v>
      </c>
      <c r="V661" s="8" t="s">
        <v>635</v>
      </c>
      <c r="W661" s="8">
        <f t="shared" si="19"/>
        <v>3</v>
      </c>
      <c r="X661" s="8">
        <f>K661*L661*N661</f>
        <v>397453.71960000001</v>
      </c>
    </row>
    <row r="662" spans="1:24" s="8" customFormat="1" ht="41.5" customHeight="1">
      <c r="A662" s="8" t="s">
        <v>2302</v>
      </c>
      <c r="B662" s="8" t="s">
        <v>2563</v>
      </c>
      <c r="C662" s="9">
        <v>45890.715571203698</v>
      </c>
      <c r="D662" s="8" t="s">
        <v>2056</v>
      </c>
      <c r="E662" s="8" t="s">
        <v>2057</v>
      </c>
      <c r="F662" s="8">
        <v>4</v>
      </c>
      <c r="G662" s="27" t="s">
        <v>2140</v>
      </c>
      <c r="H662" s="8" t="s">
        <v>110</v>
      </c>
      <c r="I662" s="2" t="str">
        <f t="shared" si="20"/>
        <v>Thép ống hộp</v>
      </c>
      <c r="J662" s="8" t="s">
        <v>62</v>
      </c>
      <c r="K662" s="10">
        <v>6216.89</v>
      </c>
      <c r="L662" s="10">
        <v>17363.64</v>
      </c>
      <c r="M662" s="11">
        <v>107947840</v>
      </c>
      <c r="N662" s="8" t="s">
        <v>30</v>
      </c>
      <c r="O662" s="8" t="s">
        <v>17</v>
      </c>
      <c r="P662" s="8" t="s">
        <v>18</v>
      </c>
      <c r="Q662" s="8" t="s">
        <v>18</v>
      </c>
      <c r="R662" s="8" t="s">
        <v>2115</v>
      </c>
      <c r="S662" s="8" t="s">
        <v>2137</v>
      </c>
      <c r="T662" s="8" t="s">
        <v>2138</v>
      </c>
      <c r="U662" s="8" t="s">
        <v>2139</v>
      </c>
      <c r="V662" s="8" t="s">
        <v>635</v>
      </c>
      <c r="W662" s="8">
        <f t="shared" si="19"/>
        <v>3</v>
      </c>
      <c r="X662" s="8">
        <f>K662*L662*N662</f>
        <v>10794783.987960001</v>
      </c>
    </row>
    <row r="663" spans="1:24" s="8" customFormat="1" ht="41.5" customHeight="1">
      <c r="A663" s="8" t="s">
        <v>2302</v>
      </c>
      <c r="B663" s="8" t="s">
        <v>2563</v>
      </c>
      <c r="C663" s="9">
        <v>45890.715571203698</v>
      </c>
      <c r="D663" s="8" t="s">
        <v>2056</v>
      </c>
      <c r="E663" s="8" t="s">
        <v>2057</v>
      </c>
      <c r="F663" s="8">
        <v>5</v>
      </c>
      <c r="G663" s="27" t="s">
        <v>2140</v>
      </c>
      <c r="H663" s="8" t="s">
        <v>278</v>
      </c>
      <c r="I663" s="2" t="str">
        <f t="shared" si="20"/>
        <v>Thép ống hộp</v>
      </c>
      <c r="J663" s="8" t="s">
        <v>62</v>
      </c>
      <c r="K663" s="10">
        <v>123</v>
      </c>
      <c r="L663" s="10">
        <v>17363.64</v>
      </c>
      <c r="M663" s="11">
        <v>2135728</v>
      </c>
      <c r="N663" s="8" t="s">
        <v>30</v>
      </c>
      <c r="O663" s="8" t="s">
        <v>17</v>
      </c>
      <c r="P663" s="8" t="s">
        <v>18</v>
      </c>
      <c r="Q663" s="8" t="s">
        <v>18</v>
      </c>
      <c r="R663" s="8" t="s">
        <v>2115</v>
      </c>
      <c r="S663" s="8" t="s">
        <v>2137</v>
      </c>
      <c r="T663" s="8" t="s">
        <v>2138</v>
      </c>
      <c r="U663" s="8" t="s">
        <v>2139</v>
      </c>
      <c r="V663" s="8" t="s">
        <v>635</v>
      </c>
      <c r="W663" s="8">
        <f t="shared" si="19"/>
        <v>3</v>
      </c>
      <c r="X663" s="8">
        <f>K663*L663*N663</f>
        <v>213572.772</v>
      </c>
    </row>
    <row r="664" spans="1:24" s="8" customFormat="1" ht="41.5" customHeight="1">
      <c r="A664" s="8" t="s">
        <v>2302</v>
      </c>
      <c r="B664" s="8" t="s">
        <v>2563</v>
      </c>
      <c r="C664" s="9">
        <v>45890.715571203698</v>
      </c>
      <c r="D664" s="8" t="s">
        <v>2056</v>
      </c>
      <c r="E664" s="8" t="s">
        <v>2057</v>
      </c>
      <c r="F664" s="8">
        <v>6</v>
      </c>
      <c r="G664" s="27" t="s">
        <v>2140</v>
      </c>
      <c r="H664" s="8" t="s">
        <v>65</v>
      </c>
      <c r="I664" s="2" t="str">
        <f t="shared" si="20"/>
        <v>Thép ống hộp</v>
      </c>
      <c r="J664" s="8" t="s">
        <v>62</v>
      </c>
      <c r="K664" s="10">
        <v>224.1</v>
      </c>
      <c r="L664" s="10">
        <v>17363.64</v>
      </c>
      <c r="M664" s="11">
        <v>3891192</v>
      </c>
      <c r="N664" s="8" t="s">
        <v>30</v>
      </c>
      <c r="O664" s="8" t="s">
        <v>17</v>
      </c>
      <c r="P664" s="8" t="s">
        <v>18</v>
      </c>
      <c r="Q664" s="8" t="s">
        <v>18</v>
      </c>
      <c r="R664" s="8" t="s">
        <v>2115</v>
      </c>
      <c r="S664" s="8" t="s">
        <v>2137</v>
      </c>
      <c r="T664" s="8" t="s">
        <v>2138</v>
      </c>
      <c r="U664" s="8" t="s">
        <v>2139</v>
      </c>
      <c r="V664" s="8" t="s">
        <v>635</v>
      </c>
      <c r="W664" s="8">
        <f t="shared" si="19"/>
        <v>3</v>
      </c>
      <c r="X664" s="8">
        <f>K664*L664*N664</f>
        <v>389119.17240000004</v>
      </c>
    </row>
    <row r="665" spans="1:24" s="8" customFormat="1" ht="41.5" customHeight="1">
      <c r="A665" s="8" t="s">
        <v>2302</v>
      </c>
      <c r="B665" s="8" t="s">
        <v>2563</v>
      </c>
      <c r="C665" s="9">
        <v>45890.715571203698</v>
      </c>
      <c r="D665" s="8" t="s">
        <v>2056</v>
      </c>
      <c r="E665" s="8" t="s">
        <v>2057</v>
      </c>
      <c r="F665" s="8">
        <v>7</v>
      </c>
      <c r="G665" s="27" t="s">
        <v>2140</v>
      </c>
      <c r="H665" s="8" t="s">
        <v>423</v>
      </c>
      <c r="I665" s="2" t="str">
        <f t="shared" si="20"/>
        <v>Thép ống hộp</v>
      </c>
      <c r="J665" s="8" t="s">
        <v>62</v>
      </c>
      <c r="K665" s="10">
        <v>181</v>
      </c>
      <c r="L665" s="10">
        <v>17363.64</v>
      </c>
      <c r="M665" s="11">
        <v>3142819</v>
      </c>
      <c r="N665" s="8" t="s">
        <v>30</v>
      </c>
      <c r="O665" s="8" t="s">
        <v>17</v>
      </c>
      <c r="P665" s="8" t="s">
        <v>18</v>
      </c>
      <c r="Q665" s="8" t="s">
        <v>18</v>
      </c>
      <c r="R665" s="8" t="s">
        <v>2115</v>
      </c>
      <c r="S665" s="8" t="s">
        <v>2137</v>
      </c>
      <c r="T665" s="8" t="s">
        <v>2138</v>
      </c>
      <c r="U665" s="8" t="s">
        <v>2139</v>
      </c>
      <c r="V665" s="8" t="s">
        <v>635</v>
      </c>
      <c r="W665" s="8">
        <f t="shared" si="19"/>
        <v>3</v>
      </c>
      <c r="X665" s="8">
        <f>K665*L665*N665</f>
        <v>314281.88400000002</v>
      </c>
    </row>
    <row r="666" spans="1:24" s="8" customFormat="1" ht="41.5" customHeight="1">
      <c r="A666" s="8" t="s">
        <v>2302</v>
      </c>
      <c r="B666" s="8" t="s">
        <v>2563</v>
      </c>
      <c r="C666" s="9">
        <v>45890.715571203698</v>
      </c>
      <c r="D666" s="8" t="s">
        <v>2056</v>
      </c>
      <c r="E666" s="8" t="s">
        <v>2057</v>
      </c>
      <c r="F666" s="8">
        <v>8</v>
      </c>
      <c r="G666" s="27" t="s">
        <v>2140</v>
      </c>
      <c r="H666" s="8" t="s">
        <v>64</v>
      </c>
      <c r="I666" s="2" t="str">
        <f t="shared" si="20"/>
        <v>Thép ống hộp</v>
      </c>
      <c r="J666" s="8" t="s">
        <v>62</v>
      </c>
      <c r="K666" s="10">
        <v>193.4</v>
      </c>
      <c r="L666" s="10">
        <v>17363.64</v>
      </c>
      <c r="M666" s="11">
        <v>3358128</v>
      </c>
      <c r="N666" s="8" t="s">
        <v>30</v>
      </c>
      <c r="O666" s="8" t="s">
        <v>17</v>
      </c>
      <c r="P666" s="8" t="s">
        <v>18</v>
      </c>
      <c r="Q666" s="8" t="s">
        <v>18</v>
      </c>
      <c r="R666" s="8" t="s">
        <v>2115</v>
      </c>
      <c r="S666" s="8" t="s">
        <v>2137</v>
      </c>
      <c r="T666" s="8" t="s">
        <v>2138</v>
      </c>
      <c r="U666" s="8" t="s">
        <v>2139</v>
      </c>
      <c r="V666" s="8" t="s">
        <v>635</v>
      </c>
      <c r="W666" s="8">
        <f t="shared" si="19"/>
        <v>3</v>
      </c>
      <c r="X666" s="8">
        <f>K666*L666*N666</f>
        <v>335812.79759999999</v>
      </c>
    </row>
    <row r="667" spans="1:24" s="8" customFormat="1" ht="41.5" customHeight="1">
      <c r="A667" s="8" t="s">
        <v>2302</v>
      </c>
      <c r="B667" s="8" t="s">
        <v>2563</v>
      </c>
      <c r="C667" s="9">
        <v>45890.715571203698</v>
      </c>
      <c r="D667" s="8" t="s">
        <v>2056</v>
      </c>
      <c r="E667" s="8" t="s">
        <v>2057</v>
      </c>
      <c r="F667" s="8">
        <v>9</v>
      </c>
      <c r="G667" s="22" t="s">
        <v>1346</v>
      </c>
      <c r="H667" s="8" t="s">
        <v>413</v>
      </c>
      <c r="I667" s="2" t="str">
        <f t="shared" si="20"/>
        <v>Tôn xốp</v>
      </c>
      <c r="J667" s="8" t="s">
        <v>71</v>
      </c>
      <c r="K667" s="10">
        <v>610</v>
      </c>
      <c r="L667" s="10">
        <v>140000</v>
      </c>
      <c r="M667" s="11">
        <v>85400000</v>
      </c>
      <c r="N667" s="8" t="s">
        <v>30</v>
      </c>
      <c r="O667" s="8" t="s">
        <v>17</v>
      </c>
      <c r="P667" s="8" t="s">
        <v>18</v>
      </c>
      <c r="Q667" s="8" t="s">
        <v>18</v>
      </c>
      <c r="R667" s="8" t="s">
        <v>2115</v>
      </c>
      <c r="S667" s="8" t="s">
        <v>2137</v>
      </c>
      <c r="T667" s="8" t="s">
        <v>2138</v>
      </c>
      <c r="U667" s="8" t="s">
        <v>2139</v>
      </c>
      <c r="V667" s="8" t="s">
        <v>635</v>
      </c>
      <c r="W667" s="8">
        <f t="shared" si="19"/>
        <v>3</v>
      </c>
      <c r="X667" s="8">
        <f>K667*L667*N667</f>
        <v>8540000</v>
      </c>
    </row>
    <row r="668" spans="1:24" s="13" customFormat="1" ht="41.5" customHeight="1">
      <c r="A668" s="8" t="s">
        <v>2302</v>
      </c>
      <c r="B668" s="13" t="s">
        <v>2563</v>
      </c>
      <c r="C668" s="14">
        <v>45890.715571203698</v>
      </c>
      <c r="D668" s="13" t="s">
        <v>2056</v>
      </c>
      <c r="E668" s="13" t="s">
        <v>2057</v>
      </c>
      <c r="F668" s="13">
        <v>10</v>
      </c>
      <c r="G668" s="28" t="s">
        <v>1363</v>
      </c>
      <c r="H668" s="13" t="s">
        <v>72</v>
      </c>
      <c r="I668" s="2" t="str">
        <f t="shared" si="20"/>
        <v>Tôn màu</v>
      </c>
      <c r="J668" s="13" t="s">
        <v>71</v>
      </c>
      <c r="K668" s="15">
        <v>43</v>
      </c>
      <c r="L668" s="15">
        <v>83000</v>
      </c>
      <c r="M668" s="16">
        <v>3569000</v>
      </c>
      <c r="N668" s="13" t="s">
        <v>30</v>
      </c>
      <c r="O668" s="13" t="s">
        <v>17</v>
      </c>
      <c r="P668" s="13" t="s">
        <v>18</v>
      </c>
      <c r="Q668" s="13" t="s">
        <v>18</v>
      </c>
      <c r="R668" s="13" t="s">
        <v>2115</v>
      </c>
      <c r="S668" s="13" t="s">
        <v>2137</v>
      </c>
      <c r="T668" s="13" t="s">
        <v>2138</v>
      </c>
      <c r="U668" s="13" t="s">
        <v>2139</v>
      </c>
      <c r="V668" s="13" t="s">
        <v>635</v>
      </c>
      <c r="W668" s="13">
        <f t="shared" si="19"/>
        <v>3</v>
      </c>
      <c r="X668" s="8">
        <f>K668*L668*N668</f>
        <v>356900</v>
      </c>
    </row>
    <row r="669" spans="1:24" s="8" customFormat="1" ht="41.5" customHeight="1">
      <c r="A669" s="8" t="s">
        <v>2302</v>
      </c>
      <c r="B669" s="8" t="s">
        <v>2564</v>
      </c>
      <c r="C669" s="9">
        <v>45875.773188368097</v>
      </c>
      <c r="D669" s="8" t="s">
        <v>2056</v>
      </c>
      <c r="E669" s="8" t="s">
        <v>2057</v>
      </c>
      <c r="F669" s="8">
        <v>1</v>
      </c>
      <c r="G669" s="27" t="s">
        <v>2140</v>
      </c>
      <c r="H669" s="8" t="s">
        <v>68</v>
      </c>
      <c r="I669" s="2" t="str">
        <f t="shared" si="20"/>
        <v>Thép ống hộp</v>
      </c>
      <c r="J669" s="8" t="s">
        <v>62</v>
      </c>
      <c r="K669" s="10">
        <v>182.88</v>
      </c>
      <c r="L669" s="10">
        <v>17454.55</v>
      </c>
      <c r="M669" s="11">
        <v>3192088</v>
      </c>
      <c r="N669" s="8" t="s">
        <v>30</v>
      </c>
      <c r="O669" s="8" t="s">
        <v>17</v>
      </c>
      <c r="P669" s="8" t="s">
        <v>18</v>
      </c>
      <c r="Q669" s="8" t="s">
        <v>18</v>
      </c>
      <c r="R669" s="8" t="s">
        <v>2115</v>
      </c>
      <c r="S669" s="8" t="s">
        <v>2137</v>
      </c>
      <c r="T669" s="8" t="s">
        <v>2138</v>
      </c>
      <c r="U669" s="8" t="s">
        <v>2139</v>
      </c>
      <c r="V669" s="8" t="s">
        <v>669</v>
      </c>
      <c r="W669" s="8">
        <f t="shared" si="19"/>
        <v>3</v>
      </c>
      <c r="X669" s="8">
        <f>K669*L669*N669</f>
        <v>319208.81040000002</v>
      </c>
    </row>
    <row r="670" spans="1:24" s="8" customFormat="1" ht="41.5" customHeight="1">
      <c r="A670" s="8" t="s">
        <v>2302</v>
      </c>
      <c r="B670" s="8" t="s">
        <v>2564</v>
      </c>
      <c r="C670" s="9">
        <v>45875.773188368097</v>
      </c>
      <c r="D670" s="8" t="s">
        <v>2056</v>
      </c>
      <c r="E670" s="8" t="s">
        <v>2057</v>
      </c>
      <c r="F670" s="8">
        <v>2</v>
      </c>
      <c r="G670" s="27" t="s">
        <v>2140</v>
      </c>
      <c r="H670" s="8" t="s">
        <v>69</v>
      </c>
      <c r="I670" s="2" t="str">
        <f t="shared" si="20"/>
        <v>Thép ống hộp</v>
      </c>
      <c r="J670" s="8" t="s">
        <v>62</v>
      </c>
      <c r="K670" s="10">
        <v>30.76</v>
      </c>
      <c r="L670" s="10">
        <v>17454.55</v>
      </c>
      <c r="M670" s="11">
        <v>536902</v>
      </c>
      <c r="N670" s="8" t="s">
        <v>30</v>
      </c>
      <c r="O670" s="8" t="s">
        <v>17</v>
      </c>
      <c r="P670" s="8" t="s">
        <v>18</v>
      </c>
      <c r="Q670" s="8" t="s">
        <v>18</v>
      </c>
      <c r="R670" s="8" t="s">
        <v>2115</v>
      </c>
      <c r="S670" s="8" t="s">
        <v>2137</v>
      </c>
      <c r="T670" s="8" t="s">
        <v>2138</v>
      </c>
      <c r="U670" s="8" t="s">
        <v>2139</v>
      </c>
      <c r="V670" s="8" t="s">
        <v>669</v>
      </c>
      <c r="W670" s="8">
        <f t="shared" si="19"/>
        <v>3</v>
      </c>
      <c r="X670" s="8">
        <f>K670*L670*N670</f>
        <v>53690.195800000001</v>
      </c>
    </row>
    <row r="671" spans="1:24" s="8" customFormat="1" ht="41.5" customHeight="1">
      <c r="A671" s="8" t="s">
        <v>2302</v>
      </c>
      <c r="B671" s="8" t="s">
        <v>2564</v>
      </c>
      <c r="C671" s="9">
        <v>45875.773188368097</v>
      </c>
      <c r="D671" s="8" t="s">
        <v>2056</v>
      </c>
      <c r="E671" s="8" t="s">
        <v>2057</v>
      </c>
      <c r="F671" s="8">
        <v>3</v>
      </c>
      <c r="G671" s="22" t="s">
        <v>1346</v>
      </c>
      <c r="H671" s="8" t="s">
        <v>413</v>
      </c>
      <c r="I671" s="2" t="str">
        <f t="shared" si="20"/>
        <v>Tôn xốp</v>
      </c>
      <c r="J671" s="8" t="s">
        <v>71</v>
      </c>
      <c r="K671" s="10">
        <v>290</v>
      </c>
      <c r="L671" s="10">
        <v>128000</v>
      </c>
      <c r="M671" s="11">
        <v>37120000</v>
      </c>
      <c r="N671" s="8" t="s">
        <v>30</v>
      </c>
      <c r="O671" s="8" t="s">
        <v>17</v>
      </c>
      <c r="P671" s="8" t="s">
        <v>18</v>
      </c>
      <c r="Q671" s="8" t="s">
        <v>18</v>
      </c>
      <c r="R671" s="8" t="s">
        <v>2115</v>
      </c>
      <c r="S671" s="8" t="s">
        <v>2137</v>
      </c>
      <c r="T671" s="8" t="s">
        <v>2138</v>
      </c>
      <c r="U671" s="8" t="s">
        <v>2139</v>
      </c>
      <c r="V671" s="8" t="s">
        <v>669</v>
      </c>
      <c r="W671" s="8">
        <f t="shared" si="19"/>
        <v>3</v>
      </c>
      <c r="X671" s="8">
        <f>K671*L671*N671</f>
        <v>3712000</v>
      </c>
    </row>
    <row r="672" spans="1:24" s="8" customFormat="1" ht="41.5" customHeight="1">
      <c r="A672" s="8" t="s">
        <v>2312</v>
      </c>
      <c r="B672" s="8" t="s">
        <v>2565</v>
      </c>
      <c r="C672" s="9">
        <v>45895.456149583297</v>
      </c>
      <c r="D672" s="8" t="s">
        <v>2208</v>
      </c>
      <c r="E672" s="8" t="s">
        <v>2057</v>
      </c>
      <c r="F672" s="8">
        <v>1</v>
      </c>
      <c r="G672" s="2">
        <v>642</v>
      </c>
      <c r="H672" s="8" t="s">
        <v>135</v>
      </c>
      <c r="I672" s="2">
        <f t="shared" si="20"/>
        <v>642</v>
      </c>
      <c r="J672" s="8" t="s">
        <v>27</v>
      </c>
      <c r="K672" s="10">
        <v>9.7609999999999992</v>
      </c>
      <c r="L672" s="10">
        <v>18972.22</v>
      </c>
      <c r="M672" s="11">
        <v>185185</v>
      </c>
      <c r="N672" s="8" t="s">
        <v>16</v>
      </c>
      <c r="O672" s="8" t="s">
        <v>17</v>
      </c>
      <c r="P672" s="8" t="s">
        <v>18</v>
      </c>
      <c r="Q672" s="8" t="s">
        <v>18</v>
      </c>
      <c r="R672" s="8" t="s">
        <v>2110</v>
      </c>
      <c r="S672" s="8" t="s">
        <v>2209</v>
      </c>
      <c r="T672" s="8" t="s">
        <v>2566</v>
      </c>
      <c r="U672" s="8" t="s">
        <v>2567</v>
      </c>
      <c r="V672" s="8" t="s">
        <v>670</v>
      </c>
      <c r="W672" s="8">
        <f t="shared" si="19"/>
        <v>3</v>
      </c>
      <c r="X672" s="8">
        <f>K672*L672*N672</f>
        <v>14815.0271536</v>
      </c>
    </row>
    <row r="673" spans="1:24" s="8" customFormat="1" ht="41.5" customHeight="1">
      <c r="A673" s="8" t="s">
        <v>2312</v>
      </c>
      <c r="B673" s="8" t="s">
        <v>2568</v>
      </c>
      <c r="C673" s="9">
        <v>45884.610516180597</v>
      </c>
      <c r="D673" s="8" t="s">
        <v>2208</v>
      </c>
      <c r="E673" s="8" t="s">
        <v>2057</v>
      </c>
      <c r="F673" s="8">
        <v>1</v>
      </c>
      <c r="G673" s="2">
        <v>642</v>
      </c>
      <c r="H673" s="8" t="s">
        <v>135</v>
      </c>
      <c r="I673" s="2">
        <f t="shared" si="20"/>
        <v>642</v>
      </c>
      <c r="J673" s="8" t="s">
        <v>27</v>
      </c>
      <c r="K673" s="10">
        <v>9.8670000000000009</v>
      </c>
      <c r="L673" s="10">
        <v>18768.52</v>
      </c>
      <c r="M673" s="11">
        <v>185185</v>
      </c>
      <c r="N673" s="8" t="s">
        <v>16</v>
      </c>
      <c r="O673" s="8" t="s">
        <v>17</v>
      </c>
      <c r="P673" s="8" t="s">
        <v>18</v>
      </c>
      <c r="Q673" s="8" t="s">
        <v>18</v>
      </c>
      <c r="R673" s="8" t="s">
        <v>2110</v>
      </c>
      <c r="S673" s="8" t="s">
        <v>2209</v>
      </c>
      <c r="T673" s="8" t="s">
        <v>2566</v>
      </c>
      <c r="U673" s="8" t="s">
        <v>2567</v>
      </c>
      <c r="V673" s="8" t="s">
        <v>671</v>
      </c>
      <c r="W673" s="8">
        <f t="shared" si="19"/>
        <v>3</v>
      </c>
      <c r="X673" s="8">
        <f>K673*L673*N673</f>
        <v>14815.118947200002</v>
      </c>
    </row>
    <row r="674" spans="1:24" s="8" customFormat="1" ht="41.5" customHeight="1">
      <c r="A674" s="8" t="s">
        <v>2312</v>
      </c>
      <c r="B674" s="8" t="s">
        <v>2569</v>
      </c>
      <c r="C674" s="9">
        <v>45878.916865243104</v>
      </c>
      <c r="D674" s="8" t="s">
        <v>2208</v>
      </c>
      <c r="E674" s="8" t="s">
        <v>2057</v>
      </c>
      <c r="F674" s="8">
        <v>1</v>
      </c>
      <c r="G674" s="2">
        <v>642</v>
      </c>
      <c r="H674" s="8" t="s">
        <v>162</v>
      </c>
      <c r="I674" s="2">
        <f t="shared" si="20"/>
        <v>642</v>
      </c>
      <c r="J674" s="8" t="s">
        <v>27</v>
      </c>
      <c r="K674" s="10">
        <v>51.335000000000001</v>
      </c>
      <c r="L674" s="10">
        <v>18037.04</v>
      </c>
      <c r="M674" s="11">
        <v>925926</v>
      </c>
      <c r="N674" s="8" t="s">
        <v>16</v>
      </c>
      <c r="O674" s="8" t="s">
        <v>17</v>
      </c>
      <c r="P674" s="8" t="s">
        <v>18</v>
      </c>
      <c r="Q674" s="8" t="s">
        <v>18</v>
      </c>
      <c r="R674" s="8" t="s">
        <v>2110</v>
      </c>
      <c r="S674" s="8" t="s">
        <v>2209</v>
      </c>
      <c r="T674" s="8" t="s">
        <v>2566</v>
      </c>
      <c r="U674" s="8" t="s">
        <v>2567</v>
      </c>
      <c r="V674" s="8" t="s">
        <v>672</v>
      </c>
      <c r="W674" s="8">
        <f t="shared" ref="W674:W737" si="21">ROUNDUP(MONTH(V674)/3,0)</f>
        <v>3</v>
      </c>
      <c r="X674" s="8">
        <f>K674*L674*N674</f>
        <v>74074.515872000004</v>
      </c>
    </row>
    <row r="675" spans="1:24" s="8" customFormat="1" ht="41.5" customHeight="1">
      <c r="A675" s="8" t="s">
        <v>2314</v>
      </c>
      <c r="B675" s="8" t="s">
        <v>2570</v>
      </c>
      <c r="C675" s="9">
        <v>45889.720308900498</v>
      </c>
      <c r="D675" s="8" t="s">
        <v>2056</v>
      </c>
      <c r="E675" s="8" t="s">
        <v>2057</v>
      </c>
      <c r="F675" s="8">
        <v>1</v>
      </c>
      <c r="G675" s="22" t="s">
        <v>677</v>
      </c>
      <c r="H675" s="8" t="s">
        <v>673</v>
      </c>
      <c r="I675" s="2" t="str">
        <f t="shared" si="20"/>
        <v>Tấm ốp PVC</v>
      </c>
      <c r="J675" s="8" t="s">
        <v>78</v>
      </c>
      <c r="K675" s="10">
        <v>11</v>
      </c>
      <c r="L675" s="10">
        <v>75000</v>
      </c>
      <c r="M675" s="11">
        <v>825000</v>
      </c>
      <c r="N675" s="8" t="s">
        <v>16</v>
      </c>
      <c r="O675" s="8" t="s">
        <v>17</v>
      </c>
      <c r="P675" s="8" t="s">
        <v>18</v>
      </c>
      <c r="Q675" s="8" t="s">
        <v>18</v>
      </c>
      <c r="R675" s="8" t="s">
        <v>2145</v>
      </c>
      <c r="S675" s="8" t="s">
        <v>2146</v>
      </c>
      <c r="T675" s="8" t="s">
        <v>2147</v>
      </c>
      <c r="U675" s="8" t="s">
        <v>2148</v>
      </c>
      <c r="V675" s="8" t="s">
        <v>674</v>
      </c>
      <c r="W675" s="8">
        <f t="shared" si="21"/>
        <v>3</v>
      </c>
      <c r="X675" s="8">
        <f>K675*L675*N675</f>
        <v>66000</v>
      </c>
    </row>
    <row r="676" spans="1:24" s="8" customFormat="1" ht="41.5" customHeight="1">
      <c r="A676" s="8" t="s">
        <v>2314</v>
      </c>
      <c r="B676" s="8" t="s">
        <v>2570</v>
      </c>
      <c r="C676" s="9">
        <v>45889.720308900498</v>
      </c>
      <c r="D676" s="8" t="s">
        <v>2056</v>
      </c>
      <c r="E676" s="8" t="s">
        <v>2057</v>
      </c>
      <c r="F676" s="8">
        <v>2</v>
      </c>
      <c r="G676" s="22" t="s">
        <v>675</v>
      </c>
      <c r="H676" s="8" t="s">
        <v>675</v>
      </c>
      <c r="I676" s="2" t="str">
        <f t="shared" si="20"/>
        <v>Phào kết thúc</v>
      </c>
      <c r="J676" s="8" t="s">
        <v>511</v>
      </c>
      <c r="K676" s="10">
        <v>10</v>
      </c>
      <c r="L676" s="10">
        <v>14000</v>
      </c>
      <c r="M676" s="11">
        <v>140000</v>
      </c>
      <c r="N676" s="8" t="s">
        <v>16</v>
      </c>
      <c r="O676" s="8" t="s">
        <v>17</v>
      </c>
      <c r="P676" s="8" t="s">
        <v>18</v>
      </c>
      <c r="Q676" s="8" t="s">
        <v>18</v>
      </c>
      <c r="R676" s="8" t="s">
        <v>2145</v>
      </c>
      <c r="S676" s="8" t="s">
        <v>2146</v>
      </c>
      <c r="T676" s="8" t="s">
        <v>2147</v>
      </c>
      <c r="U676" s="8" t="s">
        <v>2148</v>
      </c>
      <c r="V676" s="8" t="s">
        <v>674</v>
      </c>
      <c r="W676" s="8">
        <f t="shared" si="21"/>
        <v>3</v>
      </c>
      <c r="X676" s="8">
        <f>K676*L676*N676</f>
        <v>11200</v>
      </c>
    </row>
    <row r="677" spans="1:24" s="8" customFormat="1" ht="41.5" customHeight="1">
      <c r="A677" s="8" t="s">
        <v>2314</v>
      </c>
      <c r="B677" s="8" t="s">
        <v>2570</v>
      </c>
      <c r="C677" s="9">
        <v>45889.720308900498</v>
      </c>
      <c r="D677" s="8" t="s">
        <v>2056</v>
      </c>
      <c r="E677" s="8" t="s">
        <v>2057</v>
      </c>
      <c r="F677" s="8">
        <v>3</v>
      </c>
      <c r="G677" s="22" t="s">
        <v>676</v>
      </c>
      <c r="H677" s="8" t="s">
        <v>676</v>
      </c>
      <c r="I677" s="2" t="str">
        <f t="shared" si="20"/>
        <v>Thanh nẹp nhựa PVC 30+16</v>
      </c>
      <c r="J677" s="8" t="s">
        <v>511</v>
      </c>
      <c r="K677" s="10">
        <v>15</v>
      </c>
      <c r="L677" s="10">
        <v>45419.7</v>
      </c>
      <c r="M677" s="11">
        <v>681296</v>
      </c>
      <c r="N677" s="8" t="s">
        <v>16</v>
      </c>
      <c r="O677" s="8" t="s">
        <v>17</v>
      </c>
      <c r="P677" s="8" t="s">
        <v>18</v>
      </c>
      <c r="Q677" s="8" t="s">
        <v>18</v>
      </c>
      <c r="R677" s="8" t="s">
        <v>2145</v>
      </c>
      <c r="S677" s="8" t="s">
        <v>2146</v>
      </c>
      <c r="T677" s="8" t="s">
        <v>2147</v>
      </c>
      <c r="U677" s="8" t="s">
        <v>2148</v>
      </c>
      <c r="V677" s="8" t="s">
        <v>674</v>
      </c>
      <c r="W677" s="8">
        <f t="shared" si="21"/>
        <v>3</v>
      </c>
      <c r="X677" s="8">
        <f>K677*L677*N677</f>
        <v>54503.64</v>
      </c>
    </row>
    <row r="678" spans="1:24" s="8" customFormat="1" ht="41.5" customHeight="1">
      <c r="A678" s="8" t="s">
        <v>2314</v>
      </c>
      <c r="B678" s="8" t="s">
        <v>2247</v>
      </c>
      <c r="C678" s="9">
        <v>45883.708131747699</v>
      </c>
      <c r="D678" s="8" t="s">
        <v>2056</v>
      </c>
      <c r="E678" s="8" t="s">
        <v>2057</v>
      </c>
      <c r="F678" s="8">
        <v>1</v>
      </c>
      <c r="G678" s="22" t="s">
        <v>677</v>
      </c>
      <c r="H678" s="8" t="s">
        <v>677</v>
      </c>
      <c r="I678" s="2" t="str">
        <f t="shared" si="20"/>
        <v>Tấm ốp PVC</v>
      </c>
      <c r="J678" s="8" t="s">
        <v>78</v>
      </c>
      <c r="K678" s="10">
        <v>943.1</v>
      </c>
      <c r="L678" s="10">
        <v>72000</v>
      </c>
      <c r="M678" s="11">
        <v>67903200</v>
      </c>
      <c r="N678" s="8" t="s">
        <v>16</v>
      </c>
      <c r="O678" s="8" t="s">
        <v>17</v>
      </c>
      <c r="P678" s="8" t="s">
        <v>18</v>
      </c>
      <c r="Q678" s="8" t="s">
        <v>18</v>
      </c>
      <c r="R678" s="8" t="s">
        <v>2145</v>
      </c>
      <c r="S678" s="8" t="s">
        <v>2146</v>
      </c>
      <c r="T678" s="8" t="s">
        <v>2147</v>
      </c>
      <c r="U678" s="8" t="s">
        <v>2148</v>
      </c>
      <c r="V678" s="8" t="s">
        <v>678</v>
      </c>
      <c r="W678" s="8">
        <f t="shared" si="21"/>
        <v>3</v>
      </c>
      <c r="X678" s="8">
        <f>K678*L678*N678</f>
        <v>5432256</v>
      </c>
    </row>
    <row r="679" spans="1:24" s="8" customFormat="1" ht="41.5" customHeight="1">
      <c r="A679" s="8" t="s">
        <v>2314</v>
      </c>
      <c r="B679" s="8" t="s">
        <v>2247</v>
      </c>
      <c r="C679" s="9">
        <v>45883.708131747699</v>
      </c>
      <c r="D679" s="8" t="s">
        <v>2056</v>
      </c>
      <c r="E679" s="8" t="s">
        <v>2057</v>
      </c>
      <c r="F679" s="8">
        <v>2</v>
      </c>
      <c r="G679" s="22" t="s">
        <v>679</v>
      </c>
      <c r="H679" s="8" t="s">
        <v>679</v>
      </c>
      <c r="I679" s="2" t="str">
        <f t="shared" si="20"/>
        <v>Phào V ngoài</v>
      </c>
      <c r="J679" s="8" t="s">
        <v>511</v>
      </c>
      <c r="K679" s="10">
        <v>25</v>
      </c>
      <c r="L679" s="10">
        <v>13000</v>
      </c>
      <c r="M679" s="11">
        <v>325000</v>
      </c>
      <c r="N679" s="8" t="s">
        <v>16</v>
      </c>
      <c r="O679" s="8" t="s">
        <v>17</v>
      </c>
      <c r="P679" s="8" t="s">
        <v>18</v>
      </c>
      <c r="Q679" s="8" t="s">
        <v>18</v>
      </c>
      <c r="R679" s="8" t="s">
        <v>2145</v>
      </c>
      <c r="S679" s="8" t="s">
        <v>2146</v>
      </c>
      <c r="T679" s="8" t="s">
        <v>2147</v>
      </c>
      <c r="U679" s="8" t="s">
        <v>2148</v>
      </c>
      <c r="V679" s="8" t="s">
        <v>678</v>
      </c>
      <c r="W679" s="8">
        <f t="shared" si="21"/>
        <v>3</v>
      </c>
      <c r="X679" s="8">
        <f>K679*L679*N679</f>
        <v>26000</v>
      </c>
    </row>
    <row r="680" spans="1:24" s="8" customFormat="1" ht="41.5" customHeight="1">
      <c r="A680" s="8" t="s">
        <v>2314</v>
      </c>
      <c r="B680" s="8" t="s">
        <v>2247</v>
      </c>
      <c r="C680" s="9">
        <v>45883.708131747699</v>
      </c>
      <c r="D680" s="8" t="s">
        <v>2056</v>
      </c>
      <c r="E680" s="8" t="s">
        <v>2057</v>
      </c>
      <c r="F680" s="8">
        <v>3</v>
      </c>
      <c r="G680" s="22" t="s">
        <v>680</v>
      </c>
      <c r="H680" s="8" t="s">
        <v>680</v>
      </c>
      <c r="I680" s="2" t="str">
        <f t="shared" si="20"/>
        <v>Phào góc trong</v>
      </c>
      <c r="J680" s="8" t="s">
        <v>511</v>
      </c>
      <c r="K680" s="10">
        <v>25</v>
      </c>
      <c r="L680" s="10">
        <v>13000</v>
      </c>
      <c r="M680" s="11">
        <v>325000</v>
      </c>
      <c r="N680" s="8" t="s">
        <v>16</v>
      </c>
      <c r="O680" s="8" t="s">
        <v>17</v>
      </c>
      <c r="P680" s="8" t="s">
        <v>18</v>
      </c>
      <c r="Q680" s="8" t="s">
        <v>18</v>
      </c>
      <c r="R680" s="8" t="s">
        <v>2145</v>
      </c>
      <c r="S680" s="8" t="s">
        <v>2146</v>
      </c>
      <c r="T680" s="8" t="s">
        <v>2147</v>
      </c>
      <c r="U680" s="8" t="s">
        <v>2148</v>
      </c>
      <c r="V680" s="8" t="s">
        <v>678</v>
      </c>
      <c r="W680" s="8">
        <f t="shared" si="21"/>
        <v>3</v>
      </c>
      <c r="X680" s="8">
        <f>K680*L680*N680</f>
        <v>26000</v>
      </c>
    </row>
    <row r="681" spans="1:24" s="8" customFormat="1" ht="41.5" customHeight="1">
      <c r="A681" s="8" t="s">
        <v>2314</v>
      </c>
      <c r="B681" s="8" t="s">
        <v>2247</v>
      </c>
      <c r="C681" s="9">
        <v>45883.708131747699</v>
      </c>
      <c r="D681" s="8" t="s">
        <v>2056</v>
      </c>
      <c r="E681" s="8" t="s">
        <v>2057</v>
      </c>
      <c r="F681" s="8">
        <v>4</v>
      </c>
      <c r="G681" s="22" t="s">
        <v>1629</v>
      </c>
      <c r="H681" s="8" t="s">
        <v>681</v>
      </c>
      <c r="I681" s="2" t="str">
        <f t="shared" si="20"/>
        <v>Phào cố trần</v>
      </c>
      <c r="J681" s="8" t="s">
        <v>511</v>
      </c>
      <c r="K681" s="10">
        <v>25</v>
      </c>
      <c r="L681" s="10">
        <v>41500</v>
      </c>
      <c r="M681" s="11">
        <v>1037500</v>
      </c>
      <c r="N681" s="8" t="s">
        <v>16</v>
      </c>
      <c r="O681" s="8" t="s">
        <v>17</v>
      </c>
      <c r="P681" s="8" t="s">
        <v>18</v>
      </c>
      <c r="Q681" s="8" t="s">
        <v>18</v>
      </c>
      <c r="R681" s="8" t="s">
        <v>2145</v>
      </c>
      <c r="S681" s="8" t="s">
        <v>2146</v>
      </c>
      <c r="T681" s="8" t="s">
        <v>2147</v>
      </c>
      <c r="U681" s="8" t="s">
        <v>2148</v>
      </c>
      <c r="V681" s="8" t="s">
        <v>678</v>
      </c>
      <c r="W681" s="8">
        <f t="shared" si="21"/>
        <v>3</v>
      </c>
      <c r="X681" s="8">
        <f>K681*L681*N681</f>
        <v>83000</v>
      </c>
    </row>
    <row r="682" spans="1:24" s="8" customFormat="1" ht="41.5" customHeight="1">
      <c r="A682" s="8" t="s">
        <v>2314</v>
      </c>
      <c r="B682" s="8" t="s">
        <v>2247</v>
      </c>
      <c r="C682" s="9">
        <v>45883.708131747699</v>
      </c>
      <c r="D682" s="8" t="s">
        <v>2056</v>
      </c>
      <c r="E682" s="8" t="s">
        <v>2057</v>
      </c>
      <c r="F682" s="8">
        <v>5</v>
      </c>
      <c r="G682" s="22" t="s">
        <v>1333</v>
      </c>
      <c r="H682" s="8" t="s">
        <v>682</v>
      </c>
      <c r="I682" s="2" t="str">
        <f t="shared" si="20"/>
        <v>Chất kết dính đi từ Silicon A500</v>
      </c>
      <c r="J682" s="8" t="s">
        <v>683</v>
      </c>
      <c r="K682" s="10">
        <v>215</v>
      </c>
      <c r="L682" s="10">
        <v>36500</v>
      </c>
      <c r="M682" s="11">
        <v>7847500</v>
      </c>
      <c r="N682" s="8" t="s">
        <v>16</v>
      </c>
      <c r="O682" s="8" t="s">
        <v>17</v>
      </c>
      <c r="P682" s="8" t="s">
        <v>18</v>
      </c>
      <c r="Q682" s="8" t="s">
        <v>18</v>
      </c>
      <c r="R682" s="8" t="s">
        <v>2145</v>
      </c>
      <c r="S682" s="8" t="s">
        <v>2146</v>
      </c>
      <c r="T682" s="8" t="s">
        <v>2147</v>
      </c>
      <c r="U682" s="8" t="s">
        <v>2148</v>
      </c>
      <c r="V682" s="8" t="s">
        <v>678</v>
      </c>
      <c r="W682" s="8">
        <f t="shared" si="21"/>
        <v>3</v>
      </c>
      <c r="X682" s="8">
        <f>K682*L682*N682</f>
        <v>627800</v>
      </c>
    </row>
    <row r="683" spans="1:24" s="8" customFormat="1" ht="41.5" customHeight="1">
      <c r="A683" s="8" t="s">
        <v>2314</v>
      </c>
      <c r="B683" s="8" t="s">
        <v>2247</v>
      </c>
      <c r="C683" s="9">
        <v>45883.708131747699</v>
      </c>
      <c r="D683" s="8" t="s">
        <v>2056</v>
      </c>
      <c r="E683" s="8" t="s">
        <v>2057</v>
      </c>
      <c r="F683" s="8">
        <v>6</v>
      </c>
      <c r="G683" s="22" t="s">
        <v>684</v>
      </c>
      <c r="H683" s="8" t="s">
        <v>684</v>
      </c>
      <c r="I683" s="2" t="str">
        <f t="shared" si="20"/>
        <v>Sơn phun I300</v>
      </c>
      <c r="J683" s="8" t="s">
        <v>173</v>
      </c>
      <c r="K683" s="10">
        <v>48</v>
      </c>
      <c r="L683" s="10">
        <v>26500</v>
      </c>
      <c r="M683" s="11">
        <v>1272000</v>
      </c>
      <c r="N683" s="8" t="s">
        <v>16</v>
      </c>
      <c r="O683" s="8" t="s">
        <v>17</v>
      </c>
      <c r="P683" s="8" t="s">
        <v>18</v>
      </c>
      <c r="Q683" s="8" t="s">
        <v>18</v>
      </c>
      <c r="R683" s="8" t="s">
        <v>2145</v>
      </c>
      <c r="S683" s="8" t="s">
        <v>2146</v>
      </c>
      <c r="T683" s="8" t="s">
        <v>2147</v>
      </c>
      <c r="U683" s="8" t="s">
        <v>2148</v>
      </c>
      <c r="V683" s="8" t="s">
        <v>678</v>
      </c>
      <c r="W683" s="8">
        <f t="shared" si="21"/>
        <v>3</v>
      </c>
      <c r="X683" s="8">
        <f>K683*L683*N683</f>
        <v>101760</v>
      </c>
    </row>
    <row r="684" spans="1:24" s="8" customFormat="1" ht="41.5" customHeight="1">
      <c r="A684" s="8" t="s">
        <v>2314</v>
      </c>
      <c r="B684" s="8" t="s">
        <v>2247</v>
      </c>
      <c r="C684" s="9">
        <v>45883.708131747699</v>
      </c>
      <c r="D684" s="8" t="s">
        <v>2056</v>
      </c>
      <c r="E684" s="8" t="s">
        <v>2057</v>
      </c>
      <c r="F684" s="8">
        <v>7</v>
      </c>
      <c r="G684" s="22" t="s">
        <v>685</v>
      </c>
      <c r="H684" s="8" t="s">
        <v>685</v>
      </c>
      <c r="I684" s="2" t="str">
        <f t="shared" si="20"/>
        <v>Lót chống rỉ ghi</v>
      </c>
      <c r="J684" s="8" t="s">
        <v>62</v>
      </c>
      <c r="K684" s="10">
        <v>26</v>
      </c>
      <c r="L684" s="10">
        <v>42178</v>
      </c>
      <c r="M684" s="11">
        <v>1096633</v>
      </c>
      <c r="N684" s="8" t="s">
        <v>16</v>
      </c>
      <c r="O684" s="8" t="s">
        <v>17</v>
      </c>
      <c r="P684" s="8" t="s">
        <v>18</v>
      </c>
      <c r="Q684" s="8" t="s">
        <v>18</v>
      </c>
      <c r="R684" s="8" t="s">
        <v>2145</v>
      </c>
      <c r="S684" s="8" t="s">
        <v>2146</v>
      </c>
      <c r="T684" s="8" t="s">
        <v>2147</v>
      </c>
      <c r="U684" s="8" t="s">
        <v>2148</v>
      </c>
      <c r="V684" s="8" t="s">
        <v>678</v>
      </c>
      <c r="W684" s="8">
        <f t="shared" si="21"/>
        <v>3</v>
      </c>
      <c r="X684" s="8">
        <f>K684*L684*N684</f>
        <v>87730.240000000005</v>
      </c>
    </row>
    <row r="685" spans="1:24" s="8" customFormat="1" ht="41.5" customHeight="1">
      <c r="A685" s="8" t="s">
        <v>2281</v>
      </c>
      <c r="B685" s="8" t="s">
        <v>2571</v>
      </c>
      <c r="C685" s="9">
        <v>45892.7301349306</v>
      </c>
      <c r="D685" s="8" t="s">
        <v>2056</v>
      </c>
      <c r="E685" s="8" t="s">
        <v>2057</v>
      </c>
      <c r="F685" s="8">
        <v>1</v>
      </c>
      <c r="G685" s="22" t="s">
        <v>2164</v>
      </c>
      <c r="H685" s="8" t="s">
        <v>537</v>
      </c>
      <c r="I685" s="2" t="str">
        <f t="shared" si="20"/>
        <v>Đèn led chiếu pha 200W, model CP01-200W/G03, án</v>
      </c>
      <c r="J685" s="8" t="s">
        <v>19</v>
      </c>
      <c r="K685" s="10">
        <v>5</v>
      </c>
      <c r="L685" s="10">
        <v>503750</v>
      </c>
      <c r="M685" s="11">
        <v>2518750</v>
      </c>
      <c r="N685" s="8" t="s">
        <v>16</v>
      </c>
      <c r="O685" s="8" t="s">
        <v>17</v>
      </c>
      <c r="P685" s="8" t="s">
        <v>18</v>
      </c>
      <c r="Q685" s="8" t="s">
        <v>18</v>
      </c>
      <c r="R685" s="8" t="s">
        <v>2115</v>
      </c>
      <c r="S685" s="8" t="s">
        <v>2274</v>
      </c>
      <c r="T685" s="8" t="s">
        <v>2275</v>
      </c>
      <c r="U685" s="8" t="s">
        <v>2276</v>
      </c>
      <c r="V685" s="8" t="s">
        <v>686</v>
      </c>
      <c r="W685" s="8">
        <f t="shared" si="21"/>
        <v>3</v>
      </c>
      <c r="X685" s="8">
        <f>K685*L685*N685</f>
        <v>201500</v>
      </c>
    </row>
    <row r="686" spans="1:24" s="23" customFormat="1" ht="41.5" customHeight="1">
      <c r="A686" s="23" t="s">
        <v>2492</v>
      </c>
      <c r="B686" s="23" t="s">
        <v>2572</v>
      </c>
      <c r="C686" s="24">
        <v>45878.863109907397</v>
      </c>
      <c r="D686" s="23" t="s">
        <v>2056</v>
      </c>
      <c r="E686" s="23" t="s">
        <v>2057</v>
      </c>
      <c r="F686" s="23">
        <v>1</v>
      </c>
      <c r="G686" s="23">
        <v>642</v>
      </c>
      <c r="H686" s="23" t="s">
        <v>687</v>
      </c>
      <c r="I686" s="2">
        <f t="shared" si="20"/>
        <v>642</v>
      </c>
      <c r="J686" s="23" t="s">
        <v>601</v>
      </c>
      <c r="K686" s="25">
        <v>1</v>
      </c>
      <c r="L686" s="25">
        <v>0</v>
      </c>
      <c r="M686" s="26">
        <v>0</v>
      </c>
      <c r="N686" s="23" t="s">
        <v>602</v>
      </c>
      <c r="O686" s="23" t="s">
        <v>17</v>
      </c>
      <c r="P686" s="23" t="s">
        <v>18</v>
      </c>
      <c r="Q686" s="23" t="s">
        <v>18</v>
      </c>
      <c r="R686" s="23" t="s">
        <v>2494</v>
      </c>
      <c r="S686" s="23" t="s">
        <v>2495</v>
      </c>
      <c r="T686" s="23" t="s">
        <v>2496</v>
      </c>
      <c r="U686" s="23" t="s">
        <v>2497</v>
      </c>
      <c r="V686" s="23" t="s">
        <v>672</v>
      </c>
      <c r="W686" s="23">
        <f t="shared" si="21"/>
        <v>3</v>
      </c>
      <c r="X686" s="8">
        <v>0</v>
      </c>
    </row>
    <row r="687" spans="1:24" s="23" customFormat="1" ht="41.5" customHeight="1">
      <c r="A687" s="23" t="s">
        <v>2492</v>
      </c>
      <c r="B687" s="23" t="s">
        <v>2572</v>
      </c>
      <c r="C687" s="24">
        <v>45878.863109907397</v>
      </c>
      <c r="D687" s="23" t="s">
        <v>2056</v>
      </c>
      <c r="E687" s="23" t="s">
        <v>2057</v>
      </c>
      <c r="F687" s="23">
        <v>2</v>
      </c>
      <c r="G687" s="23">
        <v>642</v>
      </c>
      <c r="H687" s="23" t="s">
        <v>688</v>
      </c>
      <c r="I687" s="2">
        <f t="shared" si="20"/>
        <v>642</v>
      </c>
      <c r="J687" s="23" t="s">
        <v>53</v>
      </c>
      <c r="K687" s="25">
        <v>1</v>
      </c>
      <c r="L687" s="25">
        <v>9527778</v>
      </c>
      <c r="M687" s="26">
        <v>9527778</v>
      </c>
      <c r="N687" s="23" t="s">
        <v>16</v>
      </c>
      <c r="O687" s="23" t="s">
        <v>17</v>
      </c>
      <c r="P687" s="23" t="s">
        <v>18</v>
      </c>
      <c r="Q687" s="23" t="s">
        <v>18</v>
      </c>
      <c r="R687" s="23" t="s">
        <v>2494</v>
      </c>
      <c r="S687" s="23" t="s">
        <v>2495</v>
      </c>
      <c r="T687" s="23" t="s">
        <v>2496</v>
      </c>
      <c r="U687" s="23" t="s">
        <v>2497</v>
      </c>
      <c r="V687" s="23" t="s">
        <v>672</v>
      </c>
      <c r="W687" s="23">
        <f t="shared" si="21"/>
        <v>3</v>
      </c>
      <c r="X687" s="8">
        <f>K687*L687*N687</f>
        <v>762222.24</v>
      </c>
    </row>
    <row r="688" spans="1:24" s="23" customFormat="1" ht="41.5" customHeight="1">
      <c r="A688" s="23" t="s">
        <v>2492</v>
      </c>
      <c r="B688" s="23" t="s">
        <v>2572</v>
      </c>
      <c r="C688" s="24">
        <v>45878.863109907397</v>
      </c>
      <c r="D688" s="23" t="s">
        <v>2056</v>
      </c>
      <c r="E688" s="23" t="s">
        <v>2057</v>
      </c>
      <c r="F688" s="23">
        <v>3</v>
      </c>
      <c r="G688" s="23">
        <v>642</v>
      </c>
      <c r="H688" s="23" t="s">
        <v>689</v>
      </c>
      <c r="I688" s="2">
        <f t="shared" si="20"/>
        <v>642</v>
      </c>
      <c r="J688" s="23" t="s">
        <v>601</v>
      </c>
      <c r="K688" s="25">
        <v>1</v>
      </c>
      <c r="L688" s="25">
        <v>0</v>
      </c>
      <c r="M688" s="26">
        <v>0</v>
      </c>
      <c r="N688" s="23" t="s">
        <v>602</v>
      </c>
      <c r="O688" s="23" t="s">
        <v>17</v>
      </c>
      <c r="P688" s="23" t="s">
        <v>18</v>
      </c>
      <c r="Q688" s="23" t="s">
        <v>18</v>
      </c>
      <c r="R688" s="23" t="s">
        <v>2494</v>
      </c>
      <c r="S688" s="23" t="s">
        <v>2495</v>
      </c>
      <c r="T688" s="23" t="s">
        <v>2496</v>
      </c>
      <c r="U688" s="23" t="s">
        <v>2497</v>
      </c>
      <c r="V688" s="23" t="s">
        <v>672</v>
      </c>
      <c r="W688" s="23">
        <f t="shared" si="21"/>
        <v>3</v>
      </c>
      <c r="X688" s="8">
        <v>0</v>
      </c>
    </row>
    <row r="689" spans="1:24" s="23" customFormat="1" ht="41.5" customHeight="1">
      <c r="A689" s="23" t="s">
        <v>2492</v>
      </c>
      <c r="B689" s="23" t="s">
        <v>2572</v>
      </c>
      <c r="C689" s="24">
        <v>45878.863109907397</v>
      </c>
      <c r="D689" s="23" t="s">
        <v>2056</v>
      </c>
      <c r="E689" s="23" t="s">
        <v>2057</v>
      </c>
      <c r="F689" s="23">
        <v>4</v>
      </c>
      <c r="G689" s="23">
        <v>642</v>
      </c>
      <c r="H689" s="23" t="s">
        <v>690</v>
      </c>
      <c r="I689" s="2">
        <f t="shared" si="20"/>
        <v>642</v>
      </c>
      <c r="J689" s="23" t="s">
        <v>601</v>
      </c>
      <c r="K689" s="25">
        <v>1</v>
      </c>
      <c r="L689" s="25">
        <v>0</v>
      </c>
      <c r="M689" s="26">
        <v>0</v>
      </c>
      <c r="N689" s="23" t="s">
        <v>602</v>
      </c>
      <c r="O689" s="23" t="s">
        <v>17</v>
      </c>
      <c r="P689" s="23" t="s">
        <v>18</v>
      </c>
      <c r="Q689" s="23" t="s">
        <v>18</v>
      </c>
      <c r="R689" s="23" t="s">
        <v>2494</v>
      </c>
      <c r="S689" s="23" t="s">
        <v>2495</v>
      </c>
      <c r="T689" s="23" t="s">
        <v>2496</v>
      </c>
      <c r="U689" s="23" t="s">
        <v>2497</v>
      </c>
      <c r="V689" s="23" t="s">
        <v>672</v>
      </c>
      <c r="W689" s="23">
        <f t="shared" si="21"/>
        <v>3</v>
      </c>
      <c r="X689" s="8">
        <v>0</v>
      </c>
    </row>
    <row r="690" spans="1:24" s="23" customFormat="1" ht="41.5" customHeight="1">
      <c r="A690" s="23" t="s">
        <v>2492</v>
      </c>
      <c r="B690" s="23" t="s">
        <v>2572</v>
      </c>
      <c r="C690" s="24">
        <v>45878.863109907397</v>
      </c>
      <c r="D690" s="23" t="s">
        <v>2056</v>
      </c>
      <c r="E690" s="23" t="s">
        <v>2057</v>
      </c>
      <c r="F690" s="23">
        <v>5</v>
      </c>
      <c r="G690" s="2">
        <v>642</v>
      </c>
      <c r="H690" s="23" t="s">
        <v>691</v>
      </c>
      <c r="I690" s="2">
        <f t="shared" si="20"/>
        <v>642</v>
      </c>
      <c r="J690" s="23" t="s">
        <v>601</v>
      </c>
      <c r="K690" s="25">
        <v>1</v>
      </c>
      <c r="L690" s="25">
        <v>0</v>
      </c>
      <c r="M690" s="26">
        <v>0</v>
      </c>
      <c r="N690" s="23" t="s">
        <v>602</v>
      </c>
      <c r="O690" s="23" t="s">
        <v>17</v>
      </c>
      <c r="P690" s="23" t="s">
        <v>18</v>
      </c>
      <c r="Q690" s="23" t="s">
        <v>18</v>
      </c>
      <c r="R690" s="23" t="s">
        <v>2494</v>
      </c>
      <c r="S690" s="23" t="s">
        <v>2495</v>
      </c>
      <c r="T690" s="23" t="s">
        <v>2496</v>
      </c>
      <c r="U690" s="23" t="s">
        <v>2497</v>
      </c>
      <c r="V690" s="23" t="s">
        <v>672</v>
      </c>
      <c r="W690" s="23">
        <f t="shared" si="21"/>
        <v>3</v>
      </c>
      <c r="X690" s="8">
        <v>0</v>
      </c>
    </row>
    <row r="691" spans="1:24" s="23" customFormat="1" ht="41.5" customHeight="1">
      <c r="A691" s="23" t="s">
        <v>2492</v>
      </c>
      <c r="B691" s="23" t="s">
        <v>2572</v>
      </c>
      <c r="C691" s="24">
        <v>45878.863109907397</v>
      </c>
      <c r="D691" s="23" t="s">
        <v>2056</v>
      </c>
      <c r="E691" s="23" t="s">
        <v>2057</v>
      </c>
      <c r="F691" s="23">
        <v>6</v>
      </c>
      <c r="G691" s="23">
        <v>642</v>
      </c>
      <c r="H691" s="23" t="s">
        <v>692</v>
      </c>
      <c r="I691" s="2">
        <f t="shared" si="20"/>
        <v>642</v>
      </c>
      <c r="J691" s="23" t="s">
        <v>15</v>
      </c>
      <c r="K691" s="25">
        <v>1</v>
      </c>
      <c r="L691" s="25">
        <v>10824074</v>
      </c>
      <c r="M691" s="26">
        <v>10824074</v>
      </c>
      <c r="N691" s="23" t="s">
        <v>16</v>
      </c>
      <c r="O691" s="23" t="s">
        <v>17</v>
      </c>
      <c r="P691" s="23" t="s">
        <v>18</v>
      </c>
      <c r="Q691" s="23" t="s">
        <v>18</v>
      </c>
      <c r="R691" s="23" t="s">
        <v>2494</v>
      </c>
      <c r="S691" s="23" t="s">
        <v>2495</v>
      </c>
      <c r="T691" s="23" t="s">
        <v>2496</v>
      </c>
      <c r="U691" s="23" t="s">
        <v>2497</v>
      </c>
      <c r="V691" s="23" t="s">
        <v>672</v>
      </c>
      <c r="W691" s="23">
        <f t="shared" si="21"/>
        <v>3</v>
      </c>
      <c r="X691" s="8">
        <f>K691*L691*N691</f>
        <v>865925.92</v>
      </c>
    </row>
    <row r="692" spans="1:24" s="23" customFormat="1" ht="41.5" customHeight="1">
      <c r="A692" s="23" t="s">
        <v>2492</v>
      </c>
      <c r="B692" s="23" t="s">
        <v>2572</v>
      </c>
      <c r="C692" s="24">
        <v>45878.863109907397</v>
      </c>
      <c r="D692" s="23" t="s">
        <v>2056</v>
      </c>
      <c r="E692" s="23" t="s">
        <v>2057</v>
      </c>
      <c r="F692" s="23">
        <v>7</v>
      </c>
      <c r="G692" s="23">
        <v>642</v>
      </c>
      <c r="H692" s="23" t="s">
        <v>693</v>
      </c>
      <c r="I692" s="2">
        <f t="shared" si="20"/>
        <v>642</v>
      </c>
      <c r="J692" s="23" t="s">
        <v>601</v>
      </c>
      <c r="K692" s="25">
        <v>1</v>
      </c>
      <c r="L692" s="25">
        <v>0</v>
      </c>
      <c r="M692" s="26">
        <v>0</v>
      </c>
      <c r="N692" s="23" t="s">
        <v>602</v>
      </c>
      <c r="O692" s="23" t="s">
        <v>17</v>
      </c>
      <c r="P692" s="23" t="s">
        <v>18</v>
      </c>
      <c r="Q692" s="23" t="s">
        <v>18</v>
      </c>
      <c r="R692" s="23" t="s">
        <v>2494</v>
      </c>
      <c r="S692" s="23" t="s">
        <v>2495</v>
      </c>
      <c r="T692" s="23" t="s">
        <v>2496</v>
      </c>
      <c r="U692" s="23" t="s">
        <v>2497</v>
      </c>
      <c r="V692" s="23" t="s">
        <v>672</v>
      </c>
      <c r="W692" s="23">
        <f t="shared" si="21"/>
        <v>3</v>
      </c>
      <c r="X692" s="8">
        <v>0</v>
      </c>
    </row>
    <row r="693" spans="1:24" s="23" customFormat="1" ht="41.5" customHeight="1">
      <c r="A693" s="23" t="s">
        <v>2492</v>
      </c>
      <c r="B693" s="23" t="s">
        <v>2572</v>
      </c>
      <c r="C693" s="24">
        <v>45878.863109907397</v>
      </c>
      <c r="D693" s="23" t="s">
        <v>2056</v>
      </c>
      <c r="E693" s="23" t="s">
        <v>2057</v>
      </c>
      <c r="F693" s="23">
        <v>8</v>
      </c>
      <c r="G693" s="23">
        <v>642</v>
      </c>
      <c r="H693" s="23" t="s">
        <v>694</v>
      </c>
      <c r="I693" s="2">
        <f t="shared" si="20"/>
        <v>642</v>
      </c>
      <c r="J693" s="23" t="s">
        <v>601</v>
      </c>
      <c r="K693" s="25">
        <v>1</v>
      </c>
      <c r="L693" s="25">
        <v>0</v>
      </c>
      <c r="M693" s="26">
        <v>0</v>
      </c>
      <c r="N693" s="23" t="s">
        <v>602</v>
      </c>
      <c r="O693" s="23" t="s">
        <v>17</v>
      </c>
      <c r="P693" s="23" t="s">
        <v>18</v>
      </c>
      <c r="Q693" s="23" t="s">
        <v>18</v>
      </c>
      <c r="R693" s="23" t="s">
        <v>2494</v>
      </c>
      <c r="S693" s="23" t="s">
        <v>2495</v>
      </c>
      <c r="T693" s="23" t="s">
        <v>2496</v>
      </c>
      <c r="U693" s="23" t="s">
        <v>2497</v>
      </c>
      <c r="V693" s="23" t="s">
        <v>672</v>
      </c>
      <c r="W693" s="23">
        <f t="shared" si="21"/>
        <v>3</v>
      </c>
      <c r="X693" s="8">
        <v>0</v>
      </c>
    </row>
    <row r="694" spans="1:24" s="23" customFormat="1" ht="41.5" customHeight="1">
      <c r="A694" s="23" t="s">
        <v>2492</v>
      </c>
      <c r="B694" s="23" t="s">
        <v>2572</v>
      </c>
      <c r="C694" s="24">
        <v>45878.863109907397</v>
      </c>
      <c r="D694" s="23" t="s">
        <v>2056</v>
      </c>
      <c r="E694" s="23" t="s">
        <v>2057</v>
      </c>
      <c r="F694" s="23">
        <v>9</v>
      </c>
      <c r="G694" s="23">
        <v>642</v>
      </c>
      <c r="H694" s="23" t="s">
        <v>694</v>
      </c>
      <c r="I694" s="2">
        <f t="shared" si="20"/>
        <v>642</v>
      </c>
      <c r="J694" s="23" t="s">
        <v>601</v>
      </c>
      <c r="K694" s="25">
        <v>1</v>
      </c>
      <c r="L694" s="25">
        <v>0</v>
      </c>
      <c r="M694" s="26">
        <v>0</v>
      </c>
      <c r="N694" s="23" t="s">
        <v>602</v>
      </c>
      <c r="O694" s="23" t="s">
        <v>17</v>
      </c>
      <c r="P694" s="23" t="s">
        <v>18</v>
      </c>
      <c r="Q694" s="23" t="s">
        <v>18</v>
      </c>
      <c r="R694" s="23" t="s">
        <v>2494</v>
      </c>
      <c r="S694" s="23" t="s">
        <v>2495</v>
      </c>
      <c r="T694" s="23" t="s">
        <v>2496</v>
      </c>
      <c r="U694" s="23" t="s">
        <v>2497</v>
      </c>
      <c r="V694" s="23" t="s">
        <v>672</v>
      </c>
      <c r="W694" s="23">
        <f t="shared" si="21"/>
        <v>3</v>
      </c>
      <c r="X694" s="8">
        <v>0</v>
      </c>
    </row>
    <row r="695" spans="1:24" s="23" customFormat="1" ht="41.5" customHeight="1">
      <c r="A695" s="23" t="s">
        <v>2492</v>
      </c>
      <c r="B695" s="23" t="s">
        <v>2572</v>
      </c>
      <c r="C695" s="24">
        <v>45878.863109907397</v>
      </c>
      <c r="D695" s="23" t="s">
        <v>2056</v>
      </c>
      <c r="E695" s="23" t="s">
        <v>2057</v>
      </c>
      <c r="F695" s="23">
        <v>10</v>
      </c>
      <c r="G695" s="23">
        <v>642</v>
      </c>
      <c r="H695" s="23" t="s">
        <v>695</v>
      </c>
      <c r="I695" s="2">
        <f t="shared" si="20"/>
        <v>642</v>
      </c>
      <c r="J695" s="23" t="s">
        <v>601</v>
      </c>
      <c r="K695" s="25">
        <v>1</v>
      </c>
      <c r="L695" s="25">
        <v>0</v>
      </c>
      <c r="M695" s="26">
        <v>0</v>
      </c>
      <c r="N695" s="23" t="s">
        <v>602</v>
      </c>
      <c r="O695" s="23" t="s">
        <v>17</v>
      </c>
      <c r="P695" s="23" t="s">
        <v>18</v>
      </c>
      <c r="Q695" s="23" t="s">
        <v>18</v>
      </c>
      <c r="R695" s="23" t="s">
        <v>2494</v>
      </c>
      <c r="S695" s="23" t="s">
        <v>2495</v>
      </c>
      <c r="T695" s="23" t="s">
        <v>2496</v>
      </c>
      <c r="U695" s="23" t="s">
        <v>2497</v>
      </c>
      <c r="V695" s="23" t="s">
        <v>672</v>
      </c>
      <c r="W695" s="23">
        <f t="shared" si="21"/>
        <v>3</v>
      </c>
      <c r="X695" s="8">
        <v>0</v>
      </c>
    </row>
    <row r="696" spans="1:24" s="23" customFormat="1" ht="41.5" customHeight="1">
      <c r="A696" s="23" t="s">
        <v>2492</v>
      </c>
      <c r="B696" s="23" t="s">
        <v>2572</v>
      </c>
      <c r="C696" s="24">
        <v>45878.863109907397</v>
      </c>
      <c r="D696" s="23" t="s">
        <v>2056</v>
      </c>
      <c r="E696" s="23" t="s">
        <v>2057</v>
      </c>
      <c r="F696" s="23">
        <v>11</v>
      </c>
      <c r="G696" s="2">
        <v>642</v>
      </c>
      <c r="H696" s="23" t="s">
        <v>691</v>
      </c>
      <c r="I696" s="2">
        <f t="shared" si="20"/>
        <v>642</v>
      </c>
      <c r="J696" s="23" t="s">
        <v>601</v>
      </c>
      <c r="K696" s="25">
        <v>1</v>
      </c>
      <c r="L696" s="25">
        <v>0</v>
      </c>
      <c r="M696" s="26">
        <v>0</v>
      </c>
      <c r="N696" s="23" t="s">
        <v>602</v>
      </c>
      <c r="O696" s="23" t="s">
        <v>17</v>
      </c>
      <c r="P696" s="23" t="s">
        <v>18</v>
      </c>
      <c r="Q696" s="23" t="s">
        <v>18</v>
      </c>
      <c r="R696" s="23" t="s">
        <v>2494</v>
      </c>
      <c r="S696" s="23" t="s">
        <v>2495</v>
      </c>
      <c r="T696" s="23" t="s">
        <v>2496</v>
      </c>
      <c r="U696" s="23" t="s">
        <v>2497</v>
      </c>
      <c r="V696" s="23" t="s">
        <v>672</v>
      </c>
      <c r="W696" s="23">
        <f t="shared" si="21"/>
        <v>3</v>
      </c>
      <c r="X696" s="8">
        <v>0</v>
      </c>
    </row>
    <row r="697" spans="1:24" s="23" customFormat="1" ht="41.5" customHeight="1">
      <c r="A697" s="23" t="s">
        <v>2492</v>
      </c>
      <c r="B697" s="23" t="s">
        <v>2572</v>
      </c>
      <c r="C697" s="24">
        <v>45878.863109907397</v>
      </c>
      <c r="D697" s="23" t="s">
        <v>2056</v>
      </c>
      <c r="E697" s="23" t="s">
        <v>2057</v>
      </c>
      <c r="F697" s="23">
        <v>12</v>
      </c>
      <c r="G697" s="23">
        <v>642</v>
      </c>
      <c r="H697" s="23" t="s">
        <v>687</v>
      </c>
      <c r="I697" s="2">
        <f t="shared" si="20"/>
        <v>642</v>
      </c>
      <c r="J697" s="23" t="s">
        <v>601</v>
      </c>
      <c r="K697" s="25">
        <v>1</v>
      </c>
      <c r="L697" s="25">
        <v>0</v>
      </c>
      <c r="M697" s="26">
        <v>0</v>
      </c>
      <c r="N697" s="23" t="s">
        <v>602</v>
      </c>
      <c r="O697" s="23" t="s">
        <v>17</v>
      </c>
      <c r="P697" s="23" t="s">
        <v>18</v>
      </c>
      <c r="Q697" s="23" t="s">
        <v>18</v>
      </c>
      <c r="R697" s="23" t="s">
        <v>2494</v>
      </c>
      <c r="S697" s="23" t="s">
        <v>2495</v>
      </c>
      <c r="T697" s="23" t="s">
        <v>2496</v>
      </c>
      <c r="U697" s="23" t="s">
        <v>2497</v>
      </c>
      <c r="V697" s="23" t="s">
        <v>672</v>
      </c>
      <c r="W697" s="23">
        <f t="shared" si="21"/>
        <v>3</v>
      </c>
      <c r="X697" s="8">
        <v>0</v>
      </c>
    </row>
    <row r="698" spans="1:24" s="8" customFormat="1" ht="41.5" customHeight="1">
      <c r="A698" s="8" t="s">
        <v>2323</v>
      </c>
      <c r="B698" s="8" t="s">
        <v>2573</v>
      </c>
      <c r="C698" s="9">
        <v>45900.761128611099</v>
      </c>
      <c r="D698" s="8" t="s">
        <v>2056</v>
      </c>
      <c r="E698" s="8" t="s">
        <v>2057</v>
      </c>
      <c r="F698" s="8">
        <v>1</v>
      </c>
      <c r="G698" s="2"/>
      <c r="H698" s="8" t="s">
        <v>696</v>
      </c>
      <c r="I698" s="2">
        <f t="shared" si="20"/>
        <v>0</v>
      </c>
      <c r="J698" s="8" t="s">
        <v>46</v>
      </c>
      <c r="K698" s="10">
        <v>1</v>
      </c>
      <c r="L698" s="10">
        <v>274074</v>
      </c>
      <c r="M698" s="11">
        <v>274074</v>
      </c>
      <c r="N698" s="8" t="s">
        <v>16</v>
      </c>
      <c r="O698" s="8" t="s">
        <v>17</v>
      </c>
      <c r="P698" s="8" t="s">
        <v>18</v>
      </c>
      <c r="Q698" s="8" t="s">
        <v>18</v>
      </c>
      <c r="R698" s="8" t="s">
        <v>2156</v>
      </c>
      <c r="S698" s="8" t="s">
        <v>2157</v>
      </c>
      <c r="T698" s="8" t="s">
        <v>2158</v>
      </c>
      <c r="U698" s="8" t="s">
        <v>2159</v>
      </c>
      <c r="V698" s="8" t="s">
        <v>697</v>
      </c>
      <c r="W698" s="8">
        <f t="shared" si="21"/>
        <v>3</v>
      </c>
      <c r="X698" s="8">
        <f>K698*L698*N698</f>
        <v>21925.920000000002</v>
      </c>
    </row>
    <row r="699" spans="1:24" s="8" customFormat="1" ht="41.5" customHeight="1">
      <c r="A699" s="8" t="s">
        <v>2323</v>
      </c>
      <c r="B699" s="8" t="s">
        <v>2573</v>
      </c>
      <c r="C699" s="9">
        <v>45900.761128611099</v>
      </c>
      <c r="D699" s="8" t="s">
        <v>2056</v>
      </c>
      <c r="E699" s="8" t="s">
        <v>2057</v>
      </c>
      <c r="F699" s="8">
        <v>2</v>
      </c>
      <c r="G699" s="2"/>
      <c r="H699" s="8" t="s">
        <v>696</v>
      </c>
      <c r="I699" s="2">
        <f t="shared" si="20"/>
        <v>0</v>
      </c>
      <c r="J699" s="8" t="s">
        <v>46</v>
      </c>
      <c r="K699" s="10">
        <v>1</v>
      </c>
      <c r="L699" s="10">
        <v>925926</v>
      </c>
      <c r="M699" s="11">
        <v>925926</v>
      </c>
      <c r="N699" s="8" t="s">
        <v>16</v>
      </c>
      <c r="O699" s="8" t="s">
        <v>17</v>
      </c>
      <c r="P699" s="8" t="s">
        <v>18</v>
      </c>
      <c r="Q699" s="8" t="s">
        <v>18</v>
      </c>
      <c r="R699" s="8" t="s">
        <v>2156</v>
      </c>
      <c r="S699" s="8" t="s">
        <v>2157</v>
      </c>
      <c r="T699" s="8" t="s">
        <v>2158</v>
      </c>
      <c r="U699" s="8" t="s">
        <v>2159</v>
      </c>
      <c r="V699" s="8" t="s">
        <v>697</v>
      </c>
      <c r="W699" s="8">
        <f t="shared" si="21"/>
        <v>3</v>
      </c>
      <c r="X699" s="8">
        <f>K699*L699*N699</f>
        <v>74074.080000000002</v>
      </c>
    </row>
    <row r="700" spans="1:24" s="8" customFormat="1" ht="41.5" customHeight="1">
      <c r="A700" s="8" t="s">
        <v>2323</v>
      </c>
      <c r="B700" s="8" t="s">
        <v>2573</v>
      </c>
      <c r="C700" s="9">
        <v>45900.761128611099</v>
      </c>
      <c r="D700" s="8" t="s">
        <v>2056</v>
      </c>
      <c r="E700" s="8" t="s">
        <v>2057</v>
      </c>
      <c r="F700" s="8">
        <v>3</v>
      </c>
      <c r="G700" s="2"/>
      <c r="H700" s="8" t="s">
        <v>696</v>
      </c>
      <c r="I700" s="2">
        <f t="shared" si="20"/>
        <v>0</v>
      </c>
      <c r="J700" s="8" t="s">
        <v>46</v>
      </c>
      <c r="K700" s="10">
        <v>1</v>
      </c>
      <c r="L700" s="10">
        <v>416667</v>
      </c>
      <c r="M700" s="11">
        <v>416667</v>
      </c>
      <c r="N700" s="8" t="s">
        <v>16</v>
      </c>
      <c r="O700" s="8" t="s">
        <v>17</v>
      </c>
      <c r="P700" s="8" t="s">
        <v>18</v>
      </c>
      <c r="Q700" s="8" t="s">
        <v>18</v>
      </c>
      <c r="R700" s="8" t="s">
        <v>2156</v>
      </c>
      <c r="S700" s="8" t="s">
        <v>2157</v>
      </c>
      <c r="T700" s="8" t="s">
        <v>2158</v>
      </c>
      <c r="U700" s="8" t="s">
        <v>2159</v>
      </c>
      <c r="V700" s="8" t="s">
        <v>697</v>
      </c>
      <c r="W700" s="8">
        <f t="shared" si="21"/>
        <v>3</v>
      </c>
      <c r="X700" s="8">
        <f>K700*L700*N700</f>
        <v>33333.360000000001</v>
      </c>
    </row>
    <row r="701" spans="1:24" s="8" customFormat="1" ht="41.5" customHeight="1">
      <c r="A701" s="8" t="s">
        <v>2323</v>
      </c>
      <c r="B701" s="8" t="s">
        <v>2574</v>
      </c>
      <c r="C701" s="9">
        <v>45893.639125868103</v>
      </c>
      <c r="D701" s="8" t="s">
        <v>2056</v>
      </c>
      <c r="E701" s="8" t="s">
        <v>2057</v>
      </c>
      <c r="F701" s="8">
        <v>1</v>
      </c>
      <c r="G701" s="22" t="s">
        <v>2268</v>
      </c>
      <c r="H701" s="8" t="s">
        <v>698</v>
      </c>
      <c r="I701" s="2" t="str">
        <f t="shared" si="20"/>
        <v>Bồn Inox 1200N</v>
      </c>
      <c r="J701" s="8" t="s">
        <v>15</v>
      </c>
      <c r="K701" s="10">
        <v>1</v>
      </c>
      <c r="L701" s="10">
        <v>2818519</v>
      </c>
      <c r="M701" s="11">
        <v>2818519</v>
      </c>
      <c r="N701" s="8" t="s">
        <v>16</v>
      </c>
      <c r="O701" s="8" t="s">
        <v>17</v>
      </c>
      <c r="P701" s="8" t="s">
        <v>18</v>
      </c>
      <c r="Q701" s="8" t="s">
        <v>18</v>
      </c>
      <c r="R701" s="8" t="s">
        <v>2156</v>
      </c>
      <c r="S701" s="8" t="s">
        <v>2157</v>
      </c>
      <c r="T701" s="8" t="s">
        <v>2158</v>
      </c>
      <c r="U701" s="8" t="s">
        <v>2159</v>
      </c>
      <c r="V701" s="8" t="s">
        <v>699</v>
      </c>
      <c r="W701" s="8">
        <f t="shared" si="21"/>
        <v>3</v>
      </c>
      <c r="X701" s="8">
        <f>K701*L701*N701</f>
        <v>225481.52000000002</v>
      </c>
    </row>
    <row r="702" spans="1:24" s="8" customFormat="1" ht="41.5" customHeight="1">
      <c r="A702" s="8" t="s">
        <v>2323</v>
      </c>
      <c r="B702" s="8" t="s">
        <v>2574</v>
      </c>
      <c r="C702" s="9">
        <v>45893.639125868103</v>
      </c>
      <c r="D702" s="8" t="s">
        <v>2056</v>
      </c>
      <c r="E702" s="8" t="s">
        <v>2057</v>
      </c>
      <c r="F702" s="8">
        <v>2</v>
      </c>
      <c r="G702" s="22" t="s">
        <v>2268</v>
      </c>
      <c r="H702" s="8" t="s">
        <v>700</v>
      </c>
      <c r="I702" s="2" t="str">
        <f t="shared" si="20"/>
        <v>Bồn Inox 1200N</v>
      </c>
      <c r="J702" s="8" t="s">
        <v>15</v>
      </c>
      <c r="K702" s="10">
        <v>1</v>
      </c>
      <c r="L702" s="10">
        <v>0</v>
      </c>
      <c r="M702" s="11">
        <v>0</v>
      </c>
      <c r="N702" s="8" t="s">
        <v>16</v>
      </c>
      <c r="O702" s="8" t="s">
        <v>17</v>
      </c>
      <c r="P702" s="8" t="s">
        <v>18</v>
      </c>
      <c r="Q702" s="8" t="s">
        <v>18</v>
      </c>
      <c r="R702" s="8" t="s">
        <v>2156</v>
      </c>
      <c r="S702" s="8" t="s">
        <v>2157</v>
      </c>
      <c r="T702" s="8" t="s">
        <v>2158</v>
      </c>
      <c r="U702" s="8" t="s">
        <v>2159</v>
      </c>
      <c r="V702" s="8" t="s">
        <v>699</v>
      </c>
      <c r="W702" s="8">
        <f t="shared" si="21"/>
        <v>3</v>
      </c>
      <c r="X702" s="8">
        <f>K702*L702*N702</f>
        <v>0</v>
      </c>
    </row>
    <row r="703" spans="1:24" s="8" customFormat="1" ht="41.5" customHeight="1">
      <c r="A703" s="8" t="s">
        <v>2323</v>
      </c>
      <c r="B703" s="8" t="s">
        <v>2575</v>
      </c>
      <c r="C703" s="9">
        <v>45883.7238547569</v>
      </c>
      <c r="D703" s="8" t="s">
        <v>2056</v>
      </c>
      <c r="E703" s="8" t="s">
        <v>2057</v>
      </c>
      <c r="F703" s="8">
        <v>1</v>
      </c>
      <c r="G703" s="22" t="s">
        <v>2269</v>
      </c>
      <c r="H703" s="8" t="s">
        <v>701</v>
      </c>
      <c r="I703" s="2" t="str">
        <f t="shared" si="20"/>
        <v>Bồn nhựa 500D</v>
      </c>
      <c r="J703" s="8" t="s">
        <v>53</v>
      </c>
      <c r="K703" s="10">
        <v>2</v>
      </c>
      <c r="L703" s="10">
        <v>1004629</v>
      </c>
      <c r="M703" s="11">
        <v>2009258</v>
      </c>
      <c r="N703" s="8" t="s">
        <v>16</v>
      </c>
      <c r="O703" s="8" t="s">
        <v>17</v>
      </c>
      <c r="P703" s="8" t="s">
        <v>18</v>
      </c>
      <c r="Q703" s="8" t="s">
        <v>18</v>
      </c>
      <c r="R703" s="8" t="s">
        <v>2156</v>
      </c>
      <c r="S703" s="8" t="s">
        <v>2157</v>
      </c>
      <c r="T703" s="8" t="s">
        <v>2158</v>
      </c>
      <c r="U703" s="8" t="s">
        <v>2159</v>
      </c>
      <c r="V703" s="8" t="s">
        <v>678</v>
      </c>
      <c r="W703" s="8">
        <f t="shared" si="21"/>
        <v>3</v>
      </c>
      <c r="X703" s="8">
        <f>K703*L703*N703</f>
        <v>160740.64000000001</v>
      </c>
    </row>
    <row r="704" spans="1:24" s="8" customFormat="1" ht="41.5" customHeight="1">
      <c r="A704" s="8" t="s">
        <v>2323</v>
      </c>
      <c r="B704" s="8" t="s">
        <v>2575</v>
      </c>
      <c r="C704" s="9">
        <v>45883.7238547569</v>
      </c>
      <c r="D704" s="8" t="s">
        <v>2056</v>
      </c>
      <c r="E704" s="8" t="s">
        <v>2057</v>
      </c>
      <c r="F704" s="8">
        <v>2</v>
      </c>
      <c r="G704" s="22" t="s">
        <v>2270</v>
      </c>
      <c r="H704" s="8" t="s">
        <v>702</v>
      </c>
      <c r="I704" s="2" t="str">
        <f t="shared" si="20"/>
        <v>Bồn nhựa 500N</v>
      </c>
      <c r="J704" s="8" t="s">
        <v>53</v>
      </c>
      <c r="K704" s="10">
        <v>2</v>
      </c>
      <c r="L704" s="10">
        <v>1189815</v>
      </c>
      <c r="M704" s="11">
        <v>2379630</v>
      </c>
      <c r="N704" s="8" t="s">
        <v>16</v>
      </c>
      <c r="O704" s="8" t="s">
        <v>17</v>
      </c>
      <c r="P704" s="8" t="s">
        <v>18</v>
      </c>
      <c r="Q704" s="8" t="s">
        <v>18</v>
      </c>
      <c r="R704" s="8" t="s">
        <v>2156</v>
      </c>
      <c r="S704" s="8" t="s">
        <v>2157</v>
      </c>
      <c r="T704" s="8" t="s">
        <v>2158</v>
      </c>
      <c r="U704" s="8" t="s">
        <v>2159</v>
      </c>
      <c r="V704" s="8" t="s">
        <v>678</v>
      </c>
      <c r="W704" s="8">
        <f t="shared" si="21"/>
        <v>3</v>
      </c>
      <c r="X704" s="8">
        <f>K704*L704*N704</f>
        <v>190370.4</v>
      </c>
    </row>
    <row r="705" spans="1:24" s="8" customFormat="1" ht="41.5" customHeight="1">
      <c r="A705" s="8" t="s">
        <v>2323</v>
      </c>
      <c r="B705" s="8" t="s">
        <v>2576</v>
      </c>
      <c r="C705" s="9">
        <v>45880.713483669002</v>
      </c>
      <c r="D705" s="8" t="s">
        <v>2056</v>
      </c>
      <c r="E705" s="8" t="s">
        <v>2057</v>
      </c>
      <c r="F705" s="8">
        <v>1</v>
      </c>
      <c r="G705" s="22" t="s">
        <v>2271</v>
      </c>
      <c r="H705" s="8" t="s">
        <v>703</v>
      </c>
      <c r="I705" s="2" t="str">
        <f t="shared" si="20"/>
        <v>Bồn nhựa 1500N</v>
      </c>
      <c r="J705" s="8" t="s">
        <v>53</v>
      </c>
      <c r="K705" s="10">
        <v>1</v>
      </c>
      <c r="L705" s="10">
        <v>3337962</v>
      </c>
      <c r="M705" s="11">
        <v>3337962</v>
      </c>
      <c r="N705" s="8" t="s">
        <v>16</v>
      </c>
      <c r="O705" s="8" t="s">
        <v>17</v>
      </c>
      <c r="P705" s="8" t="s">
        <v>18</v>
      </c>
      <c r="Q705" s="8" t="s">
        <v>18</v>
      </c>
      <c r="R705" s="8" t="s">
        <v>2156</v>
      </c>
      <c r="S705" s="8" t="s">
        <v>2157</v>
      </c>
      <c r="T705" s="8" t="s">
        <v>2158</v>
      </c>
      <c r="U705" s="8" t="s">
        <v>2159</v>
      </c>
      <c r="V705" s="8" t="s">
        <v>704</v>
      </c>
      <c r="W705" s="8">
        <f t="shared" si="21"/>
        <v>3</v>
      </c>
      <c r="X705" s="8">
        <f>K705*L705*N705</f>
        <v>267036.96000000002</v>
      </c>
    </row>
    <row r="706" spans="1:24" s="8" customFormat="1" ht="41.5" customHeight="1">
      <c r="A706" s="8" t="s">
        <v>2323</v>
      </c>
      <c r="B706" s="8" t="s">
        <v>2577</v>
      </c>
      <c r="C706" s="9">
        <v>45877.772040138902</v>
      </c>
      <c r="D706" s="8" t="s">
        <v>2056</v>
      </c>
      <c r="E706" s="8" t="s">
        <v>2057</v>
      </c>
      <c r="F706" s="8">
        <v>1</v>
      </c>
      <c r="G706" s="22" t="s">
        <v>2272</v>
      </c>
      <c r="H706" s="8" t="s">
        <v>705</v>
      </c>
      <c r="I706" s="2" t="str">
        <f t="shared" ref="I706:I769" si="22">G706</f>
        <v>Bồn Inox 1000D</v>
      </c>
      <c r="J706" s="8" t="s">
        <v>15</v>
      </c>
      <c r="K706" s="10">
        <v>1</v>
      </c>
      <c r="L706" s="10">
        <v>0</v>
      </c>
      <c r="M706" s="11">
        <v>0</v>
      </c>
      <c r="N706" s="8" t="s">
        <v>16</v>
      </c>
      <c r="O706" s="8" t="s">
        <v>17</v>
      </c>
      <c r="P706" s="8" t="s">
        <v>18</v>
      </c>
      <c r="Q706" s="8" t="s">
        <v>18</v>
      </c>
      <c r="R706" s="8" t="s">
        <v>2156</v>
      </c>
      <c r="S706" s="8" t="s">
        <v>2157</v>
      </c>
      <c r="T706" s="8" t="s">
        <v>2158</v>
      </c>
      <c r="U706" s="8" t="s">
        <v>2159</v>
      </c>
      <c r="V706" s="8" t="s">
        <v>706</v>
      </c>
      <c r="W706" s="8">
        <f t="shared" si="21"/>
        <v>3</v>
      </c>
      <c r="X706" s="8">
        <f>K706*L706*N706</f>
        <v>0</v>
      </c>
    </row>
    <row r="707" spans="1:24" s="8" customFormat="1" ht="41.5" customHeight="1">
      <c r="A707" s="8" t="s">
        <v>2323</v>
      </c>
      <c r="B707" s="8" t="s">
        <v>2577</v>
      </c>
      <c r="C707" s="9">
        <v>45877.772040138902</v>
      </c>
      <c r="D707" s="8" t="s">
        <v>2056</v>
      </c>
      <c r="E707" s="8" t="s">
        <v>2057</v>
      </c>
      <c r="F707" s="8">
        <v>2</v>
      </c>
      <c r="G707" s="22" t="s">
        <v>2272</v>
      </c>
      <c r="H707" s="8" t="s">
        <v>707</v>
      </c>
      <c r="I707" s="2" t="str">
        <f t="shared" si="22"/>
        <v>Bồn Inox 1000D</v>
      </c>
      <c r="J707" s="8" t="s">
        <v>15</v>
      </c>
      <c r="K707" s="10">
        <v>1</v>
      </c>
      <c r="L707" s="10">
        <v>2833334</v>
      </c>
      <c r="M707" s="11">
        <v>2833334</v>
      </c>
      <c r="N707" s="8" t="s">
        <v>16</v>
      </c>
      <c r="O707" s="8" t="s">
        <v>17</v>
      </c>
      <c r="P707" s="8" t="s">
        <v>18</v>
      </c>
      <c r="Q707" s="8" t="s">
        <v>18</v>
      </c>
      <c r="R707" s="8" t="s">
        <v>2156</v>
      </c>
      <c r="S707" s="8" t="s">
        <v>2157</v>
      </c>
      <c r="T707" s="8" t="s">
        <v>2158</v>
      </c>
      <c r="U707" s="8" t="s">
        <v>2159</v>
      </c>
      <c r="V707" s="8" t="s">
        <v>706</v>
      </c>
      <c r="W707" s="8">
        <f t="shared" si="21"/>
        <v>3</v>
      </c>
      <c r="X707" s="8">
        <f>K707*L707*N707</f>
        <v>226666.72</v>
      </c>
    </row>
    <row r="708" spans="1:24" s="8" customFormat="1" ht="41.5" customHeight="1">
      <c r="A708" s="8" t="s">
        <v>2323</v>
      </c>
      <c r="B708" s="8" t="s">
        <v>2578</v>
      </c>
      <c r="C708" s="9">
        <v>45876.7312887847</v>
      </c>
      <c r="D708" s="8" t="s">
        <v>2056</v>
      </c>
      <c r="E708" s="8" t="s">
        <v>2057</v>
      </c>
      <c r="F708" s="8">
        <v>1</v>
      </c>
      <c r="G708" s="22" t="s">
        <v>2273</v>
      </c>
      <c r="H708" s="8" t="s">
        <v>708</v>
      </c>
      <c r="I708" s="2" t="str">
        <f t="shared" si="22"/>
        <v>Bồn inox 1000N</v>
      </c>
      <c r="J708" s="8" t="s">
        <v>15</v>
      </c>
      <c r="K708" s="10">
        <v>1</v>
      </c>
      <c r="L708" s="10">
        <v>3111111</v>
      </c>
      <c r="M708" s="11">
        <v>3111111</v>
      </c>
      <c r="N708" s="8" t="s">
        <v>16</v>
      </c>
      <c r="O708" s="8" t="s">
        <v>17</v>
      </c>
      <c r="P708" s="8" t="s">
        <v>18</v>
      </c>
      <c r="Q708" s="8" t="s">
        <v>18</v>
      </c>
      <c r="R708" s="8" t="s">
        <v>2156</v>
      </c>
      <c r="S708" s="8" t="s">
        <v>2157</v>
      </c>
      <c r="T708" s="8" t="s">
        <v>2158</v>
      </c>
      <c r="U708" s="8" t="s">
        <v>2159</v>
      </c>
      <c r="V708" s="8" t="s">
        <v>709</v>
      </c>
      <c r="W708" s="8">
        <f t="shared" si="21"/>
        <v>3</v>
      </c>
      <c r="X708" s="8">
        <f>K708*L708*N708</f>
        <v>248888.88</v>
      </c>
    </row>
    <row r="709" spans="1:24" s="8" customFormat="1" ht="41.5" customHeight="1">
      <c r="A709" s="8" t="s">
        <v>2323</v>
      </c>
      <c r="B709" s="8" t="s">
        <v>2578</v>
      </c>
      <c r="C709" s="9">
        <v>45876.7312887847</v>
      </c>
      <c r="D709" s="8" t="s">
        <v>2056</v>
      </c>
      <c r="E709" s="8" t="s">
        <v>2057</v>
      </c>
      <c r="F709" s="8">
        <v>2</v>
      </c>
      <c r="G709" s="22" t="s">
        <v>2273</v>
      </c>
      <c r="H709" s="8" t="s">
        <v>710</v>
      </c>
      <c r="I709" s="2" t="str">
        <f t="shared" si="22"/>
        <v>Bồn inox 1000N</v>
      </c>
      <c r="J709" s="8" t="s">
        <v>15</v>
      </c>
      <c r="K709" s="10">
        <v>1</v>
      </c>
      <c r="L709" s="10">
        <v>0</v>
      </c>
      <c r="M709" s="11">
        <v>0</v>
      </c>
      <c r="N709" s="8" t="s">
        <v>16</v>
      </c>
      <c r="O709" s="8" t="s">
        <v>17</v>
      </c>
      <c r="P709" s="8" t="s">
        <v>18</v>
      </c>
      <c r="Q709" s="8" t="s">
        <v>18</v>
      </c>
      <c r="R709" s="8" t="s">
        <v>2156</v>
      </c>
      <c r="S709" s="8" t="s">
        <v>2157</v>
      </c>
      <c r="T709" s="8" t="s">
        <v>2158</v>
      </c>
      <c r="U709" s="8" t="s">
        <v>2159</v>
      </c>
      <c r="V709" s="8" t="s">
        <v>709</v>
      </c>
      <c r="W709" s="8">
        <f t="shared" si="21"/>
        <v>3</v>
      </c>
      <c r="X709" s="8">
        <f>K709*L709*N709</f>
        <v>0</v>
      </c>
    </row>
    <row r="710" spans="1:24" s="8" customFormat="1" ht="41.5" customHeight="1">
      <c r="A710" s="8" t="s">
        <v>2323</v>
      </c>
      <c r="B710" s="8" t="s">
        <v>2578</v>
      </c>
      <c r="C710" s="9">
        <v>45876.7312887847</v>
      </c>
      <c r="D710" s="8" t="s">
        <v>2056</v>
      </c>
      <c r="E710" s="8" t="s">
        <v>2057</v>
      </c>
      <c r="F710" s="8">
        <v>3</v>
      </c>
      <c r="G710" s="22" t="s">
        <v>2272</v>
      </c>
      <c r="H710" s="8" t="s">
        <v>711</v>
      </c>
      <c r="I710" s="2" t="str">
        <f t="shared" si="22"/>
        <v>Bồn Inox 1000D</v>
      </c>
      <c r="J710" s="8" t="s">
        <v>15</v>
      </c>
      <c r="K710" s="10">
        <v>1</v>
      </c>
      <c r="L710" s="10">
        <v>2333334</v>
      </c>
      <c r="M710" s="11">
        <v>2333334</v>
      </c>
      <c r="N710" s="8" t="s">
        <v>16</v>
      </c>
      <c r="O710" s="8" t="s">
        <v>17</v>
      </c>
      <c r="P710" s="8" t="s">
        <v>18</v>
      </c>
      <c r="Q710" s="8" t="s">
        <v>18</v>
      </c>
      <c r="R710" s="8" t="s">
        <v>2156</v>
      </c>
      <c r="S710" s="8" t="s">
        <v>2157</v>
      </c>
      <c r="T710" s="8" t="s">
        <v>2158</v>
      </c>
      <c r="U710" s="8" t="s">
        <v>2159</v>
      </c>
      <c r="V710" s="8" t="s">
        <v>709</v>
      </c>
      <c r="W710" s="8">
        <f t="shared" si="21"/>
        <v>3</v>
      </c>
      <c r="X710" s="8">
        <f>K710*L710*N710</f>
        <v>186666.72</v>
      </c>
    </row>
    <row r="711" spans="1:24" s="8" customFormat="1" ht="41.5" customHeight="1">
      <c r="A711" s="8" t="s">
        <v>2323</v>
      </c>
      <c r="B711" s="8" t="s">
        <v>2578</v>
      </c>
      <c r="C711" s="9">
        <v>45876.7312887847</v>
      </c>
      <c r="D711" s="8" t="s">
        <v>2056</v>
      </c>
      <c r="E711" s="8" t="s">
        <v>2057</v>
      </c>
      <c r="F711" s="8">
        <v>4</v>
      </c>
      <c r="G711" s="22" t="s">
        <v>2277</v>
      </c>
      <c r="H711" s="8" t="s">
        <v>712</v>
      </c>
      <c r="I711" s="2" t="str">
        <f t="shared" si="22"/>
        <v>Bồn inox 1500N</v>
      </c>
      <c r="J711" s="8" t="s">
        <v>15</v>
      </c>
      <c r="K711" s="10">
        <v>1</v>
      </c>
      <c r="L711" s="10">
        <v>0</v>
      </c>
      <c r="M711" s="11">
        <v>0</v>
      </c>
      <c r="N711" s="8" t="s">
        <v>16</v>
      </c>
      <c r="O711" s="8" t="s">
        <v>17</v>
      </c>
      <c r="P711" s="8" t="s">
        <v>18</v>
      </c>
      <c r="Q711" s="8" t="s">
        <v>18</v>
      </c>
      <c r="R711" s="8" t="s">
        <v>2156</v>
      </c>
      <c r="S711" s="8" t="s">
        <v>2157</v>
      </c>
      <c r="T711" s="8" t="s">
        <v>2158</v>
      </c>
      <c r="U711" s="8" t="s">
        <v>2159</v>
      </c>
      <c r="V711" s="8" t="s">
        <v>709</v>
      </c>
      <c r="W711" s="8">
        <f t="shared" si="21"/>
        <v>3</v>
      </c>
      <c r="X711" s="8">
        <f>K711*L711*N711</f>
        <v>0</v>
      </c>
    </row>
    <row r="712" spans="1:24" s="8" customFormat="1" ht="41.5" customHeight="1">
      <c r="A712" s="8" t="s">
        <v>2323</v>
      </c>
      <c r="B712" s="8" t="s">
        <v>2579</v>
      </c>
      <c r="C712" s="9">
        <v>45875.680696215299</v>
      </c>
      <c r="D712" s="8" t="s">
        <v>2056</v>
      </c>
      <c r="E712" s="8" t="s">
        <v>2057</v>
      </c>
      <c r="F712" s="8">
        <v>1</v>
      </c>
      <c r="G712" s="22" t="s">
        <v>2277</v>
      </c>
      <c r="H712" s="8" t="s">
        <v>713</v>
      </c>
      <c r="I712" s="2" t="str">
        <f t="shared" si="22"/>
        <v>Bồn inox 1500N</v>
      </c>
      <c r="J712" s="8" t="s">
        <v>15</v>
      </c>
      <c r="K712" s="10">
        <v>1</v>
      </c>
      <c r="L712" s="10">
        <v>4546297</v>
      </c>
      <c r="M712" s="11">
        <v>4546297</v>
      </c>
      <c r="N712" s="8" t="s">
        <v>16</v>
      </c>
      <c r="O712" s="8" t="s">
        <v>17</v>
      </c>
      <c r="P712" s="8" t="s">
        <v>18</v>
      </c>
      <c r="Q712" s="8" t="s">
        <v>18</v>
      </c>
      <c r="R712" s="8" t="s">
        <v>2156</v>
      </c>
      <c r="S712" s="8" t="s">
        <v>2157</v>
      </c>
      <c r="T712" s="8" t="s">
        <v>2158</v>
      </c>
      <c r="U712" s="8" t="s">
        <v>2159</v>
      </c>
      <c r="V712" s="8" t="s">
        <v>669</v>
      </c>
      <c r="W712" s="8">
        <f t="shared" si="21"/>
        <v>3</v>
      </c>
      <c r="X712" s="8">
        <f>K712*L712*N712</f>
        <v>363703.76</v>
      </c>
    </row>
    <row r="713" spans="1:24" s="8" customFormat="1" ht="41.5" customHeight="1">
      <c r="A713" s="8" t="s">
        <v>2323</v>
      </c>
      <c r="B713" s="8" t="s">
        <v>2579</v>
      </c>
      <c r="C713" s="9">
        <v>45875.680696215299</v>
      </c>
      <c r="D713" s="8" t="s">
        <v>2056</v>
      </c>
      <c r="E713" s="8" t="s">
        <v>2057</v>
      </c>
      <c r="F713" s="8">
        <v>2</v>
      </c>
      <c r="G713" s="22" t="s">
        <v>2277</v>
      </c>
      <c r="H713" s="8" t="s">
        <v>714</v>
      </c>
      <c r="I713" s="2" t="str">
        <f t="shared" si="22"/>
        <v>Bồn inox 1500N</v>
      </c>
      <c r="J713" s="8" t="s">
        <v>15</v>
      </c>
      <c r="K713" s="10">
        <v>1</v>
      </c>
      <c r="L713" s="10">
        <v>0</v>
      </c>
      <c r="M713" s="11">
        <v>0</v>
      </c>
      <c r="N713" s="8" t="s">
        <v>16</v>
      </c>
      <c r="O713" s="8" t="s">
        <v>17</v>
      </c>
      <c r="P713" s="8" t="s">
        <v>18</v>
      </c>
      <c r="Q713" s="8" t="s">
        <v>18</v>
      </c>
      <c r="R713" s="8" t="s">
        <v>2156</v>
      </c>
      <c r="S713" s="8" t="s">
        <v>2157</v>
      </c>
      <c r="T713" s="8" t="s">
        <v>2158</v>
      </c>
      <c r="U713" s="8" t="s">
        <v>2159</v>
      </c>
      <c r="V713" s="8" t="s">
        <v>669</v>
      </c>
      <c r="W713" s="8">
        <f t="shared" si="21"/>
        <v>3</v>
      </c>
      <c r="X713" s="8">
        <f>K713*L713*N713</f>
        <v>0</v>
      </c>
    </row>
    <row r="714" spans="1:24" s="8" customFormat="1" ht="41.5" customHeight="1">
      <c r="A714" s="8" t="s">
        <v>2323</v>
      </c>
      <c r="B714" s="8" t="s">
        <v>2580</v>
      </c>
      <c r="C714" s="9">
        <v>45875.680522546303</v>
      </c>
      <c r="D714" s="8" t="s">
        <v>2056</v>
      </c>
      <c r="E714" s="8" t="s">
        <v>2057</v>
      </c>
      <c r="F714" s="8">
        <v>1</v>
      </c>
      <c r="G714" s="22" t="s">
        <v>2277</v>
      </c>
      <c r="H714" s="8" t="s">
        <v>715</v>
      </c>
      <c r="I714" s="2" t="str">
        <f t="shared" si="22"/>
        <v>Bồn inox 1500N</v>
      </c>
      <c r="J714" s="8" t="s">
        <v>15</v>
      </c>
      <c r="K714" s="10">
        <v>1</v>
      </c>
      <c r="L714" s="10">
        <v>0</v>
      </c>
      <c r="M714" s="11">
        <v>0</v>
      </c>
      <c r="N714" s="8" t="s">
        <v>16</v>
      </c>
      <c r="O714" s="8" t="s">
        <v>17</v>
      </c>
      <c r="P714" s="8" t="s">
        <v>18</v>
      </c>
      <c r="Q714" s="8" t="s">
        <v>18</v>
      </c>
      <c r="R714" s="8" t="s">
        <v>2156</v>
      </c>
      <c r="S714" s="8" t="s">
        <v>2157</v>
      </c>
      <c r="T714" s="8" t="s">
        <v>2158</v>
      </c>
      <c r="U714" s="8" t="s">
        <v>2159</v>
      </c>
      <c r="V714" s="8" t="s">
        <v>669</v>
      </c>
      <c r="W714" s="8">
        <f t="shared" si="21"/>
        <v>3</v>
      </c>
      <c r="X714" s="8">
        <f>K714*L714*N714</f>
        <v>0</v>
      </c>
    </row>
    <row r="715" spans="1:24" s="8" customFormat="1" ht="41.5" customHeight="1">
      <c r="A715" s="8" t="s">
        <v>2323</v>
      </c>
      <c r="B715" s="8" t="s">
        <v>2580</v>
      </c>
      <c r="C715" s="9">
        <v>45875.680522546303</v>
      </c>
      <c r="D715" s="8" t="s">
        <v>2056</v>
      </c>
      <c r="E715" s="8" t="s">
        <v>2057</v>
      </c>
      <c r="F715" s="8">
        <v>2</v>
      </c>
      <c r="G715" s="22" t="s">
        <v>2277</v>
      </c>
      <c r="H715" s="8" t="s">
        <v>716</v>
      </c>
      <c r="I715" s="2" t="str">
        <f t="shared" si="22"/>
        <v>Bồn inox 1500N</v>
      </c>
      <c r="J715" s="8" t="s">
        <v>15</v>
      </c>
      <c r="K715" s="10">
        <v>1</v>
      </c>
      <c r="L715" s="10">
        <v>3916667</v>
      </c>
      <c r="M715" s="11">
        <v>3916667</v>
      </c>
      <c r="N715" s="8" t="s">
        <v>16</v>
      </c>
      <c r="O715" s="8" t="s">
        <v>17</v>
      </c>
      <c r="P715" s="8" t="s">
        <v>18</v>
      </c>
      <c r="Q715" s="8" t="s">
        <v>18</v>
      </c>
      <c r="R715" s="8" t="s">
        <v>2156</v>
      </c>
      <c r="S715" s="8" t="s">
        <v>2157</v>
      </c>
      <c r="T715" s="8" t="s">
        <v>2158</v>
      </c>
      <c r="U715" s="8" t="s">
        <v>2159</v>
      </c>
      <c r="V715" s="8" t="s">
        <v>669</v>
      </c>
      <c r="W715" s="8">
        <f t="shared" si="21"/>
        <v>3</v>
      </c>
      <c r="X715" s="8">
        <f>K715*L715*N715</f>
        <v>313333.36</v>
      </c>
    </row>
    <row r="716" spans="1:24" s="8" customFormat="1" ht="41.5" customHeight="1">
      <c r="A716" s="8" t="s">
        <v>2323</v>
      </c>
      <c r="B716" s="8" t="s">
        <v>2581</v>
      </c>
      <c r="C716" s="9">
        <v>45875.680181516203</v>
      </c>
      <c r="D716" s="8" t="s">
        <v>2056</v>
      </c>
      <c r="E716" s="8" t="s">
        <v>2057</v>
      </c>
      <c r="F716" s="8">
        <v>1</v>
      </c>
      <c r="G716" s="22" t="s">
        <v>2269</v>
      </c>
      <c r="H716" s="8" t="s">
        <v>701</v>
      </c>
      <c r="I716" s="2" t="str">
        <f t="shared" si="22"/>
        <v>Bồn nhựa 500D</v>
      </c>
      <c r="J716" s="8" t="s">
        <v>53</v>
      </c>
      <c r="K716" s="10">
        <v>3</v>
      </c>
      <c r="L716" s="10">
        <v>1004629</v>
      </c>
      <c r="M716" s="11">
        <v>3013887</v>
      </c>
      <c r="N716" s="8" t="s">
        <v>16</v>
      </c>
      <c r="O716" s="8" t="s">
        <v>17</v>
      </c>
      <c r="P716" s="8" t="s">
        <v>18</v>
      </c>
      <c r="Q716" s="8" t="s">
        <v>18</v>
      </c>
      <c r="R716" s="8" t="s">
        <v>2156</v>
      </c>
      <c r="S716" s="8" t="s">
        <v>2157</v>
      </c>
      <c r="T716" s="8" t="s">
        <v>2158</v>
      </c>
      <c r="U716" s="8" t="s">
        <v>2159</v>
      </c>
      <c r="V716" s="8" t="s">
        <v>669</v>
      </c>
      <c r="W716" s="8">
        <f t="shared" si="21"/>
        <v>3</v>
      </c>
      <c r="X716" s="8">
        <f>K716*L716*N716</f>
        <v>241110.96</v>
      </c>
    </row>
    <row r="717" spans="1:24" s="8" customFormat="1" ht="41.5" customHeight="1">
      <c r="A717" s="8" t="s">
        <v>2323</v>
      </c>
      <c r="B717" s="8" t="s">
        <v>2581</v>
      </c>
      <c r="C717" s="9">
        <v>45875.680181516203</v>
      </c>
      <c r="D717" s="8" t="s">
        <v>2056</v>
      </c>
      <c r="E717" s="8" t="s">
        <v>2057</v>
      </c>
      <c r="F717" s="8">
        <v>2</v>
      </c>
      <c r="G717" s="22" t="s">
        <v>2273</v>
      </c>
      <c r="H717" s="8" t="s">
        <v>708</v>
      </c>
      <c r="I717" s="2" t="str">
        <f t="shared" si="22"/>
        <v>Bồn inox 1000N</v>
      </c>
      <c r="J717" s="8" t="s">
        <v>15</v>
      </c>
      <c r="K717" s="10">
        <v>1</v>
      </c>
      <c r="L717" s="10">
        <v>3111111</v>
      </c>
      <c r="M717" s="11">
        <v>3111111</v>
      </c>
      <c r="N717" s="8" t="s">
        <v>16</v>
      </c>
      <c r="O717" s="8" t="s">
        <v>17</v>
      </c>
      <c r="P717" s="8" t="s">
        <v>18</v>
      </c>
      <c r="Q717" s="8" t="s">
        <v>18</v>
      </c>
      <c r="R717" s="8" t="s">
        <v>2156</v>
      </c>
      <c r="S717" s="8" t="s">
        <v>2157</v>
      </c>
      <c r="T717" s="8" t="s">
        <v>2158</v>
      </c>
      <c r="U717" s="8" t="s">
        <v>2159</v>
      </c>
      <c r="V717" s="8" t="s">
        <v>669</v>
      </c>
      <c r="W717" s="8">
        <f t="shared" si="21"/>
        <v>3</v>
      </c>
      <c r="X717" s="8">
        <f>K717*L717*N717</f>
        <v>248888.88</v>
      </c>
    </row>
    <row r="718" spans="1:24" s="8" customFormat="1" ht="41.5" customHeight="1">
      <c r="A718" s="8" t="s">
        <v>2323</v>
      </c>
      <c r="B718" s="8" t="s">
        <v>2581</v>
      </c>
      <c r="C718" s="9">
        <v>45875.680181516203</v>
      </c>
      <c r="D718" s="8" t="s">
        <v>2056</v>
      </c>
      <c r="E718" s="8" t="s">
        <v>2057</v>
      </c>
      <c r="F718" s="8">
        <v>3</v>
      </c>
      <c r="G718" s="22" t="s">
        <v>2273</v>
      </c>
      <c r="H718" s="8" t="s">
        <v>710</v>
      </c>
      <c r="I718" s="2" t="str">
        <f t="shared" si="22"/>
        <v>Bồn inox 1000N</v>
      </c>
      <c r="J718" s="8" t="s">
        <v>15</v>
      </c>
      <c r="K718" s="10">
        <v>1</v>
      </c>
      <c r="L718" s="10">
        <v>0</v>
      </c>
      <c r="M718" s="11">
        <v>0</v>
      </c>
      <c r="N718" s="8" t="s">
        <v>16</v>
      </c>
      <c r="O718" s="8" t="s">
        <v>17</v>
      </c>
      <c r="P718" s="8" t="s">
        <v>18</v>
      </c>
      <c r="Q718" s="8" t="s">
        <v>18</v>
      </c>
      <c r="R718" s="8" t="s">
        <v>2156</v>
      </c>
      <c r="S718" s="8" t="s">
        <v>2157</v>
      </c>
      <c r="T718" s="8" t="s">
        <v>2158</v>
      </c>
      <c r="U718" s="8" t="s">
        <v>2159</v>
      </c>
      <c r="V718" s="8" t="s">
        <v>669</v>
      </c>
      <c r="W718" s="8">
        <f t="shared" si="21"/>
        <v>3</v>
      </c>
      <c r="X718" s="8">
        <f>K718*L718*N718</f>
        <v>0</v>
      </c>
    </row>
    <row r="719" spans="1:24" s="8" customFormat="1" ht="41.5" customHeight="1">
      <c r="A719" s="8" t="s">
        <v>2366</v>
      </c>
      <c r="B719" s="8" t="s">
        <v>717</v>
      </c>
      <c r="C719" s="9">
        <v>45892.596737233798</v>
      </c>
      <c r="D719" s="8" t="s">
        <v>2056</v>
      </c>
      <c r="E719" s="8" t="s">
        <v>2057</v>
      </c>
      <c r="F719" s="8">
        <v>1</v>
      </c>
      <c r="G719" s="22" t="s">
        <v>820</v>
      </c>
      <c r="H719" s="8" t="s">
        <v>141</v>
      </c>
      <c r="I719" s="2" t="str">
        <f t="shared" si="22"/>
        <v>Tyren D16</v>
      </c>
      <c r="J719" s="8" t="s">
        <v>47</v>
      </c>
      <c r="K719" s="10">
        <v>3000</v>
      </c>
      <c r="L719" s="10">
        <v>19800</v>
      </c>
      <c r="M719" s="11">
        <v>59400000</v>
      </c>
      <c r="N719" s="8" t="s">
        <v>30</v>
      </c>
      <c r="O719" s="8" t="s">
        <v>17</v>
      </c>
      <c r="P719" s="8" t="s">
        <v>18</v>
      </c>
      <c r="Q719" s="8" t="s">
        <v>18</v>
      </c>
      <c r="R719" s="8" t="s">
        <v>2244</v>
      </c>
      <c r="S719" s="8" t="s">
        <v>2245</v>
      </c>
      <c r="T719" s="8" t="s">
        <v>2246</v>
      </c>
      <c r="U719" s="8" t="s">
        <v>2367</v>
      </c>
      <c r="V719" s="8" t="s">
        <v>686</v>
      </c>
      <c r="W719" s="8">
        <f t="shared" si="21"/>
        <v>3</v>
      </c>
      <c r="X719" s="8">
        <f>K719*L719*N719</f>
        <v>5940000</v>
      </c>
    </row>
    <row r="720" spans="1:24" s="8" customFormat="1" ht="41.5" customHeight="1">
      <c r="A720" s="8" t="s">
        <v>2329</v>
      </c>
      <c r="B720" s="8" t="s">
        <v>2582</v>
      </c>
      <c r="C720" s="9">
        <v>45884.713642048599</v>
      </c>
      <c r="D720" s="8" t="s">
        <v>2056</v>
      </c>
      <c r="E720" s="8" t="s">
        <v>2057</v>
      </c>
      <c r="F720" s="8">
        <v>1</v>
      </c>
      <c r="G720" s="22" t="s">
        <v>2260</v>
      </c>
      <c r="H720" s="8" t="s">
        <v>718</v>
      </c>
      <c r="I720" s="2" t="str">
        <f t="shared" si="22"/>
        <v>Máy cưa đĩa M5801</v>
      </c>
      <c r="J720" s="8" t="s">
        <v>15</v>
      </c>
      <c r="K720" s="10">
        <v>1</v>
      </c>
      <c r="L720" s="10">
        <v>1537037</v>
      </c>
      <c r="M720" s="11">
        <v>1537037</v>
      </c>
      <c r="N720" s="8" t="s">
        <v>16</v>
      </c>
      <c r="O720" s="8" t="s">
        <v>17</v>
      </c>
      <c r="P720" s="8" t="s">
        <v>18</v>
      </c>
      <c r="Q720" s="8" t="s">
        <v>18</v>
      </c>
      <c r="R720" s="8" t="s">
        <v>2115</v>
      </c>
      <c r="S720" s="8" t="s">
        <v>2161</v>
      </c>
      <c r="T720" s="8" t="s">
        <v>2162</v>
      </c>
      <c r="U720" s="8" t="s">
        <v>2517</v>
      </c>
      <c r="V720" s="8" t="s">
        <v>671</v>
      </c>
      <c r="W720" s="8">
        <f t="shared" si="21"/>
        <v>3</v>
      </c>
      <c r="X720" s="8">
        <f>K720*L720*N720</f>
        <v>122962.96</v>
      </c>
    </row>
    <row r="721" spans="1:24" s="8" customFormat="1" ht="41.5" customHeight="1">
      <c r="A721" s="8" t="s">
        <v>2329</v>
      </c>
      <c r="B721" s="8" t="s">
        <v>2582</v>
      </c>
      <c r="C721" s="9">
        <v>45884.713642048599</v>
      </c>
      <c r="D721" s="8" t="s">
        <v>2056</v>
      </c>
      <c r="E721" s="8" t="s">
        <v>2057</v>
      </c>
      <c r="F721" s="8">
        <v>2</v>
      </c>
      <c r="G721" s="22" t="s">
        <v>1554</v>
      </c>
      <c r="H721" s="8" t="s">
        <v>719</v>
      </c>
      <c r="I721" s="2" t="str">
        <f t="shared" si="22"/>
        <v>Máy khoan động lực 2470x5 HR2470</v>
      </c>
      <c r="J721" s="8" t="s">
        <v>15</v>
      </c>
      <c r="K721" s="10">
        <v>1</v>
      </c>
      <c r="L721" s="10">
        <v>3012963</v>
      </c>
      <c r="M721" s="11">
        <v>3012963</v>
      </c>
      <c r="N721" s="8" t="s">
        <v>16</v>
      </c>
      <c r="O721" s="8" t="s">
        <v>17</v>
      </c>
      <c r="P721" s="8" t="s">
        <v>18</v>
      </c>
      <c r="Q721" s="8" t="s">
        <v>18</v>
      </c>
      <c r="R721" s="8" t="s">
        <v>2115</v>
      </c>
      <c r="S721" s="8" t="s">
        <v>2161</v>
      </c>
      <c r="T721" s="8" t="s">
        <v>2162</v>
      </c>
      <c r="U721" s="8" t="s">
        <v>2517</v>
      </c>
      <c r="V721" s="8" t="s">
        <v>671</v>
      </c>
      <c r="W721" s="8">
        <f t="shared" si="21"/>
        <v>3</v>
      </c>
      <c r="X721" s="8">
        <f>K721*L721*N721</f>
        <v>241037.04</v>
      </c>
    </row>
    <row r="722" spans="1:24" s="8" customFormat="1" ht="41.5" customHeight="1">
      <c r="A722" s="8" t="s">
        <v>2329</v>
      </c>
      <c r="B722" s="8" t="s">
        <v>2582</v>
      </c>
      <c r="C722" s="9">
        <v>45884.713642048599</v>
      </c>
      <c r="D722" s="8" t="s">
        <v>2056</v>
      </c>
      <c r="E722" s="8" t="s">
        <v>2057</v>
      </c>
      <c r="F722" s="8">
        <v>3</v>
      </c>
      <c r="G722" s="22" t="s">
        <v>205</v>
      </c>
      <c r="H722" s="8" t="s">
        <v>205</v>
      </c>
      <c r="I722" s="2" t="str">
        <f t="shared" si="22"/>
        <v>Máy mài góc M9000B</v>
      </c>
      <c r="J722" s="8" t="s">
        <v>15</v>
      </c>
      <c r="K722" s="10">
        <v>2</v>
      </c>
      <c r="L722" s="10">
        <v>2034259.5</v>
      </c>
      <c r="M722" s="11">
        <v>4068519</v>
      </c>
      <c r="N722" s="8" t="s">
        <v>16</v>
      </c>
      <c r="O722" s="8" t="s">
        <v>17</v>
      </c>
      <c r="P722" s="8" t="s">
        <v>18</v>
      </c>
      <c r="Q722" s="8" t="s">
        <v>18</v>
      </c>
      <c r="R722" s="8" t="s">
        <v>2115</v>
      </c>
      <c r="S722" s="8" t="s">
        <v>2161</v>
      </c>
      <c r="T722" s="8" t="s">
        <v>2162</v>
      </c>
      <c r="U722" s="8" t="s">
        <v>2517</v>
      </c>
      <c r="V722" s="8" t="s">
        <v>671</v>
      </c>
      <c r="W722" s="8">
        <f t="shared" si="21"/>
        <v>3</v>
      </c>
      <c r="X722" s="8">
        <f>K722*L722*N722</f>
        <v>325481.52</v>
      </c>
    </row>
    <row r="723" spans="1:24" s="8" customFormat="1" ht="41.5" customHeight="1">
      <c r="A723" s="8" t="s">
        <v>2329</v>
      </c>
      <c r="B723" s="8" t="s">
        <v>2583</v>
      </c>
      <c r="C723" s="9">
        <v>45876.716228229197</v>
      </c>
      <c r="D723" s="8" t="s">
        <v>2056</v>
      </c>
      <c r="E723" s="8" t="s">
        <v>2057</v>
      </c>
      <c r="F723" s="8">
        <v>1</v>
      </c>
      <c r="G723" s="22" t="s">
        <v>720</v>
      </c>
      <c r="H723" s="8" t="s">
        <v>720</v>
      </c>
      <c r="I723" s="2" t="str">
        <f t="shared" si="22"/>
        <v>Máy thổi GBL 650</v>
      </c>
      <c r="J723" s="8" t="s">
        <v>15</v>
      </c>
      <c r="K723" s="10">
        <v>3</v>
      </c>
      <c r="L723" s="10">
        <v>962963</v>
      </c>
      <c r="M723" s="11">
        <v>2888889</v>
      </c>
      <c r="N723" s="8" t="s">
        <v>16</v>
      </c>
      <c r="O723" s="8" t="s">
        <v>17</v>
      </c>
      <c r="P723" s="8" t="s">
        <v>18</v>
      </c>
      <c r="Q723" s="8" t="s">
        <v>18</v>
      </c>
      <c r="R723" s="8" t="s">
        <v>2115</v>
      </c>
      <c r="S723" s="8" t="s">
        <v>2161</v>
      </c>
      <c r="T723" s="8" t="s">
        <v>2162</v>
      </c>
      <c r="U723" s="8" t="s">
        <v>2517</v>
      </c>
      <c r="V723" s="8" t="s">
        <v>709</v>
      </c>
      <c r="W723" s="8">
        <f t="shared" si="21"/>
        <v>3</v>
      </c>
      <c r="X723" s="8">
        <f>K723*L723*N723</f>
        <v>231111.12</v>
      </c>
    </row>
    <row r="724" spans="1:24" s="8" customFormat="1" ht="41.5" customHeight="1">
      <c r="A724" s="8" t="s">
        <v>2329</v>
      </c>
      <c r="B724" s="8" t="s">
        <v>2584</v>
      </c>
      <c r="C724" s="9">
        <v>45873.722573946798</v>
      </c>
      <c r="D724" s="8" t="s">
        <v>2056</v>
      </c>
      <c r="E724" s="8" t="s">
        <v>2057</v>
      </c>
      <c r="F724" s="8">
        <v>1</v>
      </c>
      <c r="G724" s="22" t="s">
        <v>720</v>
      </c>
      <c r="H724" s="8" t="s">
        <v>720</v>
      </c>
      <c r="I724" s="2" t="str">
        <f t="shared" si="22"/>
        <v>Máy thổi GBL 650</v>
      </c>
      <c r="J724" s="8" t="s">
        <v>15</v>
      </c>
      <c r="K724" s="10">
        <v>3</v>
      </c>
      <c r="L724" s="10">
        <v>962963</v>
      </c>
      <c r="M724" s="11">
        <v>2888889</v>
      </c>
      <c r="N724" s="8" t="s">
        <v>16</v>
      </c>
      <c r="O724" s="8" t="s">
        <v>17</v>
      </c>
      <c r="P724" s="8" t="s">
        <v>18</v>
      </c>
      <c r="Q724" s="8" t="s">
        <v>18</v>
      </c>
      <c r="R724" s="8" t="s">
        <v>2115</v>
      </c>
      <c r="S724" s="8" t="s">
        <v>2161</v>
      </c>
      <c r="T724" s="8" t="s">
        <v>2162</v>
      </c>
      <c r="U724" s="8" t="s">
        <v>2517</v>
      </c>
      <c r="V724" s="8" t="s">
        <v>721</v>
      </c>
      <c r="W724" s="8">
        <f t="shared" si="21"/>
        <v>3</v>
      </c>
      <c r="X724" s="8">
        <f>K724*L724*N724</f>
        <v>231111.12</v>
      </c>
    </row>
    <row r="725" spans="1:24" s="8" customFormat="1" ht="41.5" customHeight="1">
      <c r="A725" s="8" t="s">
        <v>2585</v>
      </c>
      <c r="B725" s="8" t="s">
        <v>2586</v>
      </c>
      <c r="C725" s="9">
        <v>45917.750892442098</v>
      </c>
      <c r="D725" s="8" t="s">
        <v>2062</v>
      </c>
      <c r="E725" s="8" t="s">
        <v>2057</v>
      </c>
      <c r="F725" s="8">
        <v>1</v>
      </c>
      <c r="G725" s="2">
        <v>635</v>
      </c>
      <c r="H725" s="8" t="s">
        <v>117</v>
      </c>
      <c r="I725" s="2">
        <f t="shared" si="22"/>
        <v>635</v>
      </c>
      <c r="M725" s="11">
        <v>50000</v>
      </c>
      <c r="N725" s="8" t="s">
        <v>30</v>
      </c>
      <c r="O725" s="8" t="s">
        <v>17</v>
      </c>
      <c r="P725" s="8" t="s">
        <v>18</v>
      </c>
      <c r="Q725" s="8" t="s">
        <v>18</v>
      </c>
      <c r="S725" s="8" t="s">
        <v>2216</v>
      </c>
      <c r="T725" s="8" t="s">
        <v>2217</v>
      </c>
      <c r="V725" s="8" t="s">
        <v>598</v>
      </c>
      <c r="W725" s="8">
        <f t="shared" si="21"/>
        <v>3</v>
      </c>
      <c r="X725" s="8">
        <f>K725*L725*N725</f>
        <v>0</v>
      </c>
    </row>
    <row r="726" spans="1:24" s="8" customFormat="1" ht="41.5" customHeight="1">
      <c r="A726" s="8" t="s">
        <v>2336</v>
      </c>
      <c r="B726" s="8" t="s">
        <v>2587</v>
      </c>
      <c r="C726" s="9">
        <v>45917.751384374998</v>
      </c>
      <c r="D726" s="8" t="s">
        <v>2062</v>
      </c>
      <c r="E726" s="8" t="s">
        <v>2057</v>
      </c>
      <c r="F726" s="8">
        <v>1</v>
      </c>
      <c r="G726" s="2">
        <v>635</v>
      </c>
      <c r="H726" s="8" t="s">
        <v>116</v>
      </c>
      <c r="I726" s="2">
        <f t="shared" si="22"/>
        <v>635</v>
      </c>
      <c r="M726" s="11">
        <v>20000</v>
      </c>
      <c r="N726" s="8" t="s">
        <v>30</v>
      </c>
      <c r="O726" s="8" t="s">
        <v>17</v>
      </c>
      <c r="P726" s="8" t="s">
        <v>18</v>
      </c>
      <c r="Q726" s="8" t="s">
        <v>18</v>
      </c>
      <c r="S726" s="8" t="s">
        <v>2216</v>
      </c>
      <c r="T726" s="8" t="s">
        <v>2217</v>
      </c>
      <c r="V726" s="8" t="s">
        <v>598</v>
      </c>
      <c r="W726" s="8">
        <f t="shared" si="21"/>
        <v>3</v>
      </c>
      <c r="X726" s="8">
        <f>K726*L726*N726</f>
        <v>0</v>
      </c>
    </row>
    <row r="727" spans="1:24" s="8" customFormat="1" ht="41.5" customHeight="1">
      <c r="A727" s="8" t="s">
        <v>2336</v>
      </c>
      <c r="B727" s="8" t="s">
        <v>2588</v>
      </c>
      <c r="C727" s="9">
        <v>45917.750972499998</v>
      </c>
      <c r="D727" s="8" t="s">
        <v>2062</v>
      </c>
      <c r="E727" s="8" t="s">
        <v>2057</v>
      </c>
      <c r="F727" s="8">
        <v>1</v>
      </c>
      <c r="G727" s="2">
        <v>635</v>
      </c>
      <c r="H727" s="8" t="s">
        <v>722</v>
      </c>
      <c r="I727" s="2">
        <f t="shared" si="22"/>
        <v>635</v>
      </c>
      <c r="M727" s="11">
        <v>100000</v>
      </c>
      <c r="N727" s="8" t="s">
        <v>30</v>
      </c>
      <c r="O727" s="8" t="s">
        <v>17</v>
      </c>
      <c r="P727" s="8" t="s">
        <v>18</v>
      </c>
      <c r="Q727" s="8" t="s">
        <v>18</v>
      </c>
      <c r="S727" s="8" t="s">
        <v>2216</v>
      </c>
      <c r="T727" s="8" t="s">
        <v>2217</v>
      </c>
      <c r="V727" s="8" t="s">
        <v>598</v>
      </c>
      <c r="W727" s="8">
        <f t="shared" si="21"/>
        <v>3</v>
      </c>
      <c r="X727" s="8">
        <f>K727*L727*N727</f>
        <v>0</v>
      </c>
    </row>
    <row r="728" spans="1:24" s="8" customFormat="1" ht="41.5" customHeight="1">
      <c r="A728" s="8" t="s">
        <v>2336</v>
      </c>
      <c r="B728" s="8" t="s">
        <v>2589</v>
      </c>
      <c r="C728" s="9">
        <v>45917.750972499998</v>
      </c>
      <c r="D728" s="8" t="s">
        <v>2062</v>
      </c>
      <c r="E728" s="8" t="s">
        <v>2057</v>
      </c>
      <c r="F728" s="8">
        <v>1</v>
      </c>
      <c r="G728" s="2">
        <v>635</v>
      </c>
      <c r="H728" s="8" t="s">
        <v>722</v>
      </c>
      <c r="I728" s="2">
        <f t="shared" si="22"/>
        <v>635</v>
      </c>
      <c r="M728" s="11">
        <v>90000</v>
      </c>
      <c r="N728" s="8" t="s">
        <v>30</v>
      </c>
      <c r="O728" s="8" t="s">
        <v>17</v>
      </c>
      <c r="P728" s="8" t="s">
        <v>18</v>
      </c>
      <c r="Q728" s="8" t="s">
        <v>18</v>
      </c>
      <c r="S728" s="8" t="s">
        <v>2216</v>
      </c>
      <c r="T728" s="8" t="s">
        <v>2217</v>
      </c>
      <c r="V728" s="8" t="s">
        <v>598</v>
      </c>
      <c r="W728" s="8">
        <f t="shared" si="21"/>
        <v>3</v>
      </c>
      <c r="X728" s="8">
        <f>K728*L728*N728</f>
        <v>0</v>
      </c>
    </row>
    <row r="729" spans="1:24" s="8" customFormat="1" ht="41.5" customHeight="1">
      <c r="A729" s="8" t="s">
        <v>2336</v>
      </c>
      <c r="B729" s="8" t="s">
        <v>2590</v>
      </c>
      <c r="C729" s="9">
        <v>45917.750972314803</v>
      </c>
      <c r="D729" s="8" t="s">
        <v>2062</v>
      </c>
      <c r="E729" s="8" t="s">
        <v>2057</v>
      </c>
      <c r="F729" s="8">
        <v>1</v>
      </c>
      <c r="G729" s="2">
        <v>635</v>
      </c>
      <c r="H729" s="8" t="s">
        <v>723</v>
      </c>
      <c r="I729" s="2">
        <f t="shared" si="22"/>
        <v>635</v>
      </c>
      <c r="M729" s="11">
        <v>6602</v>
      </c>
      <c r="N729" s="8" t="s">
        <v>30</v>
      </c>
      <c r="O729" s="8" t="s">
        <v>17</v>
      </c>
      <c r="P729" s="8" t="s">
        <v>18</v>
      </c>
      <c r="Q729" s="8" t="s">
        <v>18</v>
      </c>
      <c r="S729" s="8" t="s">
        <v>2216</v>
      </c>
      <c r="T729" s="8" t="s">
        <v>2217</v>
      </c>
      <c r="V729" s="8" t="s">
        <v>598</v>
      </c>
      <c r="W729" s="8">
        <f t="shared" si="21"/>
        <v>3</v>
      </c>
      <c r="X729" s="8">
        <f>K729*L729*N729</f>
        <v>0</v>
      </c>
    </row>
    <row r="730" spans="1:24" s="8" customFormat="1" ht="41.5" customHeight="1">
      <c r="A730" s="8" t="s">
        <v>2336</v>
      </c>
      <c r="B730" s="8" t="s">
        <v>2591</v>
      </c>
      <c r="C730" s="9">
        <v>45917.750972314803</v>
      </c>
      <c r="D730" s="8" t="s">
        <v>2062</v>
      </c>
      <c r="E730" s="8" t="s">
        <v>2057</v>
      </c>
      <c r="F730" s="8">
        <v>1</v>
      </c>
      <c r="G730" s="2">
        <v>635</v>
      </c>
      <c r="H730" s="8" t="s">
        <v>143</v>
      </c>
      <c r="I730" s="2">
        <f t="shared" si="22"/>
        <v>635</v>
      </c>
      <c r="M730" s="11">
        <v>20000</v>
      </c>
      <c r="N730" s="8" t="s">
        <v>30</v>
      </c>
      <c r="O730" s="8" t="s">
        <v>17</v>
      </c>
      <c r="P730" s="8" t="s">
        <v>18</v>
      </c>
      <c r="Q730" s="8" t="s">
        <v>18</v>
      </c>
      <c r="S730" s="8" t="s">
        <v>2216</v>
      </c>
      <c r="T730" s="8" t="s">
        <v>2217</v>
      </c>
      <c r="V730" s="8" t="s">
        <v>598</v>
      </c>
      <c r="W730" s="8">
        <f t="shared" si="21"/>
        <v>3</v>
      </c>
      <c r="X730" s="8">
        <f>K730*L730*N730</f>
        <v>0</v>
      </c>
    </row>
    <row r="731" spans="1:24" s="8" customFormat="1" ht="41.5" customHeight="1">
      <c r="A731" s="8" t="s">
        <v>2336</v>
      </c>
      <c r="B731" s="8" t="s">
        <v>2592</v>
      </c>
      <c r="C731" s="9">
        <v>45917.750972314803</v>
      </c>
      <c r="D731" s="8" t="s">
        <v>2062</v>
      </c>
      <c r="E731" s="8" t="s">
        <v>2057</v>
      </c>
      <c r="F731" s="8">
        <v>1</v>
      </c>
      <c r="G731" s="2">
        <v>635</v>
      </c>
      <c r="H731" s="8" t="s">
        <v>143</v>
      </c>
      <c r="I731" s="2">
        <f t="shared" si="22"/>
        <v>635</v>
      </c>
      <c r="M731" s="11">
        <v>20000</v>
      </c>
      <c r="N731" s="8" t="s">
        <v>30</v>
      </c>
      <c r="O731" s="8" t="s">
        <v>17</v>
      </c>
      <c r="P731" s="8" t="s">
        <v>18</v>
      </c>
      <c r="Q731" s="8" t="s">
        <v>18</v>
      </c>
      <c r="S731" s="8" t="s">
        <v>2216</v>
      </c>
      <c r="T731" s="8" t="s">
        <v>2217</v>
      </c>
      <c r="V731" s="8" t="s">
        <v>598</v>
      </c>
      <c r="W731" s="8">
        <f t="shared" si="21"/>
        <v>3</v>
      </c>
      <c r="X731" s="8">
        <f>K731*L731*N731</f>
        <v>0</v>
      </c>
    </row>
    <row r="732" spans="1:24" s="8" customFormat="1" ht="41.5" customHeight="1">
      <c r="A732" s="8" t="s">
        <v>2336</v>
      </c>
      <c r="B732" s="8" t="s">
        <v>2593</v>
      </c>
      <c r="C732" s="9">
        <v>45917.750972303198</v>
      </c>
      <c r="D732" s="8" t="s">
        <v>2062</v>
      </c>
      <c r="E732" s="8" t="s">
        <v>2057</v>
      </c>
      <c r="F732" s="8">
        <v>1</v>
      </c>
      <c r="G732" s="2">
        <v>635</v>
      </c>
      <c r="H732" s="8" t="s">
        <v>143</v>
      </c>
      <c r="I732" s="2">
        <f t="shared" si="22"/>
        <v>635</v>
      </c>
      <c r="M732" s="11">
        <v>88500</v>
      </c>
      <c r="N732" s="8" t="s">
        <v>30</v>
      </c>
      <c r="O732" s="8" t="s">
        <v>17</v>
      </c>
      <c r="P732" s="8" t="s">
        <v>18</v>
      </c>
      <c r="Q732" s="8" t="s">
        <v>18</v>
      </c>
      <c r="S732" s="8" t="s">
        <v>2216</v>
      </c>
      <c r="T732" s="8" t="s">
        <v>2217</v>
      </c>
      <c r="V732" s="8" t="s">
        <v>598</v>
      </c>
      <c r="W732" s="8">
        <f t="shared" si="21"/>
        <v>3</v>
      </c>
      <c r="X732" s="8">
        <f>K732*L732*N732</f>
        <v>0</v>
      </c>
    </row>
    <row r="733" spans="1:24" s="8" customFormat="1" ht="41.5" customHeight="1">
      <c r="A733" s="8" t="s">
        <v>2339</v>
      </c>
      <c r="B733" s="8" t="s">
        <v>2594</v>
      </c>
      <c r="C733" s="9">
        <v>45916.683187349503</v>
      </c>
      <c r="D733" s="8" t="s">
        <v>2218</v>
      </c>
      <c r="E733" s="8" t="s">
        <v>2057</v>
      </c>
      <c r="F733" s="8">
        <v>1</v>
      </c>
      <c r="G733" s="2">
        <v>635</v>
      </c>
      <c r="H733" s="8" t="s">
        <v>118</v>
      </c>
      <c r="I733" s="2">
        <f t="shared" si="22"/>
        <v>635</v>
      </c>
      <c r="M733" s="11">
        <v>50000</v>
      </c>
      <c r="N733" s="8" t="s">
        <v>30</v>
      </c>
      <c r="O733" s="8" t="s">
        <v>17</v>
      </c>
      <c r="P733" s="8" t="s">
        <v>18</v>
      </c>
      <c r="Q733" s="8" t="s">
        <v>18</v>
      </c>
      <c r="S733" s="8" t="s">
        <v>2340</v>
      </c>
      <c r="T733" s="8" t="s">
        <v>2341</v>
      </c>
      <c r="V733" s="8" t="s">
        <v>583</v>
      </c>
      <c r="W733" s="8">
        <f t="shared" si="21"/>
        <v>3</v>
      </c>
      <c r="X733" s="8">
        <f>K733*L733*N733</f>
        <v>0</v>
      </c>
    </row>
    <row r="734" spans="1:24" s="8" customFormat="1" ht="41.5" customHeight="1">
      <c r="A734" s="8" t="s">
        <v>2339</v>
      </c>
      <c r="B734" s="8" t="s">
        <v>2595</v>
      </c>
      <c r="C734" s="9">
        <v>45916.276313773102</v>
      </c>
      <c r="D734" s="8" t="s">
        <v>2218</v>
      </c>
      <c r="E734" s="8" t="s">
        <v>2057</v>
      </c>
      <c r="F734" s="8">
        <v>1</v>
      </c>
      <c r="G734" s="2">
        <v>635</v>
      </c>
      <c r="H734" s="8" t="s">
        <v>118</v>
      </c>
      <c r="I734" s="2">
        <f t="shared" si="22"/>
        <v>635</v>
      </c>
      <c r="M734" s="11">
        <v>20000</v>
      </c>
      <c r="N734" s="8" t="s">
        <v>30</v>
      </c>
      <c r="O734" s="8" t="s">
        <v>17</v>
      </c>
      <c r="P734" s="8" t="s">
        <v>18</v>
      </c>
      <c r="Q734" s="8" t="s">
        <v>18</v>
      </c>
      <c r="S734" s="8" t="s">
        <v>2219</v>
      </c>
      <c r="T734" s="8" t="s">
        <v>2220</v>
      </c>
      <c r="V734" s="8" t="s">
        <v>583</v>
      </c>
      <c r="W734" s="8">
        <f t="shared" si="21"/>
        <v>3</v>
      </c>
      <c r="X734" s="8">
        <f>K734*L734*N734</f>
        <v>0</v>
      </c>
    </row>
    <row r="735" spans="1:24" s="8" customFormat="1" ht="41.5" customHeight="1">
      <c r="A735" s="8" t="s">
        <v>2339</v>
      </c>
      <c r="B735" s="8" t="s">
        <v>2596</v>
      </c>
      <c r="C735" s="9">
        <v>45916.270521192098</v>
      </c>
      <c r="D735" s="8" t="s">
        <v>2218</v>
      </c>
      <c r="E735" s="8" t="s">
        <v>2057</v>
      </c>
      <c r="F735" s="8">
        <v>1</v>
      </c>
      <c r="G735" s="2">
        <v>635</v>
      </c>
      <c r="H735" s="8" t="s">
        <v>118</v>
      </c>
      <c r="I735" s="2">
        <f t="shared" si="22"/>
        <v>635</v>
      </c>
      <c r="M735" s="11">
        <v>20000</v>
      </c>
      <c r="N735" s="8" t="s">
        <v>30</v>
      </c>
      <c r="O735" s="8" t="s">
        <v>17</v>
      </c>
      <c r="P735" s="8" t="s">
        <v>18</v>
      </c>
      <c r="Q735" s="8" t="s">
        <v>18</v>
      </c>
      <c r="S735" s="8" t="s">
        <v>2219</v>
      </c>
      <c r="T735" s="8" t="s">
        <v>2220</v>
      </c>
      <c r="V735" s="8" t="s">
        <v>583</v>
      </c>
      <c r="W735" s="8">
        <f t="shared" si="21"/>
        <v>3</v>
      </c>
      <c r="X735" s="8">
        <f>K735*L735*N735</f>
        <v>0</v>
      </c>
    </row>
    <row r="736" spans="1:24" s="8" customFormat="1" ht="41.5" customHeight="1">
      <c r="A736" s="8" t="s">
        <v>2339</v>
      </c>
      <c r="B736" s="8" t="s">
        <v>2597</v>
      </c>
      <c r="C736" s="9">
        <v>45916.266495104202</v>
      </c>
      <c r="D736" s="8" t="s">
        <v>2218</v>
      </c>
      <c r="E736" s="8" t="s">
        <v>2057</v>
      </c>
      <c r="F736" s="8">
        <v>1</v>
      </c>
      <c r="G736" s="2">
        <v>635</v>
      </c>
      <c r="H736" s="8" t="s">
        <v>118</v>
      </c>
      <c r="I736" s="2">
        <f t="shared" si="22"/>
        <v>635</v>
      </c>
      <c r="M736" s="11">
        <v>20000</v>
      </c>
      <c r="N736" s="8" t="s">
        <v>30</v>
      </c>
      <c r="O736" s="8" t="s">
        <v>17</v>
      </c>
      <c r="P736" s="8" t="s">
        <v>18</v>
      </c>
      <c r="Q736" s="8" t="s">
        <v>18</v>
      </c>
      <c r="S736" s="8" t="s">
        <v>2219</v>
      </c>
      <c r="T736" s="8" t="s">
        <v>2220</v>
      </c>
      <c r="V736" s="8" t="s">
        <v>583</v>
      </c>
      <c r="W736" s="8">
        <f t="shared" si="21"/>
        <v>3</v>
      </c>
      <c r="X736" s="8">
        <f>K736*L736*N736</f>
        <v>0</v>
      </c>
    </row>
    <row r="737" spans="1:24" s="8" customFormat="1" ht="41.5" customHeight="1">
      <c r="A737" s="8" t="s">
        <v>2339</v>
      </c>
      <c r="B737" s="8" t="s">
        <v>2598</v>
      </c>
      <c r="C737" s="9">
        <v>45916.256508020801</v>
      </c>
      <c r="D737" s="8" t="s">
        <v>2218</v>
      </c>
      <c r="E737" s="8" t="s">
        <v>2057</v>
      </c>
      <c r="F737" s="8">
        <v>1</v>
      </c>
      <c r="G737" s="2">
        <v>635</v>
      </c>
      <c r="H737" s="8" t="s">
        <v>118</v>
      </c>
      <c r="I737" s="2">
        <f t="shared" si="22"/>
        <v>635</v>
      </c>
      <c r="M737" s="11">
        <v>20000</v>
      </c>
      <c r="N737" s="8" t="s">
        <v>30</v>
      </c>
      <c r="O737" s="8" t="s">
        <v>17</v>
      </c>
      <c r="P737" s="8" t="s">
        <v>18</v>
      </c>
      <c r="Q737" s="8" t="s">
        <v>18</v>
      </c>
      <c r="S737" s="8" t="s">
        <v>2219</v>
      </c>
      <c r="T737" s="8" t="s">
        <v>2220</v>
      </c>
      <c r="V737" s="8" t="s">
        <v>583</v>
      </c>
      <c r="W737" s="8">
        <f t="shared" si="21"/>
        <v>3</v>
      </c>
      <c r="X737" s="8">
        <f>K737*L737*N737</f>
        <v>0</v>
      </c>
    </row>
    <row r="738" spans="1:24" s="8" customFormat="1" ht="41.5" customHeight="1">
      <c r="A738" s="8" t="s">
        <v>2339</v>
      </c>
      <c r="B738" s="8" t="s">
        <v>2599</v>
      </c>
      <c r="C738" s="9">
        <v>45916.248055960597</v>
      </c>
      <c r="D738" s="8" t="s">
        <v>2218</v>
      </c>
      <c r="E738" s="8" t="s">
        <v>2057</v>
      </c>
      <c r="F738" s="8">
        <v>1</v>
      </c>
      <c r="G738" s="2">
        <v>635</v>
      </c>
      <c r="H738" s="8" t="s">
        <v>118</v>
      </c>
      <c r="I738" s="2">
        <f t="shared" si="22"/>
        <v>635</v>
      </c>
      <c r="M738" s="11">
        <v>20000</v>
      </c>
      <c r="N738" s="8" t="s">
        <v>30</v>
      </c>
      <c r="O738" s="8" t="s">
        <v>17</v>
      </c>
      <c r="P738" s="8" t="s">
        <v>18</v>
      </c>
      <c r="Q738" s="8" t="s">
        <v>18</v>
      </c>
      <c r="S738" s="8" t="s">
        <v>2219</v>
      </c>
      <c r="T738" s="8" t="s">
        <v>2220</v>
      </c>
      <c r="V738" s="8" t="s">
        <v>583</v>
      </c>
      <c r="W738" s="8">
        <f t="shared" ref="W738:W801" si="23">ROUNDUP(MONTH(V738)/3,0)</f>
        <v>3</v>
      </c>
      <c r="X738" s="8">
        <f>K738*L738*N738</f>
        <v>0</v>
      </c>
    </row>
    <row r="739" spans="1:24" s="8" customFormat="1" ht="41.5" customHeight="1">
      <c r="A739" s="8" t="s">
        <v>2339</v>
      </c>
      <c r="B739" s="8" t="s">
        <v>2600</v>
      </c>
      <c r="C739" s="9">
        <v>45916.450651041698</v>
      </c>
      <c r="D739" s="8" t="s">
        <v>2218</v>
      </c>
      <c r="E739" s="8" t="s">
        <v>2057</v>
      </c>
      <c r="F739" s="8">
        <v>1</v>
      </c>
      <c r="G739" s="2">
        <v>635</v>
      </c>
      <c r="H739" s="8" t="s">
        <v>118</v>
      </c>
      <c r="I739" s="2">
        <f t="shared" si="22"/>
        <v>635</v>
      </c>
      <c r="M739" s="11">
        <v>20000</v>
      </c>
      <c r="N739" s="8" t="s">
        <v>30</v>
      </c>
      <c r="O739" s="8" t="s">
        <v>17</v>
      </c>
      <c r="P739" s="8" t="s">
        <v>18</v>
      </c>
      <c r="Q739" s="8" t="s">
        <v>18</v>
      </c>
      <c r="S739" s="8" t="s">
        <v>2219</v>
      </c>
      <c r="T739" s="8" t="s">
        <v>2220</v>
      </c>
      <c r="V739" s="8" t="s">
        <v>583</v>
      </c>
      <c r="W739" s="8">
        <f t="shared" si="23"/>
        <v>3</v>
      </c>
      <c r="X739" s="8">
        <f>K739*L739*N739</f>
        <v>0</v>
      </c>
    </row>
    <row r="740" spans="1:24" s="8" customFormat="1" ht="41.5" customHeight="1">
      <c r="A740" s="8" t="s">
        <v>2339</v>
      </c>
      <c r="B740" s="8" t="s">
        <v>2601</v>
      </c>
      <c r="C740" s="9">
        <v>45916.450527407404</v>
      </c>
      <c r="D740" s="8" t="s">
        <v>2218</v>
      </c>
      <c r="E740" s="8" t="s">
        <v>2057</v>
      </c>
      <c r="F740" s="8">
        <v>1</v>
      </c>
      <c r="G740" s="2">
        <v>635</v>
      </c>
      <c r="H740" s="8" t="s">
        <v>118</v>
      </c>
      <c r="I740" s="2">
        <f t="shared" si="22"/>
        <v>635</v>
      </c>
      <c r="M740" s="11">
        <v>20000</v>
      </c>
      <c r="N740" s="8" t="s">
        <v>30</v>
      </c>
      <c r="O740" s="8" t="s">
        <v>17</v>
      </c>
      <c r="P740" s="8" t="s">
        <v>18</v>
      </c>
      <c r="Q740" s="8" t="s">
        <v>18</v>
      </c>
      <c r="S740" s="8" t="s">
        <v>2219</v>
      </c>
      <c r="T740" s="8" t="s">
        <v>2220</v>
      </c>
      <c r="V740" s="8" t="s">
        <v>583</v>
      </c>
      <c r="W740" s="8">
        <f t="shared" si="23"/>
        <v>3</v>
      </c>
      <c r="X740" s="8">
        <f>K740*L740*N740</f>
        <v>0</v>
      </c>
    </row>
    <row r="741" spans="1:24" s="8" customFormat="1" ht="41.5" customHeight="1">
      <c r="A741" s="8" t="s">
        <v>2339</v>
      </c>
      <c r="B741" s="8" t="s">
        <v>2602</v>
      </c>
      <c r="C741" s="9">
        <v>45916.447333588003</v>
      </c>
      <c r="D741" s="8" t="s">
        <v>2218</v>
      </c>
      <c r="E741" s="8" t="s">
        <v>2057</v>
      </c>
      <c r="F741" s="8">
        <v>1</v>
      </c>
      <c r="G741" s="2">
        <v>635</v>
      </c>
      <c r="H741" s="8" t="s">
        <v>118</v>
      </c>
      <c r="I741" s="2">
        <f t="shared" si="22"/>
        <v>635</v>
      </c>
      <c r="M741" s="11">
        <v>20000</v>
      </c>
      <c r="N741" s="8" t="s">
        <v>30</v>
      </c>
      <c r="O741" s="8" t="s">
        <v>17</v>
      </c>
      <c r="P741" s="8" t="s">
        <v>18</v>
      </c>
      <c r="Q741" s="8" t="s">
        <v>18</v>
      </c>
      <c r="S741" s="8" t="s">
        <v>2219</v>
      </c>
      <c r="T741" s="8" t="s">
        <v>2220</v>
      </c>
      <c r="V741" s="8" t="s">
        <v>583</v>
      </c>
      <c r="W741" s="8">
        <f t="shared" si="23"/>
        <v>3</v>
      </c>
      <c r="X741" s="8">
        <f>K741*L741*N741</f>
        <v>0</v>
      </c>
    </row>
    <row r="742" spans="1:24" s="8" customFormat="1" ht="41.5" customHeight="1">
      <c r="A742" s="8" t="s">
        <v>2339</v>
      </c>
      <c r="B742" s="8" t="s">
        <v>2603</v>
      </c>
      <c r="C742" s="9">
        <v>45916.439420381903</v>
      </c>
      <c r="D742" s="8" t="s">
        <v>2218</v>
      </c>
      <c r="E742" s="8" t="s">
        <v>2057</v>
      </c>
      <c r="F742" s="8">
        <v>1</v>
      </c>
      <c r="G742" s="2">
        <v>635</v>
      </c>
      <c r="H742" s="8" t="s">
        <v>118</v>
      </c>
      <c r="I742" s="2">
        <f t="shared" si="22"/>
        <v>635</v>
      </c>
      <c r="M742" s="11">
        <v>80000</v>
      </c>
      <c r="N742" s="8" t="s">
        <v>30</v>
      </c>
      <c r="O742" s="8" t="s">
        <v>17</v>
      </c>
      <c r="P742" s="8" t="s">
        <v>18</v>
      </c>
      <c r="Q742" s="8" t="s">
        <v>18</v>
      </c>
      <c r="S742" s="8" t="s">
        <v>2219</v>
      </c>
      <c r="T742" s="8" t="s">
        <v>2220</v>
      </c>
      <c r="V742" s="8" t="s">
        <v>583</v>
      </c>
      <c r="W742" s="8">
        <f t="shared" si="23"/>
        <v>3</v>
      </c>
      <c r="X742" s="8">
        <f>K742*L742*N742</f>
        <v>0</v>
      </c>
    </row>
    <row r="743" spans="1:24" s="8" customFormat="1" ht="41.5" customHeight="1">
      <c r="A743" s="8" t="s">
        <v>2339</v>
      </c>
      <c r="B743" s="8" t="s">
        <v>2604</v>
      </c>
      <c r="C743" s="9">
        <v>45916.436639953703</v>
      </c>
      <c r="D743" s="8" t="s">
        <v>2218</v>
      </c>
      <c r="E743" s="8" t="s">
        <v>2057</v>
      </c>
      <c r="F743" s="8">
        <v>1</v>
      </c>
      <c r="G743" s="2">
        <v>635</v>
      </c>
      <c r="H743" s="8" t="s">
        <v>118</v>
      </c>
      <c r="I743" s="2">
        <f t="shared" si="22"/>
        <v>635</v>
      </c>
      <c r="M743" s="11">
        <v>20000</v>
      </c>
      <c r="N743" s="8" t="s">
        <v>30</v>
      </c>
      <c r="O743" s="8" t="s">
        <v>17</v>
      </c>
      <c r="P743" s="8" t="s">
        <v>18</v>
      </c>
      <c r="Q743" s="8" t="s">
        <v>18</v>
      </c>
      <c r="S743" s="8" t="s">
        <v>2219</v>
      </c>
      <c r="T743" s="8" t="s">
        <v>2220</v>
      </c>
      <c r="V743" s="8" t="s">
        <v>583</v>
      </c>
      <c r="W743" s="8">
        <f t="shared" si="23"/>
        <v>3</v>
      </c>
      <c r="X743" s="8">
        <f>K743*L743*N743</f>
        <v>0</v>
      </c>
    </row>
    <row r="744" spans="1:24" s="8" customFormat="1" ht="41.5" customHeight="1">
      <c r="A744" s="8" t="s">
        <v>2339</v>
      </c>
      <c r="B744" s="8" t="s">
        <v>2605</v>
      </c>
      <c r="C744" s="9">
        <v>45916.420901851903</v>
      </c>
      <c r="D744" s="8" t="s">
        <v>2218</v>
      </c>
      <c r="E744" s="8" t="s">
        <v>2057</v>
      </c>
      <c r="F744" s="8">
        <v>1</v>
      </c>
      <c r="G744" s="2">
        <v>635</v>
      </c>
      <c r="H744" s="8" t="s">
        <v>118</v>
      </c>
      <c r="I744" s="2">
        <f t="shared" si="22"/>
        <v>635</v>
      </c>
      <c r="M744" s="11">
        <v>20000</v>
      </c>
      <c r="N744" s="8" t="s">
        <v>30</v>
      </c>
      <c r="O744" s="8" t="s">
        <v>17</v>
      </c>
      <c r="P744" s="8" t="s">
        <v>18</v>
      </c>
      <c r="Q744" s="8" t="s">
        <v>18</v>
      </c>
      <c r="S744" s="8" t="s">
        <v>2219</v>
      </c>
      <c r="T744" s="8" t="s">
        <v>2220</v>
      </c>
      <c r="V744" s="8" t="s">
        <v>583</v>
      </c>
      <c r="W744" s="8">
        <f t="shared" si="23"/>
        <v>3</v>
      </c>
      <c r="X744" s="8">
        <f>K744*L744*N744</f>
        <v>0</v>
      </c>
    </row>
    <row r="745" spans="1:24" s="8" customFormat="1" ht="41.5" customHeight="1">
      <c r="A745" s="8" t="s">
        <v>2339</v>
      </c>
      <c r="B745" s="8" t="s">
        <v>2606</v>
      </c>
      <c r="C745" s="9">
        <v>45916.406015162</v>
      </c>
      <c r="D745" s="8" t="s">
        <v>2218</v>
      </c>
      <c r="E745" s="8" t="s">
        <v>2057</v>
      </c>
      <c r="F745" s="8">
        <v>1</v>
      </c>
      <c r="G745" s="2">
        <v>635</v>
      </c>
      <c r="H745" s="8" t="s">
        <v>118</v>
      </c>
      <c r="I745" s="2">
        <f t="shared" si="22"/>
        <v>635</v>
      </c>
      <c r="M745" s="11">
        <v>20000</v>
      </c>
      <c r="N745" s="8" t="s">
        <v>30</v>
      </c>
      <c r="O745" s="8" t="s">
        <v>17</v>
      </c>
      <c r="P745" s="8" t="s">
        <v>18</v>
      </c>
      <c r="Q745" s="8" t="s">
        <v>18</v>
      </c>
      <c r="S745" s="8" t="s">
        <v>2219</v>
      </c>
      <c r="T745" s="8" t="s">
        <v>2220</v>
      </c>
      <c r="V745" s="8" t="s">
        <v>583</v>
      </c>
      <c r="W745" s="8">
        <f t="shared" si="23"/>
        <v>3</v>
      </c>
      <c r="X745" s="8">
        <f>K745*L745*N745</f>
        <v>0</v>
      </c>
    </row>
    <row r="746" spans="1:24" s="8" customFormat="1" ht="41.5" customHeight="1">
      <c r="A746" s="8" t="s">
        <v>2339</v>
      </c>
      <c r="B746" s="8" t="s">
        <v>2607</v>
      </c>
      <c r="C746" s="9">
        <v>45916.392350891198</v>
      </c>
      <c r="D746" s="8" t="s">
        <v>2218</v>
      </c>
      <c r="E746" s="8" t="s">
        <v>2057</v>
      </c>
      <c r="F746" s="8">
        <v>1</v>
      </c>
      <c r="G746" s="2">
        <v>635</v>
      </c>
      <c r="H746" s="8" t="s">
        <v>118</v>
      </c>
      <c r="I746" s="2">
        <f t="shared" si="22"/>
        <v>635</v>
      </c>
      <c r="M746" s="11">
        <v>30139</v>
      </c>
      <c r="N746" s="8" t="s">
        <v>30</v>
      </c>
      <c r="O746" s="8" t="s">
        <v>17</v>
      </c>
      <c r="P746" s="8" t="s">
        <v>18</v>
      </c>
      <c r="Q746" s="8" t="s">
        <v>18</v>
      </c>
      <c r="S746" s="8" t="s">
        <v>2219</v>
      </c>
      <c r="T746" s="8" t="s">
        <v>2220</v>
      </c>
      <c r="V746" s="8" t="s">
        <v>583</v>
      </c>
      <c r="W746" s="8">
        <f t="shared" si="23"/>
        <v>3</v>
      </c>
      <c r="X746" s="8">
        <f>K746*L746*N746</f>
        <v>0</v>
      </c>
    </row>
    <row r="747" spans="1:24" s="8" customFormat="1" ht="41.5" customHeight="1">
      <c r="A747" s="8" t="s">
        <v>2339</v>
      </c>
      <c r="B747" s="8" t="s">
        <v>2608</v>
      </c>
      <c r="C747" s="9">
        <v>45916.392350833303</v>
      </c>
      <c r="D747" s="8" t="s">
        <v>2218</v>
      </c>
      <c r="E747" s="8" t="s">
        <v>2057</v>
      </c>
      <c r="F747" s="8">
        <v>1</v>
      </c>
      <c r="G747" s="2">
        <v>635</v>
      </c>
      <c r="H747" s="8" t="s">
        <v>118</v>
      </c>
      <c r="I747" s="2">
        <f t="shared" si="22"/>
        <v>635</v>
      </c>
      <c r="M747" s="11">
        <v>20000</v>
      </c>
      <c r="N747" s="8" t="s">
        <v>30</v>
      </c>
      <c r="O747" s="8" t="s">
        <v>17</v>
      </c>
      <c r="P747" s="8" t="s">
        <v>18</v>
      </c>
      <c r="Q747" s="8" t="s">
        <v>18</v>
      </c>
      <c r="S747" s="8" t="s">
        <v>2219</v>
      </c>
      <c r="T747" s="8" t="s">
        <v>2220</v>
      </c>
      <c r="V747" s="8" t="s">
        <v>583</v>
      </c>
      <c r="W747" s="8">
        <f t="shared" si="23"/>
        <v>3</v>
      </c>
      <c r="X747" s="8">
        <f>K747*L747*N747</f>
        <v>0</v>
      </c>
    </row>
    <row r="748" spans="1:24" s="8" customFormat="1" ht="41.5" customHeight="1">
      <c r="A748" s="8" t="s">
        <v>2339</v>
      </c>
      <c r="B748" s="8" t="s">
        <v>2609</v>
      </c>
      <c r="C748" s="9">
        <v>45916.3911062384</v>
      </c>
      <c r="D748" s="8" t="s">
        <v>2218</v>
      </c>
      <c r="E748" s="8" t="s">
        <v>2057</v>
      </c>
      <c r="F748" s="8">
        <v>1</v>
      </c>
      <c r="G748" s="2">
        <v>635</v>
      </c>
      <c r="H748" s="8" t="s">
        <v>118</v>
      </c>
      <c r="I748" s="2">
        <f t="shared" si="22"/>
        <v>635</v>
      </c>
      <c r="M748" s="11">
        <v>20000</v>
      </c>
      <c r="N748" s="8" t="s">
        <v>30</v>
      </c>
      <c r="O748" s="8" t="s">
        <v>17</v>
      </c>
      <c r="P748" s="8" t="s">
        <v>18</v>
      </c>
      <c r="Q748" s="8" t="s">
        <v>18</v>
      </c>
      <c r="S748" s="8" t="s">
        <v>2219</v>
      </c>
      <c r="T748" s="8" t="s">
        <v>2220</v>
      </c>
      <c r="V748" s="8" t="s">
        <v>583</v>
      </c>
      <c r="W748" s="8">
        <f t="shared" si="23"/>
        <v>3</v>
      </c>
      <c r="X748" s="8">
        <f>K748*L748*N748</f>
        <v>0</v>
      </c>
    </row>
    <row r="749" spans="1:24" s="8" customFormat="1" ht="41.5" customHeight="1">
      <c r="A749" s="8" t="s">
        <v>2339</v>
      </c>
      <c r="B749" s="8" t="s">
        <v>2610</v>
      </c>
      <c r="C749" s="9">
        <v>45916.371536412</v>
      </c>
      <c r="D749" s="8" t="s">
        <v>2218</v>
      </c>
      <c r="E749" s="8" t="s">
        <v>2057</v>
      </c>
      <c r="F749" s="8">
        <v>1</v>
      </c>
      <c r="G749" s="2">
        <v>635</v>
      </c>
      <c r="H749" s="8" t="s">
        <v>118</v>
      </c>
      <c r="I749" s="2">
        <f t="shared" si="22"/>
        <v>635</v>
      </c>
      <c r="M749" s="11">
        <v>20000</v>
      </c>
      <c r="N749" s="8" t="s">
        <v>30</v>
      </c>
      <c r="O749" s="8" t="s">
        <v>17</v>
      </c>
      <c r="P749" s="8" t="s">
        <v>18</v>
      </c>
      <c r="Q749" s="8" t="s">
        <v>18</v>
      </c>
      <c r="S749" s="8" t="s">
        <v>2219</v>
      </c>
      <c r="T749" s="8" t="s">
        <v>2220</v>
      </c>
      <c r="V749" s="8" t="s">
        <v>583</v>
      </c>
      <c r="W749" s="8">
        <f t="shared" si="23"/>
        <v>3</v>
      </c>
      <c r="X749" s="8">
        <f>K749*L749*N749</f>
        <v>0</v>
      </c>
    </row>
    <row r="750" spans="1:24" s="8" customFormat="1" ht="41.5" customHeight="1">
      <c r="A750" s="8" t="s">
        <v>2339</v>
      </c>
      <c r="B750" s="8" t="s">
        <v>2611</v>
      </c>
      <c r="C750" s="9">
        <v>45916.371477905101</v>
      </c>
      <c r="D750" s="8" t="s">
        <v>2218</v>
      </c>
      <c r="E750" s="8" t="s">
        <v>2057</v>
      </c>
      <c r="F750" s="8">
        <v>1</v>
      </c>
      <c r="G750" s="2">
        <v>635</v>
      </c>
      <c r="H750" s="8" t="s">
        <v>118</v>
      </c>
      <c r="I750" s="2">
        <f t="shared" si="22"/>
        <v>635</v>
      </c>
      <c r="M750" s="11">
        <v>20000</v>
      </c>
      <c r="N750" s="8" t="s">
        <v>30</v>
      </c>
      <c r="O750" s="8" t="s">
        <v>17</v>
      </c>
      <c r="P750" s="8" t="s">
        <v>18</v>
      </c>
      <c r="Q750" s="8" t="s">
        <v>18</v>
      </c>
      <c r="S750" s="8" t="s">
        <v>2219</v>
      </c>
      <c r="T750" s="8" t="s">
        <v>2220</v>
      </c>
      <c r="V750" s="8" t="s">
        <v>583</v>
      </c>
      <c r="W750" s="8">
        <f t="shared" si="23"/>
        <v>3</v>
      </c>
      <c r="X750" s="8">
        <f>K750*L750*N750</f>
        <v>0</v>
      </c>
    </row>
    <row r="751" spans="1:24" s="8" customFormat="1" ht="41.5" customHeight="1">
      <c r="A751" s="8" t="s">
        <v>2339</v>
      </c>
      <c r="B751" s="8" t="s">
        <v>2612</v>
      </c>
      <c r="C751" s="9">
        <v>45916.339314004603</v>
      </c>
      <c r="D751" s="8" t="s">
        <v>2218</v>
      </c>
      <c r="E751" s="8" t="s">
        <v>2057</v>
      </c>
      <c r="F751" s="8">
        <v>1</v>
      </c>
      <c r="G751" s="2">
        <v>635</v>
      </c>
      <c r="H751" s="8" t="s">
        <v>118</v>
      </c>
      <c r="I751" s="2">
        <f t="shared" si="22"/>
        <v>635</v>
      </c>
      <c r="M751" s="11">
        <v>20000</v>
      </c>
      <c r="N751" s="8" t="s">
        <v>30</v>
      </c>
      <c r="O751" s="8" t="s">
        <v>17</v>
      </c>
      <c r="P751" s="8" t="s">
        <v>18</v>
      </c>
      <c r="Q751" s="8" t="s">
        <v>18</v>
      </c>
      <c r="S751" s="8" t="s">
        <v>2219</v>
      </c>
      <c r="T751" s="8" t="s">
        <v>2220</v>
      </c>
      <c r="V751" s="8" t="s">
        <v>583</v>
      </c>
      <c r="W751" s="8">
        <f t="shared" si="23"/>
        <v>3</v>
      </c>
      <c r="X751" s="8">
        <f>K751*L751*N751</f>
        <v>0</v>
      </c>
    </row>
    <row r="752" spans="1:24" s="8" customFormat="1" ht="41.5" customHeight="1">
      <c r="A752" s="8" t="s">
        <v>2339</v>
      </c>
      <c r="B752" s="8" t="s">
        <v>2613</v>
      </c>
      <c r="C752" s="9">
        <v>45916.332750810201</v>
      </c>
      <c r="D752" s="8" t="s">
        <v>2218</v>
      </c>
      <c r="E752" s="8" t="s">
        <v>2057</v>
      </c>
      <c r="F752" s="8">
        <v>1</v>
      </c>
      <c r="G752" s="2">
        <v>635</v>
      </c>
      <c r="H752" s="8" t="s">
        <v>118</v>
      </c>
      <c r="I752" s="2">
        <f t="shared" si="22"/>
        <v>635</v>
      </c>
      <c r="M752" s="11">
        <v>33000</v>
      </c>
      <c r="N752" s="8" t="s">
        <v>30</v>
      </c>
      <c r="O752" s="8" t="s">
        <v>17</v>
      </c>
      <c r="P752" s="8" t="s">
        <v>18</v>
      </c>
      <c r="Q752" s="8" t="s">
        <v>18</v>
      </c>
      <c r="S752" s="8" t="s">
        <v>2219</v>
      </c>
      <c r="T752" s="8" t="s">
        <v>2220</v>
      </c>
      <c r="V752" s="8" t="s">
        <v>583</v>
      </c>
      <c r="W752" s="8">
        <f t="shared" si="23"/>
        <v>3</v>
      </c>
      <c r="X752" s="8">
        <f>K752*L752*N752</f>
        <v>0</v>
      </c>
    </row>
    <row r="753" spans="1:24" s="8" customFormat="1" ht="41.5" customHeight="1">
      <c r="A753" s="8" t="s">
        <v>2339</v>
      </c>
      <c r="B753" s="8" t="s">
        <v>2614</v>
      </c>
      <c r="C753" s="9">
        <v>45916.318328506903</v>
      </c>
      <c r="D753" s="8" t="s">
        <v>2218</v>
      </c>
      <c r="E753" s="8" t="s">
        <v>2057</v>
      </c>
      <c r="F753" s="8">
        <v>1</v>
      </c>
      <c r="G753" s="2">
        <v>635</v>
      </c>
      <c r="H753" s="8" t="s">
        <v>118</v>
      </c>
      <c r="I753" s="2">
        <f t="shared" si="22"/>
        <v>635</v>
      </c>
      <c r="M753" s="11">
        <v>20000</v>
      </c>
      <c r="N753" s="8" t="s">
        <v>30</v>
      </c>
      <c r="O753" s="8" t="s">
        <v>17</v>
      </c>
      <c r="P753" s="8" t="s">
        <v>18</v>
      </c>
      <c r="Q753" s="8" t="s">
        <v>18</v>
      </c>
      <c r="S753" s="8" t="s">
        <v>2219</v>
      </c>
      <c r="T753" s="8" t="s">
        <v>2220</v>
      </c>
      <c r="V753" s="8" t="s">
        <v>583</v>
      </c>
      <c r="W753" s="8">
        <f t="shared" si="23"/>
        <v>3</v>
      </c>
      <c r="X753" s="8">
        <f>K753*L753*N753</f>
        <v>0</v>
      </c>
    </row>
    <row r="754" spans="1:24" s="8" customFormat="1" ht="41.5" customHeight="1">
      <c r="A754" s="8" t="s">
        <v>2339</v>
      </c>
      <c r="B754" s="8" t="s">
        <v>2615</v>
      </c>
      <c r="C754" s="9">
        <v>45916.299413784698</v>
      </c>
      <c r="D754" s="8" t="s">
        <v>2218</v>
      </c>
      <c r="E754" s="8" t="s">
        <v>2057</v>
      </c>
      <c r="F754" s="8">
        <v>1</v>
      </c>
      <c r="G754" s="2">
        <v>635</v>
      </c>
      <c r="H754" s="8" t="s">
        <v>118</v>
      </c>
      <c r="I754" s="2">
        <f t="shared" si="22"/>
        <v>635</v>
      </c>
      <c r="M754" s="11">
        <v>20000</v>
      </c>
      <c r="N754" s="8" t="s">
        <v>30</v>
      </c>
      <c r="O754" s="8" t="s">
        <v>17</v>
      </c>
      <c r="P754" s="8" t="s">
        <v>18</v>
      </c>
      <c r="Q754" s="8" t="s">
        <v>18</v>
      </c>
      <c r="S754" s="8" t="s">
        <v>2219</v>
      </c>
      <c r="T754" s="8" t="s">
        <v>2220</v>
      </c>
      <c r="V754" s="8" t="s">
        <v>583</v>
      </c>
      <c r="W754" s="8">
        <f t="shared" si="23"/>
        <v>3</v>
      </c>
      <c r="X754" s="8">
        <f>K754*L754*N754</f>
        <v>0</v>
      </c>
    </row>
    <row r="755" spans="1:24" s="8" customFormat="1" ht="41.5" customHeight="1">
      <c r="A755" s="8" t="s">
        <v>2339</v>
      </c>
      <c r="B755" s="8" t="s">
        <v>2616</v>
      </c>
      <c r="C755" s="9">
        <v>45916.288899363397</v>
      </c>
      <c r="D755" s="8" t="s">
        <v>2218</v>
      </c>
      <c r="E755" s="8" t="s">
        <v>2057</v>
      </c>
      <c r="F755" s="8">
        <v>1</v>
      </c>
      <c r="G755" s="2">
        <v>635</v>
      </c>
      <c r="H755" s="8" t="s">
        <v>118</v>
      </c>
      <c r="I755" s="2">
        <f t="shared" si="22"/>
        <v>635</v>
      </c>
      <c r="M755" s="11">
        <v>20000</v>
      </c>
      <c r="N755" s="8" t="s">
        <v>30</v>
      </c>
      <c r="O755" s="8" t="s">
        <v>17</v>
      </c>
      <c r="P755" s="8" t="s">
        <v>18</v>
      </c>
      <c r="Q755" s="8" t="s">
        <v>18</v>
      </c>
      <c r="S755" s="8" t="s">
        <v>2219</v>
      </c>
      <c r="T755" s="8" t="s">
        <v>2220</v>
      </c>
      <c r="V755" s="8" t="s">
        <v>583</v>
      </c>
      <c r="W755" s="8">
        <f t="shared" si="23"/>
        <v>3</v>
      </c>
      <c r="X755" s="8">
        <f>K755*L755*N755</f>
        <v>0</v>
      </c>
    </row>
    <row r="756" spans="1:24" s="8" customFormat="1" ht="41.5" customHeight="1">
      <c r="A756" s="8" t="s">
        <v>2339</v>
      </c>
      <c r="B756" s="8" t="s">
        <v>2617</v>
      </c>
      <c r="C756" s="9">
        <v>45916.285827407402</v>
      </c>
      <c r="D756" s="8" t="s">
        <v>2218</v>
      </c>
      <c r="E756" s="8" t="s">
        <v>2057</v>
      </c>
      <c r="F756" s="8">
        <v>1</v>
      </c>
      <c r="G756" s="2">
        <v>635</v>
      </c>
      <c r="H756" s="8" t="s">
        <v>118</v>
      </c>
      <c r="I756" s="2">
        <f t="shared" si="22"/>
        <v>635</v>
      </c>
      <c r="M756" s="11">
        <v>46291</v>
      </c>
      <c r="N756" s="8" t="s">
        <v>30</v>
      </c>
      <c r="O756" s="8" t="s">
        <v>17</v>
      </c>
      <c r="P756" s="8" t="s">
        <v>18</v>
      </c>
      <c r="Q756" s="8" t="s">
        <v>18</v>
      </c>
      <c r="S756" s="8" t="s">
        <v>2219</v>
      </c>
      <c r="T756" s="8" t="s">
        <v>2220</v>
      </c>
      <c r="V756" s="8" t="s">
        <v>583</v>
      </c>
      <c r="W756" s="8">
        <f t="shared" si="23"/>
        <v>3</v>
      </c>
      <c r="X756" s="8">
        <f>K756*L756*N756</f>
        <v>0</v>
      </c>
    </row>
    <row r="757" spans="1:24" s="8" customFormat="1" ht="41.5" customHeight="1">
      <c r="A757" s="8" t="s">
        <v>2463</v>
      </c>
      <c r="B757" s="8" t="s">
        <v>2618</v>
      </c>
      <c r="C757" s="9">
        <v>45869.7178856713</v>
      </c>
      <c r="D757" s="8" t="s">
        <v>2056</v>
      </c>
      <c r="E757" s="8" t="s">
        <v>2057</v>
      </c>
      <c r="F757" s="8">
        <v>1</v>
      </c>
      <c r="G757" s="22" t="s">
        <v>1345</v>
      </c>
      <c r="H757" s="8" t="s">
        <v>724</v>
      </c>
      <c r="I757" s="2" t="str">
        <f t="shared" si="22"/>
        <v>Ống PVC 110 C2</v>
      </c>
      <c r="J757" s="8" t="s">
        <v>47</v>
      </c>
      <c r="K757" s="10">
        <v>800</v>
      </c>
      <c r="L757" s="10">
        <v>48000</v>
      </c>
      <c r="M757" s="11">
        <v>38400000</v>
      </c>
      <c r="N757" s="8" t="s">
        <v>16</v>
      </c>
      <c r="O757" s="8" t="s">
        <v>17</v>
      </c>
      <c r="P757" s="8" t="s">
        <v>18</v>
      </c>
      <c r="Q757" s="8" t="s">
        <v>18</v>
      </c>
      <c r="R757" s="8" t="s">
        <v>2115</v>
      </c>
      <c r="S757" s="8" t="s">
        <v>2465</v>
      </c>
      <c r="T757" s="8" t="s">
        <v>2466</v>
      </c>
      <c r="U757" s="8" t="s">
        <v>2619</v>
      </c>
      <c r="V757" s="8" t="s">
        <v>725</v>
      </c>
      <c r="W757" s="8">
        <f t="shared" si="23"/>
        <v>3</v>
      </c>
      <c r="X757" s="8">
        <f>K757*L757*N757</f>
        <v>3072000</v>
      </c>
    </row>
    <row r="758" spans="1:24" s="8" customFormat="1" ht="41.5" customHeight="1">
      <c r="A758" s="8" t="s">
        <v>2463</v>
      </c>
      <c r="B758" s="8" t="s">
        <v>2618</v>
      </c>
      <c r="C758" s="9">
        <v>45869.7178856713</v>
      </c>
      <c r="D758" s="8" t="s">
        <v>2056</v>
      </c>
      <c r="E758" s="8" t="s">
        <v>2057</v>
      </c>
      <c r="F758" s="8">
        <v>2</v>
      </c>
      <c r="G758" s="22" t="s">
        <v>1282</v>
      </c>
      <c r="H758" s="8" t="s">
        <v>726</v>
      </c>
      <c r="I758" s="2" t="str">
        <f t="shared" si="22"/>
        <v>Ống PVC 90 C2</v>
      </c>
      <c r="J758" s="8" t="s">
        <v>47</v>
      </c>
      <c r="K758" s="10">
        <v>1000</v>
      </c>
      <c r="L758" s="10">
        <v>31540.51</v>
      </c>
      <c r="M758" s="11">
        <v>31540510</v>
      </c>
      <c r="N758" s="8" t="s">
        <v>16</v>
      </c>
      <c r="O758" s="8" t="s">
        <v>17</v>
      </c>
      <c r="P758" s="8" t="s">
        <v>18</v>
      </c>
      <c r="Q758" s="8" t="s">
        <v>18</v>
      </c>
      <c r="R758" s="8" t="s">
        <v>2115</v>
      </c>
      <c r="S758" s="8" t="s">
        <v>2465</v>
      </c>
      <c r="T758" s="8" t="s">
        <v>2466</v>
      </c>
      <c r="U758" s="8" t="s">
        <v>2619</v>
      </c>
      <c r="V758" s="8" t="s">
        <v>725</v>
      </c>
      <c r="W758" s="8">
        <f t="shared" si="23"/>
        <v>3</v>
      </c>
      <c r="X758" s="8">
        <f>K758*L758*N758</f>
        <v>2523240.8000000003</v>
      </c>
    </row>
    <row r="759" spans="1:24" s="8" customFormat="1" ht="41.5" customHeight="1">
      <c r="A759" s="8" t="s">
        <v>2463</v>
      </c>
      <c r="B759" s="8" t="s">
        <v>2618</v>
      </c>
      <c r="C759" s="9">
        <v>45869.7178856713</v>
      </c>
      <c r="D759" s="8" t="s">
        <v>2056</v>
      </c>
      <c r="E759" s="8" t="s">
        <v>2057</v>
      </c>
      <c r="F759" s="8">
        <v>3</v>
      </c>
      <c r="G759" s="27" t="s">
        <v>1312</v>
      </c>
      <c r="H759" s="8" t="s">
        <v>727</v>
      </c>
      <c r="I759" s="2" t="str">
        <f t="shared" si="22"/>
        <v>Ống PVCĐK 48 C2</v>
      </c>
      <c r="J759" s="8" t="s">
        <v>47</v>
      </c>
      <c r="K759" s="10">
        <v>1000</v>
      </c>
      <c r="L759" s="10">
        <v>13951.94</v>
      </c>
      <c r="M759" s="11">
        <v>13951940</v>
      </c>
      <c r="N759" s="8" t="s">
        <v>16</v>
      </c>
      <c r="O759" s="8" t="s">
        <v>17</v>
      </c>
      <c r="P759" s="8" t="s">
        <v>18</v>
      </c>
      <c r="Q759" s="8" t="s">
        <v>18</v>
      </c>
      <c r="R759" s="8" t="s">
        <v>2115</v>
      </c>
      <c r="S759" s="8" t="s">
        <v>2465</v>
      </c>
      <c r="T759" s="8" t="s">
        <v>2466</v>
      </c>
      <c r="U759" s="8" t="s">
        <v>2619</v>
      </c>
      <c r="V759" s="8" t="s">
        <v>725</v>
      </c>
      <c r="W759" s="8">
        <f t="shared" si="23"/>
        <v>3</v>
      </c>
      <c r="X759" s="8">
        <f>K759*L759*N759</f>
        <v>1116155.2</v>
      </c>
    </row>
    <row r="760" spans="1:24" s="8" customFormat="1" ht="41.5" customHeight="1">
      <c r="A760" s="8" t="s">
        <v>2463</v>
      </c>
      <c r="B760" s="8" t="s">
        <v>2620</v>
      </c>
      <c r="C760" s="9">
        <v>45867.7133645949</v>
      </c>
      <c r="D760" s="8" t="s">
        <v>2056</v>
      </c>
      <c r="E760" s="8" t="s">
        <v>2057</v>
      </c>
      <c r="F760" s="8">
        <v>1</v>
      </c>
      <c r="G760" s="22" t="s">
        <v>1289</v>
      </c>
      <c r="H760" s="8" t="s">
        <v>552</v>
      </c>
      <c r="I760" s="2" t="str">
        <f t="shared" si="22"/>
        <v>Dây điện SIK 1Cx1.5 HKIV</v>
      </c>
      <c r="J760" s="8" t="s">
        <v>549</v>
      </c>
      <c r="K760" s="10">
        <v>5</v>
      </c>
      <c r="L760" s="10">
        <v>1701700</v>
      </c>
      <c r="M760" s="11">
        <v>8508500</v>
      </c>
      <c r="N760" s="8" t="s">
        <v>30</v>
      </c>
      <c r="O760" s="8" t="s">
        <v>17</v>
      </c>
      <c r="P760" s="8" t="s">
        <v>18</v>
      </c>
      <c r="Q760" s="8" t="s">
        <v>18</v>
      </c>
      <c r="R760" s="8" t="s">
        <v>2115</v>
      </c>
      <c r="S760" s="8" t="s">
        <v>2465</v>
      </c>
      <c r="T760" s="8" t="s">
        <v>2466</v>
      </c>
      <c r="U760" s="8" t="s">
        <v>2619</v>
      </c>
      <c r="V760" s="8" t="s">
        <v>728</v>
      </c>
      <c r="W760" s="8">
        <f t="shared" si="23"/>
        <v>3</v>
      </c>
      <c r="X760" s="8">
        <f>K760*L760*N760</f>
        <v>850850</v>
      </c>
    </row>
    <row r="761" spans="1:24" s="8" customFormat="1" ht="41.5" customHeight="1">
      <c r="A761" s="8" t="s">
        <v>2463</v>
      </c>
      <c r="B761" s="8" t="s">
        <v>2620</v>
      </c>
      <c r="C761" s="9">
        <v>45867.7133645949</v>
      </c>
      <c r="D761" s="8" t="s">
        <v>2056</v>
      </c>
      <c r="E761" s="8" t="s">
        <v>2057</v>
      </c>
      <c r="F761" s="8">
        <v>2</v>
      </c>
      <c r="G761" s="22" t="s">
        <v>1314</v>
      </c>
      <c r="H761" s="8" t="s">
        <v>551</v>
      </c>
      <c r="I761" s="2" t="str">
        <f t="shared" si="22"/>
        <v>Dây điện SIK 1Cx2.5 HKIV</v>
      </c>
      <c r="J761" s="8" t="s">
        <v>549</v>
      </c>
      <c r="K761" s="10">
        <v>5</v>
      </c>
      <c r="L761" s="10">
        <v>2752750</v>
      </c>
      <c r="M761" s="11">
        <v>13763750</v>
      </c>
      <c r="N761" s="8" t="s">
        <v>30</v>
      </c>
      <c r="O761" s="8" t="s">
        <v>17</v>
      </c>
      <c r="P761" s="8" t="s">
        <v>18</v>
      </c>
      <c r="Q761" s="8" t="s">
        <v>18</v>
      </c>
      <c r="R761" s="8" t="s">
        <v>2115</v>
      </c>
      <c r="S761" s="8" t="s">
        <v>2465</v>
      </c>
      <c r="T761" s="8" t="s">
        <v>2466</v>
      </c>
      <c r="U761" s="8" t="s">
        <v>2619</v>
      </c>
      <c r="V761" s="8" t="s">
        <v>728</v>
      </c>
      <c r="W761" s="8">
        <f t="shared" si="23"/>
        <v>3</v>
      </c>
      <c r="X761" s="8">
        <f>K761*L761*N761</f>
        <v>1376375</v>
      </c>
    </row>
    <row r="762" spans="1:24" s="8" customFormat="1" ht="41.5" customHeight="1">
      <c r="A762" s="8" t="s">
        <v>2463</v>
      </c>
      <c r="B762" s="8" t="s">
        <v>2620</v>
      </c>
      <c r="C762" s="9">
        <v>45867.7133645949</v>
      </c>
      <c r="D762" s="8" t="s">
        <v>2056</v>
      </c>
      <c r="E762" s="8" t="s">
        <v>2057</v>
      </c>
      <c r="F762" s="8">
        <v>3</v>
      </c>
      <c r="G762" s="22" t="s">
        <v>1435</v>
      </c>
      <c r="H762" s="8" t="s">
        <v>554</v>
      </c>
      <c r="I762" s="2" t="str">
        <f t="shared" si="22"/>
        <v>Dây điện 2x1.5</v>
      </c>
      <c r="J762" s="8" t="s">
        <v>549</v>
      </c>
      <c r="K762" s="10">
        <v>10</v>
      </c>
      <c r="L762" s="10">
        <v>4104100</v>
      </c>
      <c r="M762" s="11">
        <v>41041000</v>
      </c>
      <c r="N762" s="8" t="s">
        <v>30</v>
      </c>
      <c r="O762" s="8" t="s">
        <v>17</v>
      </c>
      <c r="P762" s="8" t="s">
        <v>18</v>
      </c>
      <c r="Q762" s="8" t="s">
        <v>18</v>
      </c>
      <c r="R762" s="8" t="s">
        <v>2115</v>
      </c>
      <c r="S762" s="8" t="s">
        <v>2465</v>
      </c>
      <c r="T762" s="8" t="s">
        <v>2466</v>
      </c>
      <c r="U762" s="8" t="s">
        <v>2619</v>
      </c>
      <c r="V762" s="8" t="s">
        <v>728</v>
      </c>
      <c r="W762" s="8">
        <f t="shared" si="23"/>
        <v>3</v>
      </c>
      <c r="X762" s="8">
        <f>K762*L762*N762</f>
        <v>4104100</v>
      </c>
    </row>
    <row r="763" spans="1:24" s="8" customFormat="1" ht="41.5" customHeight="1">
      <c r="A763" s="8" t="s">
        <v>2463</v>
      </c>
      <c r="B763" s="8" t="s">
        <v>2620</v>
      </c>
      <c r="C763" s="9">
        <v>45867.7133645949</v>
      </c>
      <c r="D763" s="8" t="s">
        <v>2056</v>
      </c>
      <c r="E763" s="8" t="s">
        <v>2057</v>
      </c>
      <c r="F763" s="8">
        <v>4</v>
      </c>
      <c r="G763" s="27" t="s">
        <v>2251</v>
      </c>
      <c r="H763" s="8" t="s">
        <v>553</v>
      </c>
      <c r="I763" s="2" t="str">
        <f t="shared" si="22"/>
        <v>Dây điện SIK 2Cx0.75 HVCTFK</v>
      </c>
      <c r="J763" s="8" t="s">
        <v>549</v>
      </c>
      <c r="K763" s="10">
        <v>5</v>
      </c>
      <c r="L763" s="10">
        <v>2302300</v>
      </c>
      <c r="M763" s="11">
        <v>11511500</v>
      </c>
      <c r="N763" s="8" t="s">
        <v>30</v>
      </c>
      <c r="O763" s="8" t="s">
        <v>17</v>
      </c>
      <c r="P763" s="8" t="s">
        <v>18</v>
      </c>
      <c r="Q763" s="8" t="s">
        <v>18</v>
      </c>
      <c r="R763" s="8" t="s">
        <v>2115</v>
      </c>
      <c r="S763" s="8" t="s">
        <v>2465</v>
      </c>
      <c r="T763" s="8" t="s">
        <v>2466</v>
      </c>
      <c r="U763" s="8" t="s">
        <v>2619</v>
      </c>
      <c r="V763" s="8" t="s">
        <v>728</v>
      </c>
      <c r="W763" s="8">
        <f t="shared" si="23"/>
        <v>3</v>
      </c>
      <c r="X763" s="8">
        <f>K763*L763*N763</f>
        <v>1151150</v>
      </c>
    </row>
    <row r="764" spans="1:24" s="8" customFormat="1" ht="41.5" customHeight="1">
      <c r="A764" s="8" t="s">
        <v>2463</v>
      </c>
      <c r="B764" s="8" t="s">
        <v>2620</v>
      </c>
      <c r="C764" s="9">
        <v>45867.7133645949</v>
      </c>
      <c r="D764" s="8" t="s">
        <v>2056</v>
      </c>
      <c r="E764" s="8" t="s">
        <v>2057</v>
      </c>
      <c r="F764" s="8">
        <v>5</v>
      </c>
      <c r="G764" s="22" t="s">
        <v>1327</v>
      </c>
      <c r="H764" s="8" t="s">
        <v>555</v>
      </c>
      <c r="I764" s="2" t="str">
        <f t="shared" si="22"/>
        <v>Dây điện SIK 2Cx2.5 HVCTFK</v>
      </c>
      <c r="J764" s="8" t="s">
        <v>549</v>
      </c>
      <c r="K764" s="10">
        <v>5</v>
      </c>
      <c r="L764" s="10">
        <v>6506500</v>
      </c>
      <c r="M764" s="11">
        <v>32532500</v>
      </c>
      <c r="N764" s="8" t="s">
        <v>30</v>
      </c>
      <c r="O764" s="8" t="s">
        <v>17</v>
      </c>
      <c r="P764" s="8" t="s">
        <v>18</v>
      </c>
      <c r="Q764" s="8" t="s">
        <v>18</v>
      </c>
      <c r="R764" s="8" t="s">
        <v>2115</v>
      </c>
      <c r="S764" s="8" t="s">
        <v>2465</v>
      </c>
      <c r="T764" s="8" t="s">
        <v>2466</v>
      </c>
      <c r="U764" s="8" t="s">
        <v>2619</v>
      </c>
      <c r="V764" s="8" t="s">
        <v>728</v>
      </c>
      <c r="W764" s="8">
        <f t="shared" si="23"/>
        <v>3</v>
      </c>
      <c r="X764" s="8">
        <f>K764*L764*N764</f>
        <v>3253250</v>
      </c>
    </row>
    <row r="765" spans="1:24" s="8" customFormat="1" ht="41.5" customHeight="1">
      <c r="A765" s="8" t="s">
        <v>2463</v>
      </c>
      <c r="B765" s="8" t="s">
        <v>2621</v>
      </c>
      <c r="C765" s="9">
        <v>45865.4439694213</v>
      </c>
      <c r="D765" s="8" t="s">
        <v>2056</v>
      </c>
      <c r="E765" s="8" t="s">
        <v>2057</v>
      </c>
      <c r="F765" s="8">
        <v>1</v>
      </c>
      <c r="G765" s="22" t="s">
        <v>729</v>
      </c>
      <c r="H765" s="8" t="s">
        <v>729</v>
      </c>
      <c r="I765" s="2" t="str">
        <f t="shared" si="22"/>
        <v>Nối góc 90 độ phun uPVC DN90 PN6</v>
      </c>
      <c r="J765" s="8" t="s">
        <v>15</v>
      </c>
      <c r="K765" s="10">
        <v>50</v>
      </c>
      <c r="L765" s="10">
        <v>23958</v>
      </c>
      <c r="M765" s="11">
        <v>1197900</v>
      </c>
      <c r="N765" s="8" t="s">
        <v>16</v>
      </c>
      <c r="O765" s="8" t="s">
        <v>17</v>
      </c>
      <c r="P765" s="8" t="s">
        <v>18</v>
      </c>
      <c r="Q765" s="8" t="s">
        <v>18</v>
      </c>
      <c r="R765" s="8" t="s">
        <v>2115</v>
      </c>
      <c r="S765" s="8" t="s">
        <v>2465</v>
      </c>
      <c r="T765" s="8" t="s">
        <v>2466</v>
      </c>
      <c r="U765" s="8" t="s">
        <v>2619</v>
      </c>
      <c r="V765" s="8" t="s">
        <v>730</v>
      </c>
      <c r="W765" s="8">
        <f t="shared" si="23"/>
        <v>3</v>
      </c>
      <c r="X765" s="8">
        <f>K765*L765*N765</f>
        <v>95832</v>
      </c>
    </row>
    <row r="766" spans="1:24" s="8" customFormat="1" ht="41.5" customHeight="1">
      <c r="A766" s="8" t="s">
        <v>2463</v>
      </c>
      <c r="B766" s="8" t="s">
        <v>2621</v>
      </c>
      <c r="C766" s="9">
        <v>45865.4439694213</v>
      </c>
      <c r="D766" s="8" t="s">
        <v>2056</v>
      </c>
      <c r="E766" s="8" t="s">
        <v>2057</v>
      </c>
      <c r="F766" s="8">
        <v>2</v>
      </c>
      <c r="G766" s="22" t="s">
        <v>1270</v>
      </c>
      <c r="H766" s="8" t="s">
        <v>545</v>
      </c>
      <c r="I766" s="2" t="str">
        <f t="shared" si="22"/>
        <v>Ống uPVC DN90 PN6 C2</v>
      </c>
      <c r="J766" s="8" t="s">
        <v>47</v>
      </c>
      <c r="K766" s="10">
        <v>200</v>
      </c>
      <c r="L766" s="10">
        <v>49564.93</v>
      </c>
      <c r="M766" s="11">
        <v>9912986</v>
      </c>
      <c r="N766" s="8" t="s">
        <v>16</v>
      </c>
      <c r="O766" s="8" t="s">
        <v>17</v>
      </c>
      <c r="P766" s="8" t="s">
        <v>18</v>
      </c>
      <c r="Q766" s="8" t="s">
        <v>18</v>
      </c>
      <c r="R766" s="8" t="s">
        <v>2115</v>
      </c>
      <c r="S766" s="8" t="s">
        <v>2465</v>
      </c>
      <c r="T766" s="8" t="s">
        <v>2466</v>
      </c>
      <c r="U766" s="8" t="s">
        <v>2619</v>
      </c>
      <c r="V766" s="8" t="s">
        <v>730</v>
      </c>
      <c r="W766" s="8">
        <f t="shared" si="23"/>
        <v>3</v>
      </c>
      <c r="X766" s="8">
        <f>K766*L766*N766</f>
        <v>793038.88</v>
      </c>
    </row>
    <row r="767" spans="1:24" s="8" customFormat="1" ht="41.5" customHeight="1">
      <c r="A767" s="8" t="s">
        <v>2463</v>
      </c>
      <c r="B767" s="8" t="s">
        <v>2621</v>
      </c>
      <c r="C767" s="9">
        <v>45865.4439694213</v>
      </c>
      <c r="D767" s="8" t="s">
        <v>2056</v>
      </c>
      <c r="E767" s="8" t="s">
        <v>2057</v>
      </c>
      <c r="F767" s="8">
        <v>3</v>
      </c>
      <c r="G767" s="22" t="s">
        <v>1490</v>
      </c>
      <c r="H767" s="8" t="s">
        <v>731</v>
      </c>
      <c r="I767" s="2" t="str">
        <f t="shared" si="22"/>
        <v>Măng sông ĐK90</v>
      </c>
      <c r="J767" s="8" t="s">
        <v>15</v>
      </c>
      <c r="K767" s="10">
        <v>50</v>
      </c>
      <c r="L767" s="10">
        <v>10645.25</v>
      </c>
      <c r="M767" s="11">
        <v>532263</v>
      </c>
      <c r="N767" s="8" t="s">
        <v>16</v>
      </c>
      <c r="O767" s="8" t="s">
        <v>17</v>
      </c>
      <c r="P767" s="8" t="s">
        <v>18</v>
      </c>
      <c r="Q767" s="8" t="s">
        <v>18</v>
      </c>
      <c r="R767" s="8" t="s">
        <v>2115</v>
      </c>
      <c r="S767" s="8" t="s">
        <v>2465</v>
      </c>
      <c r="T767" s="8" t="s">
        <v>2466</v>
      </c>
      <c r="U767" s="8" t="s">
        <v>2619</v>
      </c>
      <c r="V767" s="8" t="s">
        <v>730</v>
      </c>
      <c r="W767" s="8">
        <f t="shared" si="23"/>
        <v>3</v>
      </c>
      <c r="X767" s="8">
        <f>K767*L767*N767</f>
        <v>42581</v>
      </c>
    </row>
    <row r="768" spans="1:24" s="8" customFormat="1" ht="41.5" customHeight="1">
      <c r="A768" s="8" t="s">
        <v>2463</v>
      </c>
      <c r="B768" s="8" t="s">
        <v>2621</v>
      </c>
      <c r="C768" s="9">
        <v>45865.4439694213</v>
      </c>
      <c r="D768" s="8" t="s">
        <v>2056</v>
      </c>
      <c r="E768" s="8" t="s">
        <v>2057</v>
      </c>
      <c r="F768" s="8">
        <v>4</v>
      </c>
      <c r="G768" s="22" t="s">
        <v>732</v>
      </c>
      <c r="H768" s="8" t="s">
        <v>732</v>
      </c>
      <c r="I768" s="2" t="str">
        <f t="shared" si="22"/>
        <v>Keo dán uPVC 200g (có chổi)</v>
      </c>
      <c r="J768" s="8" t="s">
        <v>55</v>
      </c>
      <c r="K768" s="10">
        <v>1</v>
      </c>
      <c r="L768" s="10">
        <v>28642.61</v>
      </c>
      <c r="M768" s="11">
        <v>28643</v>
      </c>
      <c r="N768" s="8" t="s">
        <v>16</v>
      </c>
      <c r="O768" s="8" t="s">
        <v>17</v>
      </c>
      <c r="P768" s="8" t="s">
        <v>18</v>
      </c>
      <c r="Q768" s="8" t="s">
        <v>18</v>
      </c>
      <c r="R768" s="8" t="s">
        <v>2115</v>
      </c>
      <c r="S768" s="8" t="s">
        <v>2465</v>
      </c>
      <c r="T768" s="8" t="s">
        <v>2466</v>
      </c>
      <c r="U768" s="8" t="s">
        <v>2619</v>
      </c>
      <c r="V768" s="8" t="s">
        <v>730</v>
      </c>
      <c r="W768" s="8">
        <f t="shared" si="23"/>
        <v>3</v>
      </c>
      <c r="X768" s="8">
        <f>K768*L768*N768</f>
        <v>2291.4088000000002</v>
      </c>
    </row>
    <row r="769" spans="1:24" s="8" customFormat="1" ht="41.5" customHeight="1">
      <c r="A769" s="8" t="s">
        <v>2463</v>
      </c>
      <c r="B769" s="8" t="s">
        <v>2621</v>
      </c>
      <c r="C769" s="9">
        <v>45865.4439694213</v>
      </c>
      <c r="D769" s="8" t="s">
        <v>2056</v>
      </c>
      <c r="E769" s="8" t="s">
        <v>2057</v>
      </c>
      <c r="F769" s="8">
        <v>5</v>
      </c>
      <c r="G769" s="22" t="s">
        <v>2622</v>
      </c>
      <c r="H769" s="8" t="s">
        <v>733</v>
      </c>
      <c r="I769" s="2" t="str">
        <f t="shared" si="22"/>
        <v>Ống PVCĐK 21C2</v>
      </c>
      <c r="J769" s="8" t="s">
        <v>47</v>
      </c>
      <c r="K769" s="10">
        <v>60</v>
      </c>
      <c r="L769" s="10">
        <v>8399.77</v>
      </c>
      <c r="M769" s="11">
        <v>503986</v>
      </c>
      <c r="N769" s="8" t="s">
        <v>16</v>
      </c>
      <c r="O769" s="8" t="s">
        <v>17</v>
      </c>
      <c r="P769" s="8" t="s">
        <v>18</v>
      </c>
      <c r="Q769" s="8" t="s">
        <v>18</v>
      </c>
      <c r="R769" s="8" t="s">
        <v>2115</v>
      </c>
      <c r="S769" s="8" t="s">
        <v>2465</v>
      </c>
      <c r="T769" s="8" t="s">
        <v>2466</v>
      </c>
      <c r="U769" s="8" t="s">
        <v>2619</v>
      </c>
      <c r="V769" s="8" t="s">
        <v>730</v>
      </c>
      <c r="W769" s="8">
        <f t="shared" si="23"/>
        <v>3</v>
      </c>
      <c r="X769" s="8">
        <f>K769*L769*N769</f>
        <v>40318.896000000001</v>
      </c>
    </row>
    <row r="770" spans="1:24" s="8" customFormat="1" ht="41.5" customHeight="1">
      <c r="A770" s="8" t="s">
        <v>2463</v>
      </c>
      <c r="B770" s="8" t="s">
        <v>2621</v>
      </c>
      <c r="C770" s="9">
        <v>45865.4439694213</v>
      </c>
      <c r="D770" s="8" t="s">
        <v>2056</v>
      </c>
      <c r="E770" s="8" t="s">
        <v>2057</v>
      </c>
      <c r="F770" s="8">
        <v>6</v>
      </c>
      <c r="G770" s="22" t="s">
        <v>734</v>
      </c>
      <c r="H770" s="8" t="s">
        <v>734</v>
      </c>
      <c r="I770" s="2" t="str">
        <f t="shared" ref="I770:I828" si="24">G770</f>
        <v>Nối góc 90 độ fun ĐK 21</v>
      </c>
      <c r="J770" s="8" t="s">
        <v>15</v>
      </c>
      <c r="K770" s="10">
        <v>50</v>
      </c>
      <c r="L770" s="10">
        <v>1210</v>
      </c>
      <c r="M770" s="11">
        <v>60500</v>
      </c>
      <c r="N770" s="8" t="s">
        <v>16</v>
      </c>
      <c r="O770" s="8" t="s">
        <v>17</v>
      </c>
      <c r="P770" s="8" t="s">
        <v>18</v>
      </c>
      <c r="Q770" s="8" t="s">
        <v>18</v>
      </c>
      <c r="R770" s="8" t="s">
        <v>2115</v>
      </c>
      <c r="S770" s="8" t="s">
        <v>2465</v>
      </c>
      <c r="T770" s="8" t="s">
        <v>2466</v>
      </c>
      <c r="U770" s="8" t="s">
        <v>2619</v>
      </c>
      <c r="V770" s="8" t="s">
        <v>730</v>
      </c>
      <c r="W770" s="8">
        <f t="shared" si="23"/>
        <v>3</v>
      </c>
      <c r="X770" s="8">
        <f>K770*L770*N770</f>
        <v>4840</v>
      </c>
    </row>
    <row r="771" spans="1:24" s="8" customFormat="1" ht="41.5" customHeight="1">
      <c r="A771" s="8" t="s">
        <v>2463</v>
      </c>
      <c r="B771" s="8" t="s">
        <v>2621</v>
      </c>
      <c r="C771" s="9">
        <v>45865.4439694213</v>
      </c>
      <c r="D771" s="8" t="s">
        <v>2056</v>
      </c>
      <c r="E771" s="8" t="s">
        <v>2057</v>
      </c>
      <c r="F771" s="8">
        <v>7</v>
      </c>
      <c r="G771" s="22" t="s">
        <v>2088</v>
      </c>
      <c r="H771" s="8" t="s">
        <v>547</v>
      </c>
      <c r="I771" s="2" t="str">
        <f t="shared" si="24"/>
        <v>ống uPVC DN110 PN6 C2</v>
      </c>
      <c r="J771" s="8" t="s">
        <v>47</v>
      </c>
      <c r="K771" s="10">
        <v>400</v>
      </c>
      <c r="L771" s="10">
        <v>72500.91</v>
      </c>
      <c r="M771" s="11">
        <v>29000364</v>
      </c>
      <c r="N771" s="8" t="s">
        <v>16</v>
      </c>
      <c r="O771" s="8" t="s">
        <v>17</v>
      </c>
      <c r="P771" s="8" t="s">
        <v>18</v>
      </c>
      <c r="Q771" s="8" t="s">
        <v>18</v>
      </c>
      <c r="R771" s="8" t="s">
        <v>2115</v>
      </c>
      <c r="S771" s="8" t="s">
        <v>2465</v>
      </c>
      <c r="T771" s="8" t="s">
        <v>2466</v>
      </c>
      <c r="U771" s="8" t="s">
        <v>2619</v>
      </c>
      <c r="V771" s="8" t="s">
        <v>730</v>
      </c>
      <c r="W771" s="8">
        <f t="shared" si="23"/>
        <v>3</v>
      </c>
      <c r="X771" s="8">
        <f>K771*L771*N771</f>
        <v>2320029.12</v>
      </c>
    </row>
    <row r="772" spans="1:24" s="8" customFormat="1" ht="41.5" customHeight="1">
      <c r="A772" s="8" t="s">
        <v>2463</v>
      </c>
      <c r="B772" s="8" t="s">
        <v>2621</v>
      </c>
      <c r="C772" s="9">
        <v>45865.4439694213</v>
      </c>
      <c r="D772" s="8" t="s">
        <v>2056</v>
      </c>
      <c r="E772" s="8" t="s">
        <v>2057</v>
      </c>
      <c r="F772" s="8">
        <v>8</v>
      </c>
      <c r="G772" s="22" t="s">
        <v>735</v>
      </c>
      <c r="H772" s="8" t="s">
        <v>735</v>
      </c>
      <c r="I772" s="2" t="str">
        <f t="shared" si="24"/>
        <v>Máy bơm chìm Sentory 3SDM5.6/16 - 1HP</v>
      </c>
      <c r="J772" s="8" t="s">
        <v>15</v>
      </c>
      <c r="K772" s="10">
        <v>10</v>
      </c>
      <c r="L772" s="10">
        <v>1600000</v>
      </c>
      <c r="M772" s="11">
        <v>16000000</v>
      </c>
      <c r="N772" s="8" t="s">
        <v>16</v>
      </c>
      <c r="O772" s="8" t="s">
        <v>17</v>
      </c>
      <c r="P772" s="8" t="s">
        <v>18</v>
      </c>
      <c r="Q772" s="8" t="s">
        <v>18</v>
      </c>
      <c r="R772" s="8" t="s">
        <v>2115</v>
      </c>
      <c r="S772" s="8" t="s">
        <v>2465</v>
      </c>
      <c r="T772" s="8" t="s">
        <v>2466</v>
      </c>
      <c r="U772" s="8" t="s">
        <v>2619</v>
      </c>
      <c r="V772" s="8" t="s">
        <v>730</v>
      </c>
      <c r="W772" s="8">
        <f t="shared" si="23"/>
        <v>3</v>
      </c>
      <c r="X772" s="8">
        <f>K772*L772*N772</f>
        <v>1280000</v>
      </c>
    </row>
    <row r="773" spans="1:24" s="8" customFormat="1" ht="41.5" customHeight="1">
      <c r="A773" s="8" t="s">
        <v>2469</v>
      </c>
      <c r="B773" s="8" t="s">
        <v>13</v>
      </c>
      <c r="C773" s="9">
        <v>45863.604862372697</v>
      </c>
      <c r="D773" s="8" t="s">
        <v>2056</v>
      </c>
      <c r="E773" s="8" t="s">
        <v>2057</v>
      </c>
      <c r="F773" s="8">
        <v>1</v>
      </c>
      <c r="G773" s="22" t="s">
        <v>736</v>
      </c>
      <c r="H773" s="8" t="s">
        <v>736</v>
      </c>
      <c r="I773" s="2" t="str">
        <f t="shared" si="24"/>
        <v>Sơn lót chống kiềm nội thất 18L</v>
      </c>
      <c r="J773" s="8" t="s">
        <v>54</v>
      </c>
      <c r="K773" s="10">
        <v>5</v>
      </c>
      <c r="L773" s="10">
        <v>1265000</v>
      </c>
      <c r="M773" s="11">
        <v>6325000</v>
      </c>
      <c r="N773" s="8" t="s">
        <v>30</v>
      </c>
      <c r="O773" s="8" t="s">
        <v>17</v>
      </c>
      <c r="P773" s="8" t="s">
        <v>18</v>
      </c>
      <c r="Q773" s="8" t="s">
        <v>18</v>
      </c>
      <c r="R773" s="8" t="s">
        <v>2110</v>
      </c>
      <c r="S773" s="8" t="s">
        <v>2116</v>
      </c>
      <c r="T773" s="8" t="s">
        <v>2117</v>
      </c>
      <c r="U773" s="8" t="s">
        <v>2193</v>
      </c>
      <c r="V773" s="8" t="s">
        <v>737</v>
      </c>
      <c r="W773" s="8">
        <f t="shared" si="23"/>
        <v>3</v>
      </c>
      <c r="X773" s="8">
        <f>K773*L773*N773</f>
        <v>632500</v>
      </c>
    </row>
    <row r="774" spans="1:24" s="8" customFormat="1" ht="41.5" customHeight="1">
      <c r="A774" s="8" t="s">
        <v>2469</v>
      </c>
      <c r="B774" s="8" t="s">
        <v>13</v>
      </c>
      <c r="C774" s="9">
        <v>45863.604862372697</v>
      </c>
      <c r="D774" s="8" t="s">
        <v>2056</v>
      </c>
      <c r="E774" s="8" t="s">
        <v>2057</v>
      </c>
      <c r="F774" s="8">
        <v>2</v>
      </c>
      <c r="G774" s="22" t="s">
        <v>2623</v>
      </c>
      <c r="H774" s="8" t="s">
        <v>738</v>
      </c>
      <c r="I774" s="2" t="str">
        <f t="shared" si="24"/>
        <v>Sơn nước nội thất 3 in 1</v>
      </c>
      <c r="J774" s="8" t="s">
        <v>54</v>
      </c>
      <c r="K774" s="10">
        <v>5</v>
      </c>
      <c r="L774" s="10">
        <v>525000</v>
      </c>
      <c r="M774" s="11">
        <v>2625000</v>
      </c>
      <c r="N774" s="8" t="s">
        <v>30</v>
      </c>
      <c r="O774" s="8" t="s">
        <v>17</v>
      </c>
      <c r="P774" s="8" t="s">
        <v>18</v>
      </c>
      <c r="Q774" s="8" t="s">
        <v>18</v>
      </c>
      <c r="R774" s="8" t="s">
        <v>2110</v>
      </c>
      <c r="S774" s="8" t="s">
        <v>2116</v>
      </c>
      <c r="T774" s="8" t="s">
        <v>2117</v>
      </c>
      <c r="U774" s="8" t="s">
        <v>2193</v>
      </c>
      <c r="V774" s="8" t="s">
        <v>737</v>
      </c>
      <c r="W774" s="8">
        <f t="shared" si="23"/>
        <v>3</v>
      </c>
      <c r="X774" s="8">
        <f>K774*L774*N774</f>
        <v>262500</v>
      </c>
    </row>
    <row r="775" spans="1:24" s="8" customFormat="1" ht="41.5" customHeight="1">
      <c r="A775" s="8" t="s">
        <v>2469</v>
      </c>
      <c r="B775" s="8" t="s">
        <v>13</v>
      </c>
      <c r="C775" s="9">
        <v>45863.604862372697</v>
      </c>
      <c r="D775" s="8" t="s">
        <v>2056</v>
      </c>
      <c r="E775" s="8" t="s">
        <v>2057</v>
      </c>
      <c r="F775" s="8">
        <v>3</v>
      </c>
      <c r="G775" s="22" t="s">
        <v>739</v>
      </c>
      <c r="H775" s="8" t="s">
        <v>739</v>
      </c>
      <c r="I775" s="2" t="str">
        <f t="shared" si="24"/>
        <v>Sơn nội thất cao cấp dễ lau chùi</v>
      </c>
      <c r="J775" s="8" t="s">
        <v>54</v>
      </c>
      <c r="K775" s="10">
        <v>6</v>
      </c>
      <c r="L775" s="10">
        <v>1065000</v>
      </c>
      <c r="M775" s="11">
        <v>6390000</v>
      </c>
      <c r="N775" s="8" t="s">
        <v>30</v>
      </c>
      <c r="O775" s="8" t="s">
        <v>17</v>
      </c>
      <c r="P775" s="8" t="s">
        <v>18</v>
      </c>
      <c r="Q775" s="8" t="s">
        <v>18</v>
      </c>
      <c r="R775" s="8" t="s">
        <v>2110</v>
      </c>
      <c r="S775" s="8" t="s">
        <v>2116</v>
      </c>
      <c r="T775" s="8" t="s">
        <v>2117</v>
      </c>
      <c r="U775" s="8" t="s">
        <v>2193</v>
      </c>
      <c r="V775" s="8" t="s">
        <v>737</v>
      </c>
      <c r="W775" s="8">
        <f t="shared" si="23"/>
        <v>3</v>
      </c>
      <c r="X775" s="8">
        <f>K775*L775*N775</f>
        <v>639000</v>
      </c>
    </row>
    <row r="776" spans="1:24" s="8" customFormat="1" ht="41.5" customHeight="1">
      <c r="A776" s="8" t="s">
        <v>2469</v>
      </c>
      <c r="B776" s="8" t="s">
        <v>13</v>
      </c>
      <c r="C776" s="9">
        <v>45863.604862372697</v>
      </c>
      <c r="D776" s="8" t="s">
        <v>2056</v>
      </c>
      <c r="E776" s="8" t="s">
        <v>2057</v>
      </c>
      <c r="F776" s="8">
        <v>4</v>
      </c>
      <c r="G776" s="22" t="s">
        <v>98</v>
      </c>
      <c r="H776" s="8" t="s">
        <v>98</v>
      </c>
      <c r="I776" s="2" t="str">
        <f t="shared" si="24"/>
        <v>Sơn nước ngoại thất</v>
      </c>
      <c r="J776" s="8" t="s">
        <v>54</v>
      </c>
      <c r="K776" s="10">
        <v>4</v>
      </c>
      <c r="L776" s="10">
        <v>1315000</v>
      </c>
      <c r="M776" s="11">
        <v>5260000</v>
      </c>
      <c r="N776" s="8" t="s">
        <v>30</v>
      </c>
      <c r="O776" s="8" t="s">
        <v>17</v>
      </c>
      <c r="P776" s="8" t="s">
        <v>18</v>
      </c>
      <c r="Q776" s="8" t="s">
        <v>18</v>
      </c>
      <c r="R776" s="8" t="s">
        <v>2110</v>
      </c>
      <c r="S776" s="8" t="s">
        <v>2116</v>
      </c>
      <c r="T776" s="8" t="s">
        <v>2117</v>
      </c>
      <c r="U776" s="8" t="s">
        <v>2193</v>
      </c>
      <c r="V776" s="8" t="s">
        <v>737</v>
      </c>
      <c r="W776" s="8">
        <f t="shared" si="23"/>
        <v>3</v>
      </c>
      <c r="X776" s="8">
        <f>K776*L776*N776</f>
        <v>526000</v>
      </c>
    </row>
    <row r="777" spans="1:24" s="8" customFormat="1" ht="41.5" customHeight="1">
      <c r="A777" s="8" t="s">
        <v>2286</v>
      </c>
      <c r="B777" s="8" t="s">
        <v>2624</v>
      </c>
      <c r="C777" s="9">
        <v>45869.711791574096</v>
      </c>
      <c r="D777" s="8" t="s">
        <v>2056</v>
      </c>
      <c r="E777" s="8" t="s">
        <v>2057</v>
      </c>
      <c r="F777" s="8">
        <v>1</v>
      </c>
      <c r="G777" s="22" t="s">
        <v>102</v>
      </c>
      <c r="H777" s="8" t="s">
        <v>102</v>
      </c>
      <c r="I777" s="2" t="str">
        <f t="shared" si="24"/>
        <v>Majestic Primer 17L</v>
      </c>
      <c r="J777" s="8" t="s">
        <v>54</v>
      </c>
      <c r="K777" s="10">
        <v>4</v>
      </c>
      <c r="L777" s="10">
        <v>1407453.7</v>
      </c>
      <c r="M777" s="11">
        <v>5629814.7999999998</v>
      </c>
      <c r="N777" s="8" t="s">
        <v>16</v>
      </c>
      <c r="O777" s="8" t="s">
        <v>17</v>
      </c>
      <c r="P777" s="8" t="s">
        <v>18</v>
      </c>
      <c r="Q777" s="8" t="s">
        <v>18</v>
      </c>
      <c r="R777" s="8" t="s">
        <v>2110</v>
      </c>
      <c r="S777" s="8" t="s">
        <v>2120</v>
      </c>
      <c r="T777" s="8" t="s">
        <v>2121</v>
      </c>
      <c r="U777" s="8" t="s">
        <v>2122</v>
      </c>
      <c r="V777" s="8" t="s">
        <v>725</v>
      </c>
      <c r="W777" s="8">
        <f t="shared" si="23"/>
        <v>3</v>
      </c>
      <c r="X777" s="8">
        <f>K777*L777*N777</f>
        <v>450385.18400000001</v>
      </c>
    </row>
    <row r="778" spans="1:24" s="8" customFormat="1" ht="41.5" customHeight="1">
      <c r="A778" s="8" t="s">
        <v>2286</v>
      </c>
      <c r="B778" s="8" t="s">
        <v>2624</v>
      </c>
      <c r="C778" s="9">
        <v>45869.711791574096</v>
      </c>
      <c r="D778" s="8" t="s">
        <v>2056</v>
      </c>
      <c r="E778" s="8" t="s">
        <v>2057</v>
      </c>
      <c r="F778" s="8">
        <v>2</v>
      </c>
      <c r="G778" s="22" t="s">
        <v>101</v>
      </c>
      <c r="H778" s="8" t="s">
        <v>740</v>
      </c>
      <c r="I778" s="2" t="str">
        <f t="shared" si="24"/>
        <v>Majestic đẹp hoàn hảo bóng base A 13.5L</v>
      </c>
      <c r="J778" s="8" t="s">
        <v>54</v>
      </c>
      <c r="K778" s="10">
        <v>3</v>
      </c>
      <c r="L778" s="10">
        <v>1829629.63</v>
      </c>
      <c r="M778" s="11">
        <v>5488888.8899999997</v>
      </c>
      <c r="N778" s="8" t="s">
        <v>16</v>
      </c>
      <c r="O778" s="8" t="s">
        <v>17</v>
      </c>
      <c r="P778" s="8" t="s">
        <v>18</v>
      </c>
      <c r="Q778" s="8" t="s">
        <v>18</v>
      </c>
      <c r="R778" s="8" t="s">
        <v>2110</v>
      </c>
      <c r="S778" s="8" t="s">
        <v>2120</v>
      </c>
      <c r="T778" s="8" t="s">
        <v>2121</v>
      </c>
      <c r="U778" s="8" t="s">
        <v>2122</v>
      </c>
      <c r="V778" s="8" t="s">
        <v>725</v>
      </c>
      <c r="W778" s="8">
        <f t="shared" si="23"/>
        <v>3</v>
      </c>
      <c r="X778" s="8">
        <f>K778*L778*N778</f>
        <v>439111.11119999998</v>
      </c>
    </row>
    <row r="779" spans="1:24" s="8" customFormat="1" ht="41.5" customHeight="1">
      <c r="A779" s="8" t="s">
        <v>2286</v>
      </c>
      <c r="B779" s="8" t="s">
        <v>2624</v>
      </c>
      <c r="C779" s="9">
        <v>45869.711791574096</v>
      </c>
      <c r="D779" s="8" t="s">
        <v>2056</v>
      </c>
      <c r="E779" s="8" t="s">
        <v>2057</v>
      </c>
      <c r="F779" s="8">
        <v>3</v>
      </c>
      <c r="G779" s="22" t="s">
        <v>1299</v>
      </c>
      <c r="H779" s="8" t="s">
        <v>741</v>
      </c>
      <c r="I779" s="2" t="str">
        <f t="shared" si="24"/>
        <v>Majestic đẹp hoàn hảo bóng base A 4.5L</v>
      </c>
      <c r="J779" s="8" t="s">
        <v>56</v>
      </c>
      <c r="K779" s="10">
        <v>1</v>
      </c>
      <c r="L779" s="10">
        <v>640740.74</v>
      </c>
      <c r="M779" s="11">
        <v>640740.74</v>
      </c>
      <c r="N779" s="8" t="s">
        <v>16</v>
      </c>
      <c r="O779" s="8" t="s">
        <v>17</v>
      </c>
      <c r="P779" s="8" t="s">
        <v>18</v>
      </c>
      <c r="Q779" s="8" t="s">
        <v>18</v>
      </c>
      <c r="R779" s="8" t="s">
        <v>2110</v>
      </c>
      <c r="S779" s="8" t="s">
        <v>2120</v>
      </c>
      <c r="T779" s="8" t="s">
        <v>2121</v>
      </c>
      <c r="U779" s="8" t="s">
        <v>2122</v>
      </c>
      <c r="V779" s="8" t="s">
        <v>725</v>
      </c>
      <c r="W779" s="8">
        <f t="shared" si="23"/>
        <v>3</v>
      </c>
      <c r="X779" s="8">
        <f>K779*L779*N779</f>
        <v>51259.2592</v>
      </c>
    </row>
    <row r="780" spans="1:24" s="8" customFormat="1" ht="41.5" customHeight="1">
      <c r="A780" s="8" t="s">
        <v>2286</v>
      </c>
      <c r="B780" s="8" t="s">
        <v>2625</v>
      </c>
      <c r="C780" s="9">
        <v>45847.744497963002</v>
      </c>
      <c r="D780" s="8" t="s">
        <v>2056</v>
      </c>
      <c r="E780" s="8" t="s">
        <v>2057</v>
      </c>
      <c r="F780" s="8">
        <v>1</v>
      </c>
      <c r="G780" s="22" t="s">
        <v>101</v>
      </c>
      <c r="H780" s="8" t="s">
        <v>742</v>
      </c>
      <c r="I780" s="2" t="str">
        <f t="shared" si="24"/>
        <v>Majestic đẹp hoàn hảo bóng base A 13.5L</v>
      </c>
      <c r="J780" s="8" t="s">
        <v>54</v>
      </c>
      <c r="K780" s="10">
        <v>2</v>
      </c>
      <c r="L780" s="10">
        <v>1796296.3</v>
      </c>
      <c r="M780" s="11">
        <v>3592592.6</v>
      </c>
      <c r="N780" s="8" t="s">
        <v>16</v>
      </c>
      <c r="O780" s="8" t="s">
        <v>17</v>
      </c>
      <c r="P780" s="8" t="s">
        <v>18</v>
      </c>
      <c r="Q780" s="8" t="s">
        <v>18</v>
      </c>
      <c r="R780" s="8" t="s">
        <v>2110</v>
      </c>
      <c r="S780" s="8" t="s">
        <v>2120</v>
      </c>
      <c r="T780" s="8" t="s">
        <v>2121</v>
      </c>
      <c r="U780" s="8" t="s">
        <v>2122</v>
      </c>
      <c r="V780" s="8" t="s">
        <v>743</v>
      </c>
      <c r="W780" s="8">
        <f t="shared" si="23"/>
        <v>3</v>
      </c>
      <c r="X780" s="8">
        <f>K780*L780*N780</f>
        <v>287407.408</v>
      </c>
    </row>
    <row r="781" spans="1:24" s="8" customFormat="1" ht="41.5" customHeight="1">
      <c r="A781" s="8" t="s">
        <v>2286</v>
      </c>
      <c r="B781" s="8" t="s">
        <v>2626</v>
      </c>
      <c r="C781" s="9">
        <v>45846.6287019792</v>
      </c>
      <c r="D781" s="8" t="s">
        <v>2056</v>
      </c>
      <c r="E781" s="8" t="s">
        <v>2057</v>
      </c>
      <c r="F781" s="8">
        <v>1</v>
      </c>
      <c r="G781" s="22" t="s">
        <v>2233</v>
      </c>
      <c r="H781" s="8" t="s">
        <v>183</v>
      </c>
      <c r="I781" s="2" t="str">
        <f t="shared" si="24"/>
        <v>Jotun Waterguard light 20Kg</v>
      </c>
      <c r="J781" s="8" t="s">
        <v>54</v>
      </c>
      <c r="K781" s="10">
        <v>3</v>
      </c>
      <c r="L781" s="10">
        <v>1875925.93</v>
      </c>
      <c r="M781" s="11">
        <v>5627777.79</v>
      </c>
      <c r="N781" s="8" t="s">
        <v>16</v>
      </c>
      <c r="O781" s="8" t="s">
        <v>17</v>
      </c>
      <c r="P781" s="8" t="s">
        <v>18</v>
      </c>
      <c r="Q781" s="8" t="s">
        <v>18</v>
      </c>
      <c r="R781" s="8" t="s">
        <v>2110</v>
      </c>
      <c r="S781" s="8" t="s">
        <v>2120</v>
      </c>
      <c r="T781" s="8" t="s">
        <v>2121</v>
      </c>
      <c r="U781" s="8" t="s">
        <v>2122</v>
      </c>
      <c r="V781" s="8" t="s">
        <v>744</v>
      </c>
      <c r="W781" s="8">
        <f t="shared" si="23"/>
        <v>3</v>
      </c>
      <c r="X781" s="8">
        <f>K781*L781*N781</f>
        <v>450222.22320000001</v>
      </c>
    </row>
    <row r="782" spans="1:24" s="8" customFormat="1" ht="41.5" customHeight="1">
      <c r="A782" s="8" t="s">
        <v>2286</v>
      </c>
      <c r="B782" s="8" t="s">
        <v>2626</v>
      </c>
      <c r="C782" s="9">
        <v>45846.6287019792</v>
      </c>
      <c r="D782" s="8" t="s">
        <v>2056</v>
      </c>
      <c r="E782" s="8" t="s">
        <v>2057</v>
      </c>
      <c r="F782" s="8">
        <v>2</v>
      </c>
      <c r="G782" s="22" t="s">
        <v>2130</v>
      </c>
      <c r="H782" s="8" t="s">
        <v>257</v>
      </c>
      <c r="I782" s="2" t="str">
        <f t="shared" si="24"/>
        <v>Jotun Waterguard 6Kg</v>
      </c>
      <c r="J782" s="8" t="s">
        <v>56</v>
      </c>
      <c r="K782" s="10">
        <v>1</v>
      </c>
      <c r="L782" s="10">
        <v>877777.78</v>
      </c>
      <c r="M782" s="11">
        <v>877777.78</v>
      </c>
      <c r="N782" s="8" t="s">
        <v>16</v>
      </c>
      <c r="O782" s="8" t="s">
        <v>17</v>
      </c>
      <c r="P782" s="8" t="s">
        <v>18</v>
      </c>
      <c r="Q782" s="8" t="s">
        <v>18</v>
      </c>
      <c r="R782" s="8" t="s">
        <v>2110</v>
      </c>
      <c r="S782" s="8" t="s">
        <v>2120</v>
      </c>
      <c r="T782" s="8" t="s">
        <v>2121</v>
      </c>
      <c r="U782" s="8" t="s">
        <v>2122</v>
      </c>
      <c r="V782" s="8" t="s">
        <v>744</v>
      </c>
      <c r="W782" s="8">
        <f t="shared" si="23"/>
        <v>3</v>
      </c>
      <c r="X782" s="8">
        <f>K782*L782*N782</f>
        <v>70222.222399999999</v>
      </c>
    </row>
    <row r="783" spans="1:24" s="8" customFormat="1" ht="41.5" customHeight="1">
      <c r="A783" s="8" t="s">
        <v>2286</v>
      </c>
      <c r="B783" s="8" t="s">
        <v>2627</v>
      </c>
      <c r="C783" s="9">
        <v>45841.667968460701</v>
      </c>
      <c r="D783" s="8" t="s">
        <v>2056</v>
      </c>
      <c r="E783" s="8" t="s">
        <v>2057</v>
      </c>
      <c r="F783" s="8">
        <v>1</v>
      </c>
      <c r="G783" s="22" t="s">
        <v>1260</v>
      </c>
      <c r="H783" s="8" t="s">
        <v>265</v>
      </c>
      <c r="I783" s="2" t="str">
        <f t="shared" si="24"/>
        <v>Vữa rót sikagrout 214-11</v>
      </c>
      <c r="J783" s="8" t="s">
        <v>35</v>
      </c>
      <c r="K783" s="10">
        <v>250</v>
      </c>
      <c r="L783" s="10">
        <v>9629.6299999999992</v>
      </c>
      <c r="M783" s="11">
        <v>2407407.5</v>
      </c>
      <c r="N783" s="8" t="s">
        <v>16</v>
      </c>
      <c r="O783" s="8" t="s">
        <v>17</v>
      </c>
      <c r="P783" s="8" t="s">
        <v>18</v>
      </c>
      <c r="Q783" s="8" t="s">
        <v>18</v>
      </c>
      <c r="R783" s="8" t="s">
        <v>2110</v>
      </c>
      <c r="S783" s="8" t="s">
        <v>2120</v>
      </c>
      <c r="T783" s="8" t="s">
        <v>2121</v>
      </c>
      <c r="U783" s="8" t="s">
        <v>2122</v>
      </c>
      <c r="V783" s="8" t="s">
        <v>745</v>
      </c>
      <c r="W783" s="8">
        <f t="shared" si="23"/>
        <v>3</v>
      </c>
      <c r="X783" s="8">
        <f>K783*L783*N783</f>
        <v>192592.6</v>
      </c>
    </row>
    <row r="784" spans="1:24" s="8" customFormat="1" ht="41.5" customHeight="1">
      <c r="A784" s="8" t="s">
        <v>2286</v>
      </c>
      <c r="B784" s="8" t="s">
        <v>2627</v>
      </c>
      <c r="C784" s="9">
        <v>45841.667968460701</v>
      </c>
      <c r="D784" s="8" t="s">
        <v>2056</v>
      </c>
      <c r="E784" s="8" t="s">
        <v>2057</v>
      </c>
      <c r="F784" s="8">
        <v>2</v>
      </c>
      <c r="G784" s="22" t="s">
        <v>2230</v>
      </c>
      <c r="H784" s="8" t="s">
        <v>746</v>
      </c>
      <c r="I784" s="2" t="str">
        <f t="shared" si="24"/>
        <v>GARDEX bóng mở BASE B 2.25L</v>
      </c>
      <c r="J784" s="8" t="s">
        <v>56</v>
      </c>
      <c r="K784" s="10">
        <v>1</v>
      </c>
      <c r="L784" s="10">
        <v>474074.07</v>
      </c>
      <c r="M784" s="11">
        <v>474074.07</v>
      </c>
      <c r="N784" s="8" t="s">
        <v>16</v>
      </c>
      <c r="O784" s="8" t="s">
        <v>17</v>
      </c>
      <c r="P784" s="8" t="s">
        <v>18</v>
      </c>
      <c r="Q784" s="8" t="s">
        <v>18</v>
      </c>
      <c r="R784" s="8" t="s">
        <v>2110</v>
      </c>
      <c r="S784" s="8" t="s">
        <v>2120</v>
      </c>
      <c r="T784" s="8" t="s">
        <v>2121</v>
      </c>
      <c r="U784" s="8" t="s">
        <v>2122</v>
      </c>
      <c r="V784" s="8" t="s">
        <v>745</v>
      </c>
      <c r="W784" s="8">
        <f t="shared" si="23"/>
        <v>3</v>
      </c>
      <c r="X784" s="8">
        <f>K784*L784*N784</f>
        <v>37925.925600000002</v>
      </c>
    </row>
    <row r="785" spans="1:24" s="8" customFormat="1" ht="41.5" customHeight="1">
      <c r="A785" s="8" t="s">
        <v>2286</v>
      </c>
      <c r="B785" s="8" t="s">
        <v>2627</v>
      </c>
      <c r="C785" s="9">
        <v>45841.667968460701</v>
      </c>
      <c r="D785" s="8" t="s">
        <v>2056</v>
      </c>
      <c r="E785" s="8" t="s">
        <v>2057</v>
      </c>
      <c r="F785" s="8">
        <v>3</v>
      </c>
      <c r="G785" s="22" t="s">
        <v>2256</v>
      </c>
      <c r="H785" s="8" t="s">
        <v>747</v>
      </c>
      <c r="I785" s="2" t="str">
        <f t="shared" si="24"/>
        <v>GARDEX bóng mở BASE C 2.25L</v>
      </c>
      <c r="J785" s="8" t="s">
        <v>56</v>
      </c>
      <c r="K785" s="10">
        <v>1</v>
      </c>
      <c r="L785" s="10">
        <v>474074.07</v>
      </c>
      <c r="M785" s="11">
        <v>474074.07</v>
      </c>
      <c r="N785" s="8" t="s">
        <v>16</v>
      </c>
      <c r="O785" s="8" t="s">
        <v>17</v>
      </c>
      <c r="P785" s="8" t="s">
        <v>18</v>
      </c>
      <c r="Q785" s="8" t="s">
        <v>18</v>
      </c>
      <c r="R785" s="8" t="s">
        <v>2110</v>
      </c>
      <c r="S785" s="8" t="s">
        <v>2120</v>
      </c>
      <c r="T785" s="8" t="s">
        <v>2121</v>
      </c>
      <c r="U785" s="8" t="s">
        <v>2122</v>
      </c>
      <c r="V785" s="8" t="s">
        <v>745</v>
      </c>
      <c r="W785" s="8">
        <f t="shared" si="23"/>
        <v>3</v>
      </c>
      <c r="X785" s="8">
        <f>K785*L785*N785</f>
        <v>37925.925600000002</v>
      </c>
    </row>
    <row r="786" spans="1:24" s="8" customFormat="1" ht="41.5" customHeight="1">
      <c r="A786" s="8" t="s">
        <v>2280</v>
      </c>
      <c r="B786" s="8" t="s">
        <v>748</v>
      </c>
      <c r="C786" s="9">
        <v>45869.4388680556</v>
      </c>
      <c r="D786" s="8" t="s">
        <v>2056</v>
      </c>
      <c r="E786" s="8" t="s">
        <v>2057</v>
      </c>
      <c r="F786" s="8">
        <v>1</v>
      </c>
      <c r="G786" s="22" t="s">
        <v>1330</v>
      </c>
      <c r="H786" s="8" t="s">
        <v>749</v>
      </c>
      <c r="I786" s="2" t="str">
        <f t="shared" si="24"/>
        <v>Dung môi cao cấp</v>
      </c>
      <c r="J786" s="8" t="s">
        <v>35</v>
      </c>
      <c r="K786" s="10">
        <v>200</v>
      </c>
      <c r="L786" s="10">
        <v>34500</v>
      </c>
      <c r="M786" s="11">
        <v>6900000</v>
      </c>
      <c r="N786" s="8" t="s">
        <v>16</v>
      </c>
      <c r="O786" s="8" t="s">
        <v>17</v>
      </c>
      <c r="P786" s="8" t="s">
        <v>18</v>
      </c>
      <c r="Q786" s="8" t="s">
        <v>18</v>
      </c>
      <c r="R786" s="8" t="s">
        <v>2110</v>
      </c>
      <c r="S786" s="8" t="s">
        <v>2292</v>
      </c>
      <c r="T786" s="8" t="s">
        <v>2293</v>
      </c>
      <c r="U786" s="8" t="s">
        <v>2294</v>
      </c>
      <c r="V786" s="8" t="s">
        <v>725</v>
      </c>
      <c r="W786" s="8">
        <f t="shared" si="23"/>
        <v>3</v>
      </c>
      <c r="X786" s="8">
        <f>K786*L786*N786</f>
        <v>552000</v>
      </c>
    </row>
    <row r="787" spans="1:24" s="8" customFormat="1" ht="41.5" customHeight="1">
      <c r="A787" s="8" t="s">
        <v>2280</v>
      </c>
      <c r="B787" s="8" t="s">
        <v>748</v>
      </c>
      <c r="C787" s="9">
        <v>45869.4388680556</v>
      </c>
      <c r="D787" s="8" t="s">
        <v>2056</v>
      </c>
      <c r="E787" s="8" t="s">
        <v>2057</v>
      </c>
      <c r="F787" s="8">
        <v>2</v>
      </c>
      <c r="G787" s="22" t="s">
        <v>750</v>
      </c>
      <c r="H787" s="8" t="s">
        <v>750</v>
      </c>
      <c r="I787" s="2" t="str">
        <f t="shared" si="24"/>
        <v>Sơn sắt mạ kẽm màu nâu đỏ Z41</v>
      </c>
      <c r="J787" s="8" t="s">
        <v>35</v>
      </c>
      <c r="K787" s="10">
        <v>75</v>
      </c>
      <c r="L787" s="10">
        <v>73500</v>
      </c>
      <c r="M787" s="11">
        <v>5512500</v>
      </c>
      <c r="N787" s="8" t="s">
        <v>16</v>
      </c>
      <c r="O787" s="8" t="s">
        <v>17</v>
      </c>
      <c r="P787" s="8" t="s">
        <v>18</v>
      </c>
      <c r="Q787" s="8" t="s">
        <v>18</v>
      </c>
      <c r="R787" s="8" t="s">
        <v>2110</v>
      </c>
      <c r="S787" s="8" t="s">
        <v>2292</v>
      </c>
      <c r="T787" s="8" t="s">
        <v>2293</v>
      </c>
      <c r="U787" s="8" t="s">
        <v>2294</v>
      </c>
      <c r="V787" s="8" t="s">
        <v>725</v>
      </c>
      <c r="W787" s="8">
        <f t="shared" si="23"/>
        <v>3</v>
      </c>
      <c r="X787" s="8">
        <f>K787*L787*N787</f>
        <v>441000</v>
      </c>
    </row>
    <row r="788" spans="1:24" s="8" customFormat="1" ht="41.5" customHeight="1">
      <c r="A788" s="8" t="s">
        <v>2280</v>
      </c>
      <c r="B788" s="8" t="s">
        <v>748</v>
      </c>
      <c r="C788" s="9">
        <v>45869.4388680556</v>
      </c>
      <c r="D788" s="8" t="s">
        <v>2056</v>
      </c>
      <c r="E788" s="8" t="s">
        <v>2057</v>
      </c>
      <c r="F788" s="8">
        <v>3</v>
      </c>
      <c r="G788" s="22" t="s">
        <v>751</v>
      </c>
      <c r="H788" s="8" t="s">
        <v>751</v>
      </c>
      <c r="I788" s="2" t="str">
        <f t="shared" si="24"/>
        <v>Sơn sắt mạ kẽm màu đỏ Z10</v>
      </c>
      <c r="J788" s="8" t="s">
        <v>35</v>
      </c>
      <c r="K788" s="10">
        <v>60</v>
      </c>
      <c r="L788" s="10">
        <v>73500</v>
      </c>
      <c r="M788" s="11">
        <v>4410000</v>
      </c>
      <c r="N788" s="8" t="s">
        <v>16</v>
      </c>
      <c r="O788" s="8" t="s">
        <v>17</v>
      </c>
      <c r="P788" s="8" t="s">
        <v>18</v>
      </c>
      <c r="Q788" s="8" t="s">
        <v>18</v>
      </c>
      <c r="R788" s="8" t="s">
        <v>2110</v>
      </c>
      <c r="S788" s="8" t="s">
        <v>2292</v>
      </c>
      <c r="T788" s="8" t="s">
        <v>2293</v>
      </c>
      <c r="U788" s="8" t="s">
        <v>2294</v>
      </c>
      <c r="V788" s="8" t="s">
        <v>725</v>
      </c>
      <c r="W788" s="8">
        <f t="shared" si="23"/>
        <v>3</v>
      </c>
      <c r="X788" s="8">
        <f>K788*L788*N788</f>
        <v>352800</v>
      </c>
    </row>
    <row r="789" spans="1:24" s="8" customFormat="1" ht="41.5" customHeight="1">
      <c r="A789" s="8" t="s">
        <v>2280</v>
      </c>
      <c r="B789" s="8" t="s">
        <v>748</v>
      </c>
      <c r="C789" s="9">
        <v>45869.4388680556</v>
      </c>
      <c r="D789" s="8" t="s">
        <v>2056</v>
      </c>
      <c r="E789" s="8" t="s">
        <v>2057</v>
      </c>
      <c r="F789" s="8">
        <v>4</v>
      </c>
      <c r="G789" s="22" t="s">
        <v>752</v>
      </c>
      <c r="H789" s="8" t="s">
        <v>752</v>
      </c>
      <c r="I789" s="2" t="str">
        <f t="shared" si="24"/>
        <v>Sơn sắt mạ kẽm màu ghi sáng Z31</v>
      </c>
      <c r="J789" s="8" t="s">
        <v>35</v>
      </c>
      <c r="K789" s="10">
        <v>75</v>
      </c>
      <c r="L789" s="10">
        <v>73500</v>
      </c>
      <c r="M789" s="11">
        <v>5512500</v>
      </c>
      <c r="N789" s="8" t="s">
        <v>16</v>
      </c>
      <c r="O789" s="8" t="s">
        <v>17</v>
      </c>
      <c r="P789" s="8" t="s">
        <v>18</v>
      </c>
      <c r="Q789" s="8" t="s">
        <v>18</v>
      </c>
      <c r="R789" s="8" t="s">
        <v>2110</v>
      </c>
      <c r="S789" s="8" t="s">
        <v>2292</v>
      </c>
      <c r="T789" s="8" t="s">
        <v>2293</v>
      </c>
      <c r="U789" s="8" t="s">
        <v>2294</v>
      </c>
      <c r="V789" s="8" t="s">
        <v>725</v>
      </c>
      <c r="W789" s="8">
        <f t="shared" si="23"/>
        <v>3</v>
      </c>
      <c r="X789" s="8">
        <f>K789*L789*N789</f>
        <v>441000</v>
      </c>
    </row>
    <row r="790" spans="1:24" s="8" customFormat="1" ht="41.5" customHeight="1">
      <c r="A790" s="8" t="s">
        <v>2280</v>
      </c>
      <c r="B790" s="8" t="s">
        <v>748</v>
      </c>
      <c r="C790" s="9">
        <v>45869.4388680556</v>
      </c>
      <c r="D790" s="8" t="s">
        <v>2056</v>
      </c>
      <c r="E790" s="8" t="s">
        <v>2057</v>
      </c>
      <c r="F790" s="8">
        <v>5</v>
      </c>
      <c r="G790" s="22" t="s">
        <v>753</v>
      </c>
      <c r="H790" s="8" t="s">
        <v>753</v>
      </c>
      <c r="I790" s="2" t="str">
        <f t="shared" si="24"/>
        <v>Sơn sắt mạ kẽm màu trắng Z60</v>
      </c>
      <c r="J790" s="8" t="s">
        <v>35</v>
      </c>
      <c r="K790" s="10">
        <v>60</v>
      </c>
      <c r="L790" s="10">
        <v>73500</v>
      </c>
      <c r="M790" s="11">
        <v>4410000</v>
      </c>
      <c r="N790" s="8" t="s">
        <v>16</v>
      </c>
      <c r="O790" s="8" t="s">
        <v>17</v>
      </c>
      <c r="P790" s="8" t="s">
        <v>18</v>
      </c>
      <c r="Q790" s="8" t="s">
        <v>18</v>
      </c>
      <c r="R790" s="8" t="s">
        <v>2110</v>
      </c>
      <c r="S790" s="8" t="s">
        <v>2292</v>
      </c>
      <c r="T790" s="8" t="s">
        <v>2293</v>
      </c>
      <c r="U790" s="8" t="s">
        <v>2294</v>
      </c>
      <c r="V790" s="8" t="s">
        <v>725</v>
      </c>
      <c r="W790" s="8">
        <f t="shared" si="23"/>
        <v>3</v>
      </c>
      <c r="X790" s="8">
        <f>K790*L790*N790</f>
        <v>352800</v>
      </c>
    </row>
    <row r="791" spans="1:24" s="8" customFormat="1" ht="41.5" customHeight="1">
      <c r="A791" s="8" t="s">
        <v>2280</v>
      </c>
      <c r="B791" s="8" t="s">
        <v>748</v>
      </c>
      <c r="C791" s="9">
        <v>45869.4388680556</v>
      </c>
      <c r="D791" s="8" t="s">
        <v>2056</v>
      </c>
      <c r="E791" s="8" t="s">
        <v>2057</v>
      </c>
      <c r="F791" s="8">
        <v>6</v>
      </c>
      <c r="G791" s="22" t="s">
        <v>754</v>
      </c>
      <c r="H791" s="8" t="s">
        <v>754</v>
      </c>
      <c r="I791" s="2" t="str">
        <f t="shared" si="24"/>
        <v>Sơn sắt mạ kẽm màu đen Z70</v>
      </c>
      <c r="J791" s="8" t="s">
        <v>35</v>
      </c>
      <c r="K791" s="10">
        <v>90</v>
      </c>
      <c r="L791" s="10">
        <v>73500</v>
      </c>
      <c r="M791" s="11">
        <v>6615000</v>
      </c>
      <c r="N791" s="8" t="s">
        <v>16</v>
      </c>
      <c r="O791" s="8" t="s">
        <v>17</v>
      </c>
      <c r="P791" s="8" t="s">
        <v>18</v>
      </c>
      <c r="Q791" s="8" t="s">
        <v>18</v>
      </c>
      <c r="R791" s="8" t="s">
        <v>2110</v>
      </c>
      <c r="S791" s="8" t="s">
        <v>2292</v>
      </c>
      <c r="T791" s="8" t="s">
        <v>2293</v>
      </c>
      <c r="U791" s="8" t="s">
        <v>2294</v>
      </c>
      <c r="V791" s="8" t="s">
        <v>725</v>
      </c>
      <c r="W791" s="8">
        <f t="shared" si="23"/>
        <v>3</v>
      </c>
      <c r="X791" s="8">
        <f>K791*L791*N791</f>
        <v>529200</v>
      </c>
    </row>
    <row r="792" spans="1:24" s="8" customFormat="1" ht="41.5" customHeight="1">
      <c r="A792" s="8" t="s">
        <v>2280</v>
      </c>
      <c r="B792" s="8" t="s">
        <v>748</v>
      </c>
      <c r="C792" s="9">
        <v>45869.4388680556</v>
      </c>
      <c r="D792" s="8" t="s">
        <v>2056</v>
      </c>
      <c r="E792" s="8" t="s">
        <v>2057</v>
      </c>
      <c r="F792" s="8">
        <v>7</v>
      </c>
      <c r="G792" s="22" t="s">
        <v>755</v>
      </c>
      <c r="H792" s="8" t="s">
        <v>755</v>
      </c>
      <c r="I792" s="2" t="str">
        <f t="shared" si="24"/>
        <v>Sơn sắt mạ kẽm màu nhũ đồng Z91</v>
      </c>
      <c r="J792" s="8" t="s">
        <v>35</v>
      </c>
      <c r="K792" s="10">
        <v>60</v>
      </c>
      <c r="L792" s="10">
        <v>73500</v>
      </c>
      <c r="M792" s="11">
        <v>4410000</v>
      </c>
      <c r="N792" s="8" t="s">
        <v>16</v>
      </c>
      <c r="O792" s="8" t="s">
        <v>17</v>
      </c>
      <c r="P792" s="8" t="s">
        <v>18</v>
      </c>
      <c r="Q792" s="8" t="s">
        <v>18</v>
      </c>
      <c r="R792" s="8" t="s">
        <v>2110</v>
      </c>
      <c r="S792" s="8" t="s">
        <v>2292</v>
      </c>
      <c r="T792" s="8" t="s">
        <v>2293</v>
      </c>
      <c r="U792" s="8" t="s">
        <v>2294</v>
      </c>
      <c r="V792" s="8" t="s">
        <v>725</v>
      </c>
      <c r="W792" s="8">
        <f t="shared" si="23"/>
        <v>3</v>
      </c>
      <c r="X792" s="8">
        <f>K792*L792*N792</f>
        <v>352800</v>
      </c>
    </row>
    <row r="793" spans="1:24" s="8" customFormat="1" ht="41.5" customHeight="1">
      <c r="A793" s="8" t="s">
        <v>2280</v>
      </c>
      <c r="B793" s="8" t="s">
        <v>748</v>
      </c>
      <c r="C793" s="9">
        <v>45869.4388680556</v>
      </c>
      <c r="D793" s="8" t="s">
        <v>2056</v>
      </c>
      <c r="E793" s="8" t="s">
        <v>2057</v>
      </c>
      <c r="F793" s="8">
        <v>8</v>
      </c>
      <c r="G793" s="22" t="s">
        <v>649</v>
      </c>
      <c r="H793" s="8" t="s">
        <v>649</v>
      </c>
      <c r="I793" s="2" t="str">
        <f t="shared" si="24"/>
        <v>Sơn sắt mạ kẽm màu cafe Z43</v>
      </c>
      <c r="J793" s="8" t="s">
        <v>35</v>
      </c>
      <c r="K793" s="10">
        <v>30</v>
      </c>
      <c r="L793" s="10">
        <v>73500</v>
      </c>
      <c r="M793" s="11">
        <v>2205000</v>
      </c>
      <c r="N793" s="8" t="s">
        <v>16</v>
      </c>
      <c r="O793" s="8" t="s">
        <v>17</v>
      </c>
      <c r="P793" s="8" t="s">
        <v>18</v>
      </c>
      <c r="Q793" s="8" t="s">
        <v>18</v>
      </c>
      <c r="R793" s="8" t="s">
        <v>2110</v>
      </c>
      <c r="S793" s="8" t="s">
        <v>2292</v>
      </c>
      <c r="T793" s="8" t="s">
        <v>2293</v>
      </c>
      <c r="U793" s="8" t="s">
        <v>2294</v>
      </c>
      <c r="V793" s="8" t="s">
        <v>725</v>
      </c>
      <c r="W793" s="8">
        <f t="shared" si="23"/>
        <v>3</v>
      </c>
      <c r="X793" s="8">
        <f>K793*L793*N793</f>
        <v>176400</v>
      </c>
    </row>
    <row r="794" spans="1:24" s="8" customFormat="1" ht="41.5" customHeight="1">
      <c r="A794" s="8" t="s">
        <v>2280</v>
      </c>
      <c r="B794" s="8" t="s">
        <v>748</v>
      </c>
      <c r="C794" s="9">
        <v>45869.4388680556</v>
      </c>
      <c r="D794" s="8" t="s">
        <v>2056</v>
      </c>
      <c r="E794" s="8" t="s">
        <v>2057</v>
      </c>
      <c r="F794" s="8">
        <v>9</v>
      </c>
      <c r="G794" s="22" t="s">
        <v>2628</v>
      </c>
      <c r="H794" s="8" t="s">
        <v>756</v>
      </c>
      <c r="I794" s="2" t="str">
        <f t="shared" si="24"/>
        <v>sơn sắt mạ kẽm màu ghi sáng E361</v>
      </c>
      <c r="J794" s="8" t="s">
        <v>35</v>
      </c>
      <c r="K794" s="10">
        <v>45</v>
      </c>
      <c r="L794" s="10">
        <v>68500</v>
      </c>
      <c r="M794" s="11">
        <v>3082500</v>
      </c>
      <c r="N794" s="8" t="s">
        <v>16</v>
      </c>
      <c r="O794" s="8" t="s">
        <v>17</v>
      </c>
      <c r="P794" s="8" t="s">
        <v>18</v>
      </c>
      <c r="Q794" s="8" t="s">
        <v>18</v>
      </c>
      <c r="R794" s="8" t="s">
        <v>2110</v>
      </c>
      <c r="S794" s="8" t="s">
        <v>2292</v>
      </c>
      <c r="T794" s="8" t="s">
        <v>2293</v>
      </c>
      <c r="U794" s="8" t="s">
        <v>2294</v>
      </c>
      <c r="V794" s="8" t="s">
        <v>725</v>
      </c>
      <c r="W794" s="8">
        <f t="shared" si="23"/>
        <v>3</v>
      </c>
      <c r="X794" s="8">
        <f>K794*L794*N794</f>
        <v>246600</v>
      </c>
    </row>
    <row r="795" spans="1:24" s="8" customFormat="1" ht="41.5" customHeight="1">
      <c r="A795" s="8" t="s">
        <v>2280</v>
      </c>
      <c r="B795" s="8" t="s">
        <v>748</v>
      </c>
      <c r="C795" s="9">
        <v>45869.4388680556</v>
      </c>
      <c r="D795" s="8" t="s">
        <v>2056</v>
      </c>
      <c r="E795" s="8" t="s">
        <v>2057</v>
      </c>
      <c r="F795" s="8">
        <v>10</v>
      </c>
      <c r="G795" s="22" t="s">
        <v>757</v>
      </c>
      <c r="H795" s="8" t="s">
        <v>757</v>
      </c>
      <c r="I795" s="2" t="str">
        <f t="shared" si="24"/>
        <v>Sơn sắt mạ kẽm màu nhũ bạc E960</v>
      </c>
      <c r="J795" s="8" t="s">
        <v>35</v>
      </c>
      <c r="K795" s="10">
        <v>90</v>
      </c>
      <c r="L795" s="10">
        <v>68500</v>
      </c>
      <c r="M795" s="11">
        <v>6165000</v>
      </c>
      <c r="N795" s="8" t="s">
        <v>16</v>
      </c>
      <c r="O795" s="8" t="s">
        <v>17</v>
      </c>
      <c r="P795" s="8" t="s">
        <v>18</v>
      </c>
      <c r="Q795" s="8" t="s">
        <v>18</v>
      </c>
      <c r="R795" s="8" t="s">
        <v>2110</v>
      </c>
      <c r="S795" s="8" t="s">
        <v>2292</v>
      </c>
      <c r="T795" s="8" t="s">
        <v>2293</v>
      </c>
      <c r="U795" s="8" t="s">
        <v>2294</v>
      </c>
      <c r="V795" s="8" t="s">
        <v>725</v>
      </c>
      <c r="W795" s="8">
        <f t="shared" si="23"/>
        <v>3</v>
      </c>
      <c r="X795" s="8">
        <f>K795*L795*N795</f>
        <v>493200</v>
      </c>
    </row>
    <row r="796" spans="1:24" s="8" customFormat="1" ht="41.5" customHeight="1">
      <c r="A796" s="8" t="s">
        <v>2280</v>
      </c>
      <c r="B796" s="8" t="s">
        <v>748</v>
      </c>
      <c r="C796" s="9">
        <v>45869.4388680556</v>
      </c>
      <c r="D796" s="8" t="s">
        <v>2056</v>
      </c>
      <c r="E796" s="8" t="s">
        <v>2057</v>
      </c>
      <c r="F796" s="8">
        <v>11</v>
      </c>
      <c r="G796" s="22" t="s">
        <v>685</v>
      </c>
      <c r="H796" s="8" t="s">
        <v>758</v>
      </c>
      <c r="I796" s="2" t="str">
        <f t="shared" si="24"/>
        <v>Lót chống rỉ ghi</v>
      </c>
      <c r="J796" s="8" t="s">
        <v>35</v>
      </c>
      <c r="K796" s="10">
        <v>100</v>
      </c>
      <c r="L796" s="10">
        <v>40500</v>
      </c>
      <c r="M796" s="11">
        <v>4050000</v>
      </c>
      <c r="N796" s="8" t="s">
        <v>16</v>
      </c>
      <c r="O796" s="8" t="s">
        <v>17</v>
      </c>
      <c r="P796" s="8" t="s">
        <v>18</v>
      </c>
      <c r="Q796" s="8" t="s">
        <v>18</v>
      </c>
      <c r="R796" s="8" t="s">
        <v>2110</v>
      </c>
      <c r="S796" s="8" t="s">
        <v>2292</v>
      </c>
      <c r="T796" s="8" t="s">
        <v>2293</v>
      </c>
      <c r="U796" s="8" t="s">
        <v>2294</v>
      </c>
      <c r="V796" s="8" t="s">
        <v>725</v>
      </c>
      <c r="W796" s="8">
        <f t="shared" si="23"/>
        <v>3</v>
      </c>
      <c r="X796" s="8">
        <f>K796*L796*N796</f>
        <v>324000</v>
      </c>
    </row>
    <row r="797" spans="1:24" s="8" customFormat="1" ht="41.5" customHeight="1">
      <c r="A797" s="8" t="s">
        <v>2280</v>
      </c>
      <c r="B797" s="8" t="s">
        <v>748</v>
      </c>
      <c r="C797" s="9">
        <v>45869.4388680556</v>
      </c>
      <c r="D797" s="8" t="s">
        <v>2056</v>
      </c>
      <c r="E797" s="8" t="s">
        <v>2057</v>
      </c>
      <c r="F797" s="8">
        <v>12</v>
      </c>
      <c r="G797" s="22" t="s">
        <v>759</v>
      </c>
      <c r="H797" s="8" t="s">
        <v>759</v>
      </c>
      <c r="I797" s="2" t="str">
        <f t="shared" si="24"/>
        <v>Sơn phun I212</v>
      </c>
      <c r="J797" s="8" t="s">
        <v>56</v>
      </c>
      <c r="K797" s="10">
        <v>90</v>
      </c>
      <c r="L797" s="10">
        <v>23500</v>
      </c>
      <c r="M797" s="11">
        <v>2115000</v>
      </c>
      <c r="N797" s="8" t="s">
        <v>16</v>
      </c>
      <c r="O797" s="8" t="s">
        <v>17</v>
      </c>
      <c r="P797" s="8" t="s">
        <v>18</v>
      </c>
      <c r="Q797" s="8" t="s">
        <v>18</v>
      </c>
      <c r="R797" s="8" t="s">
        <v>2110</v>
      </c>
      <c r="S797" s="8" t="s">
        <v>2292</v>
      </c>
      <c r="T797" s="8" t="s">
        <v>2293</v>
      </c>
      <c r="U797" s="8" t="s">
        <v>2294</v>
      </c>
      <c r="V797" s="8" t="s">
        <v>725</v>
      </c>
      <c r="W797" s="8">
        <f t="shared" si="23"/>
        <v>3</v>
      </c>
      <c r="X797" s="8">
        <f>K797*L797*N797</f>
        <v>169200</v>
      </c>
    </row>
    <row r="798" spans="1:24" s="8" customFormat="1" ht="41.5" customHeight="1">
      <c r="A798" s="8" t="s">
        <v>2280</v>
      </c>
      <c r="B798" s="8" t="s">
        <v>748</v>
      </c>
      <c r="C798" s="9">
        <v>45869.4388680556</v>
      </c>
      <c r="D798" s="8" t="s">
        <v>2056</v>
      </c>
      <c r="E798" s="8" t="s">
        <v>2057</v>
      </c>
      <c r="F798" s="8">
        <v>13</v>
      </c>
      <c r="G798" s="22" t="s">
        <v>760</v>
      </c>
      <c r="H798" s="8" t="s">
        <v>760</v>
      </c>
      <c r="I798" s="2" t="str">
        <f t="shared" si="24"/>
        <v>Sơn phun I220</v>
      </c>
      <c r="J798" s="8" t="s">
        <v>56</v>
      </c>
      <c r="K798" s="10">
        <v>60</v>
      </c>
      <c r="L798" s="10">
        <v>23500</v>
      </c>
      <c r="M798" s="11">
        <v>1410000</v>
      </c>
      <c r="N798" s="8" t="s">
        <v>16</v>
      </c>
      <c r="O798" s="8" t="s">
        <v>17</v>
      </c>
      <c r="P798" s="8" t="s">
        <v>18</v>
      </c>
      <c r="Q798" s="8" t="s">
        <v>18</v>
      </c>
      <c r="R798" s="8" t="s">
        <v>2110</v>
      </c>
      <c r="S798" s="8" t="s">
        <v>2292</v>
      </c>
      <c r="T798" s="8" t="s">
        <v>2293</v>
      </c>
      <c r="U798" s="8" t="s">
        <v>2294</v>
      </c>
      <c r="V798" s="8" t="s">
        <v>725</v>
      </c>
      <c r="W798" s="8">
        <f t="shared" si="23"/>
        <v>3</v>
      </c>
      <c r="X798" s="8">
        <f>K798*L798*N798</f>
        <v>112800</v>
      </c>
    </row>
    <row r="799" spans="1:24" s="8" customFormat="1" ht="41.5" customHeight="1">
      <c r="A799" s="8" t="s">
        <v>2280</v>
      </c>
      <c r="B799" s="8" t="s">
        <v>748</v>
      </c>
      <c r="C799" s="9">
        <v>45869.4388680556</v>
      </c>
      <c r="D799" s="8" t="s">
        <v>2056</v>
      </c>
      <c r="E799" s="8" t="s">
        <v>2057</v>
      </c>
      <c r="F799" s="8">
        <v>14</v>
      </c>
      <c r="G799" s="22" t="s">
        <v>684</v>
      </c>
      <c r="H799" s="8" t="s">
        <v>684</v>
      </c>
      <c r="I799" s="2" t="str">
        <f t="shared" si="24"/>
        <v>Sơn phun I300</v>
      </c>
      <c r="J799" s="8" t="s">
        <v>56</v>
      </c>
      <c r="K799" s="10">
        <v>83</v>
      </c>
      <c r="L799" s="10">
        <v>26000</v>
      </c>
      <c r="M799" s="11">
        <v>2158000</v>
      </c>
      <c r="N799" s="8" t="s">
        <v>16</v>
      </c>
      <c r="O799" s="8" t="s">
        <v>17</v>
      </c>
      <c r="P799" s="8" t="s">
        <v>18</v>
      </c>
      <c r="Q799" s="8" t="s">
        <v>18</v>
      </c>
      <c r="R799" s="8" t="s">
        <v>2110</v>
      </c>
      <c r="S799" s="8" t="s">
        <v>2292</v>
      </c>
      <c r="T799" s="8" t="s">
        <v>2293</v>
      </c>
      <c r="U799" s="8" t="s">
        <v>2294</v>
      </c>
      <c r="V799" s="8" t="s">
        <v>725</v>
      </c>
      <c r="W799" s="8">
        <f t="shared" si="23"/>
        <v>3</v>
      </c>
      <c r="X799" s="8">
        <f>K799*L799*N799</f>
        <v>172640</v>
      </c>
    </row>
    <row r="800" spans="1:24" s="8" customFormat="1" ht="41.5" customHeight="1">
      <c r="A800" s="8" t="s">
        <v>2280</v>
      </c>
      <c r="B800" s="8" t="s">
        <v>748</v>
      </c>
      <c r="C800" s="9">
        <v>45869.4388680556</v>
      </c>
      <c r="D800" s="8" t="s">
        <v>2056</v>
      </c>
      <c r="E800" s="8" t="s">
        <v>2057</v>
      </c>
      <c r="F800" s="8">
        <v>15</v>
      </c>
      <c r="G800" s="22" t="s">
        <v>2629</v>
      </c>
      <c r="H800" s="8" t="s">
        <v>761</v>
      </c>
      <c r="I800" s="2" t="str">
        <f t="shared" si="24"/>
        <v>lót chống rỉ nâu</v>
      </c>
      <c r="J800" s="8" t="s">
        <v>35</v>
      </c>
      <c r="K800" s="10">
        <v>90</v>
      </c>
      <c r="L800" s="10">
        <v>40500</v>
      </c>
      <c r="M800" s="11">
        <v>3645000</v>
      </c>
      <c r="N800" s="8" t="s">
        <v>16</v>
      </c>
      <c r="O800" s="8" t="s">
        <v>17</v>
      </c>
      <c r="P800" s="8" t="s">
        <v>18</v>
      </c>
      <c r="Q800" s="8" t="s">
        <v>18</v>
      </c>
      <c r="R800" s="8" t="s">
        <v>2110</v>
      </c>
      <c r="S800" s="8" t="s">
        <v>2292</v>
      </c>
      <c r="T800" s="8" t="s">
        <v>2293</v>
      </c>
      <c r="U800" s="8" t="s">
        <v>2294</v>
      </c>
      <c r="V800" s="8" t="s">
        <v>725</v>
      </c>
      <c r="W800" s="8">
        <f t="shared" si="23"/>
        <v>3</v>
      </c>
      <c r="X800" s="8">
        <f>K800*L800*N800</f>
        <v>291600</v>
      </c>
    </row>
    <row r="801" spans="1:24" s="8" customFormat="1" ht="41.5" customHeight="1">
      <c r="A801" s="8" t="s">
        <v>2280</v>
      </c>
      <c r="B801" s="8" t="s">
        <v>748</v>
      </c>
      <c r="C801" s="9">
        <v>45869.4388680556</v>
      </c>
      <c r="D801" s="8" t="s">
        <v>2056</v>
      </c>
      <c r="E801" s="8" t="s">
        <v>2057</v>
      </c>
      <c r="F801" s="8">
        <v>16</v>
      </c>
      <c r="G801" s="22" t="s">
        <v>2630</v>
      </c>
      <c r="H801" s="8" t="s">
        <v>762</v>
      </c>
      <c r="I801" s="2" t="str">
        <f t="shared" si="24"/>
        <v>Sơn sắt mạ kẽm màu xingfa đỏ Z34</v>
      </c>
      <c r="J801" s="8" t="s">
        <v>35</v>
      </c>
      <c r="K801" s="10">
        <v>60</v>
      </c>
      <c r="L801" s="10">
        <v>73500</v>
      </c>
      <c r="M801" s="11">
        <v>4410000</v>
      </c>
      <c r="N801" s="8" t="s">
        <v>16</v>
      </c>
      <c r="O801" s="8" t="s">
        <v>17</v>
      </c>
      <c r="P801" s="8" t="s">
        <v>18</v>
      </c>
      <c r="Q801" s="8" t="s">
        <v>18</v>
      </c>
      <c r="R801" s="8" t="s">
        <v>2110</v>
      </c>
      <c r="S801" s="8" t="s">
        <v>2292</v>
      </c>
      <c r="T801" s="8" t="s">
        <v>2293</v>
      </c>
      <c r="U801" s="8" t="s">
        <v>2294</v>
      </c>
      <c r="V801" s="8" t="s">
        <v>725</v>
      </c>
      <c r="W801" s="8">
        <f t="shared" si="23"/>
        <v>3</v>
      </c>
      <c r="X801" s="8">
        <f>K801*L801*N801</f>
        <v>352800</v>
      </c>
    </row>
    <row r="802" spans="1:24" s="8" customFormat="1" ht="41.5" customHeight="1">
      <c r="A802" s="8" t="s">
        <v>2280</v>
      </c>
      <c r="B802" s="8" t="s">
        <v>748</v>
      </c>
      <c r="C802" s="9">
        <v>45869.4388680556</v>
      </c>
      <c r="D802" s="8" t="s">
        <v>2056</v>
      </c>
      <c r="E802" s="8" t="s">
        <v>2057</v>
      </c>
      <c r="F802" s="8">
        <v>17</v>
      </c>
      <c r="G802" s="22" t="s">
        <v>763</v>
      </c>
      <c r="H802" s="8" t="s">
        <v>763</v>
      </c>
      <c r="I802" s="2" t="str">
        <f t="shared" si="24"/>
        <v>Sơn dầu 221E</v>
      </c>
      <c r="J802" s="8" t="s">
        <v>35</v>
      </c>
      <c r="K802" s="10">
        <v>60</v>
      </c>
      <c r="L802" s="10">
        <v>66500</v>
      </c>
      <c r="M802" s="11">
        <v>3990000</v>
      </c>
      <c r="N802" s="8" t="s">
        <v>16</v>
      </c>
      <c r="O802" s="8" t="s">
        <v>17</v>
      </c>
      <c r="P802" s="8" t="s">
        <v>18</v>
      </c>
      <c r="Q802" s="8" t="s">
        <v>18</v>
      </c>
      <c r="R802" s="8" t="s">
        <v>2110</v>
      </c>
      <c r="S802" s="8" t="s">
        <v>2292</v>
      </c>
      <c r="T802" s="8" t="s">
        <v>2293</v>
      </c>
      <c r="U802" s="8" t="s">
        <v>2294</v>
      </c>
      <c r="V802" s="8" t="s">
        <v>725</v>
      </c>
      <c r="W802" s="8">
        <f>ROUNDUP(MONTH(V802)/3,0)</f>
        <v>3</v>
      </c>
      <c r="X802" s="8">
        <f>K802*L802*N802</f>
        <v>319200</v>
      </c>
    </row>
    <row r="803" spans="1:24" s="8" customFormat="1" ht="41.5" customHeight="1">
      <c r="A803" s="8" t="s">
        <v>2280</v>
      </c>
      <c r="B803" s="8" t="s">
        <v>748</v>
      </c>
      <c r="C803" s="9">
        <v>45869.4388680556</v>
      </c>
      <c r="D803" s="8" t="s">
        <v>2056</v>
      </c>
      <c r="E803" s="8" t="s">
        <v>2057</v>
      </c>
      <c r="F803" s="8">
        <v>18</v>
      </c>
      <c r="G803" s="22" t="s">
        <v>1015</v>
      </c>
      <c r="H803" s="8" t="s">
        <v>764</v>
      </c>
      <c r="I803" s="2" t="str">
        <f t="shared" si="24"/>
        <v>Sơn sắt mạ kẽm màu Xingfa đỏ E362</v>
      </c>
      <c r="J803" s="8" t="s">
        <v>35</v>
      </c>
      <c r="K803" s="10">
        <v>60</v>
      </c>
      <c r="L803" s="10">
        <v>68500</v>
      </c>
      <c r="M803" s="11">
        <v>4110000</v>
      </c>
      <c r="N803" s="8" t="s">
        <v>16</v>
      </c>
      <c r="O803" s="8" t="s">
        <v>17</v>
      </c>
      <c r="P803" s="8" t="s">
        <v>18</v>
      </c>
      <c r="Q803" s="8" t="s">
        <v>18</v>
      </c>
      <c r="R803" s="8" t="s">
        <v>2110</v>
      </c>
      <c r="S803" s="8" t="s">
        <v>2292</v>
      </c>
      <c r="T803" s="8" t="s">
        <v>2293</v>
      </c>
      <c r="U803" s="8" t="s">
        <v>2294</v>
      </c>
      <c r="V803" s="8" t="s">
        <v>725</v>
      </c>
      <c r="W803" s="8">
        <f>ROUNDUP(MONTH(V803)/3,0)</f>
        <v>3</v>
      </c>
      <c r="X803" s="8">
        <f>K803*L803*N803</f>
        <v>328800</v>
      </c>
    </row>
    <row r="804" spans="1:24" s="8" customFormat="1" ht="41.5" customHeight="1">
      <c r="A804" s="8" t="s">
        <v>2280</v>
      </c>
      <c r="B804" s="8" t="s">
        <v>765</v>
      </c>
      <c r="C804" s="9">
        <v>45869.438522106502</v>
      </c>
      <c r="D804" s="8" t="s">
        <v>2056</v>
      </c>
      <c r="E804" s="8" t="s">
        <v>2057</v>
      </c>
      <c r="F804" s="8">
        <v>1</v>
      </c>
      <c r="G804" s="22" t="s">
        <v>1261</v>
      </c>
      <c r="H804" s="8" t="s">
        <v>766</v>
      </c>
      <c r="I804" s="2" t="str">
        <f t="shared" si="24"/>
        <v>Lưỡi xẻng không cán (0.8-0.9) kg</v>
      </c>
      <c r="J804" s="8" t="s">
        <v>339</v>
      </c>
      <c r="K804" s="10">
        <v>120</v>
      </c>
      <c r="L804" s="10">
        <v>10500</v>
      </c>
      <c r="M804" s="11">
        <v>1260000</v>
      </c>
      <c r="N804" s="8" t="s">
        <v>16</v>
      </c>
      <c r="O804" s="8" t="s">
        <v>17</v>
      </c>
      <c r="P804" s="8" t="s">
        <v>18</v>
      </c>
      <c r="Q804" s="8" t="s">
        <v>18</v>
      </c>
      <c r="R804" s="8" t="s">
        <v>2110</v>
      </c>
      <c r="S804" s="8" t="s">
        <v>2292</v>
      </c>
      <c r="T804" s="8" t="s">
        <v>2293</v>
      </c>
      <c r="U804" s="8" t="s">
        <v>2294</v>
      </c>
      <c r="V804" s="8" t="s">
        <v>725</v>
      </c>
      <c r="W804" s="8">
        <f>ROUNDUP(MONTH(V804)/3,0)</f>
        <v>3</v>
      </c>
      <c r="X804" s="8">
        <f>K804*L804*N804</f>
        <v>100800</v>
      </c>
    </row>
    <row r="805" spans="1:24" s="8" customFormat="1" ht="41.5" customHeight="1">
      <c r="A805" s="8" t="s">
        <v>2280</v>
      </c>
      <c r="B805" s="8" t="s">
        <v>765</v>
      </c>
      <c r="C805" s="9">
        <v>45869.438522106502</v>
      </c>
      <c r="D805" s="8" t="s">
        <v>2056</v>
      </c>
      <c r="E805" s="8" t="s">
        <v>2057</v>
      </c>
      <c r="F805" s="8">
        <v>2</v>
      </c>
      <c r="G805" s="22" t="s">
        <v>1374</v>
      </c>
      <c r="H805" s="8" t="s">
        <v>767</v>
      </c>
      <c r="I805" s="2" t="str">
        <f t="shared" si="24"/>
        <v>Kìm cắt dây điện, nhọn, chất liệu thép</v>
      </c>
      <c r="J805" s="8" t="s">
        <v>339</v>
      </c>
      <c r="K805" s="10">
        <v>72</v>
      </c>
      <c r="L805" s="10">
        <v>10800</v>
      </c>
      <c r="M805" s="11">
        <v>777600</v>
      </c>
      <c r="N805" s="8" t="s">
        <v>16</v>
      </c>
      <c r="O805" s="8" t="s">
        <v>17</v>
      </c>
      <c r="P805" s="8" t="s">
        <v>18</v>
      </c>
      <c r="Q805" s="8" t="s">
        <v>18</v>
      </c>
      <c r="R805" s="8" t="s">
        <v>2110</v>
      </c>
      <c r="S805" s="8" t="s">
        <v>2292</v>
      </c>
      <c r="T805" s="8" t="s">
        <v>2293</v>
      </c>
      <c r="U805" s="8" t="s">
        <v>2294</v>
      </c>
      <c r="V805" s="8" t="s">
        <v>725</v>
      </c>
      <c r="W805" s="8">
        <f>ROUNDUP(MONTH(V805)/3,0)</f>
        <v>3</v>
      </c>
      <c r="X805" s="8">
        <f>K805*L805*N805</f>
        <v>62208</v>
      </c>
    </row>
    <row r="806" spans="1:24" s="8" customFormat="1" ht="41.5" customHeight="1">
      <c r="A806" s="8" t="s">
        <v>2280</v>
      </c>
      <c r="B806" s="8" t="s">
        <v>765</v>
      </c>
      <c r="C806" s="9">
        <v>45869.438522106502</v>
      </c>
      <c r="D806" s="8" t="s">
        <v>2056</v>
      </c>
      <c r="E806" s="8" t="s">
        <v>2057</v>
      </c>
      <c r="F806" s="8">
        <v>3</v>
      </c>
      <c r="G806" s="22" t="s">
        <v>1373</v>
      </c>
      <c r="H806" s="8" t="s">
        <v>368</v>
      </c>
      <c r="I806" s="2" t="str">
        <f t="shared" si="24"/>
        <v>Mũi đục bê tông phi 14*210mm, hiệu Gofurther</v>
      </c>
      <c r="J806" s="8" t="s">
        <v>339</v>
      </c>
      <c r="K806" s="10">
        <v>150</v>
      </c>
      <c r="L806" s="10">
        <v>3200</v>
      </c>
      <c r="M806" s="11">
        <v>480000</v>
      </c>
      <c r="N806" s="8" t="s">
        <v>16</v>
      </c>
      <c r="O806" s="8" t="s">
        <v>17</v>
      </c>
      <c r="P806" s="8" t="s">
        <v>18</v>
      </c>
      <c r="Q806" s="8" t="s">
        <v>18</v>
      </c>
      <c r="R806" s="8" t="s">
        <v>2110</v>
      </c>
      <c r="S806" s="8" t="s">
        <v>2292</v>
      </c>
      <c r="T806" s="8" t="s">
        <v>2293</v>
      </c>
      <c r="U806" s="8" t="s">
        <v>2294</v>
      </c>
      <c r="V806" s="8" t="s">
        <v>725</v>
      </c>
      <c r="W806" s="8">
        <f>ROUNDUP(MONTH(V806)/3,0)</f>
        <v>3</v>
      </c>
      <c r="X806" s="8">
        <f>K806*L806*N806</f>
        <v>38400</v>
      </c>
    </row>
    <row r="807" spans="1:24" s="8" customFormat="1" ht="41.5" customHeight="1">
      <c r="A807" s="8" t="s">
        <v>2280</v>
      </c>
      <c r="B807" s="8" t="s">
        <v>765</v>
      </c>
      <c r="C807" s="9">
        <v>45869.438522106502</v>
      </c>
      <c r="D807" s="8" t="s">
        <v>2056</v>
      </c>
      <c r="E807" s="8" t="s">
        <v>2057</v>
      </c>
      <c r="F807" s="8">
        <v>4</v>
      </c>
      <c r="G807" s="22" t="s">
        <v>1358</v>
      </c>
      <c r="H807" s="8" t="s">
        <v>768</v>
      </c>
      <c r="I807" s="2" t="str">
        <f t="shared" si="24"/>
        <v>Mũi đục bê tông phi 17*250mm, hiệu Gofurther</v>
      </c>
      <c r="J807" s="8" t="s">
        <v>339</v>
      </c>
      <c r="K807" s="10">
        <v>100</v>
      </c>
      <c r="L807" s="10">
        <v>5500</v>
      </c>
      <c r="M807" s="11">
        <v>550000</v>
      </c>
      <c r="N807" s="8" t="s">
        <v>16</v>
      </c>
      <c r="O807" s="8" t="s">
        <v>17</v>
      </c>
      <c r="P807" s="8" t="s">
        <v>18</v>
      </c>
      <c r="Q807" s="8" t="s">
        <v>18</v>
      </c>
      <c r="R807" s="8" t="s">
        <v>2110</v>
      </c>
      <c r="S807" s="8" t="s">
        <v>2292</v>
      </c>
      <c r="T807" s="8" t="s">
        <v>2293</v>
      </c>
      <c r="U807" s="8" t="s">
        <v>2294</v>
      </c>
      <c r="V807" s="8" t="s">
        <v>725</v>
      </c>
      <c r="W807" s="8">
        <f>ROUNDUP(MONTH(V807)/3,0)</f>
        <v>3</v>
      </c>
      <c r="X807" s="8">
        <f>K807*L807*N807</f>
        <v>44000</v>
      </c>
    </row>
    <row r="808" spans="1:24" s="8" customFormat="1" ht="41.5" customHeight="1">
      <c r="A808" s="8" t="s">
        <v>2280</v>
      </c>
      <c r="B808" s="8" t="s">
        <v>765</v>
      </c>
      <c r="C808" s="9">
        <v>45869.438522106502</v>
      </c>
      <c r="D808" s="8" t="s">
        <v>2056</v>
      </c>
      <c r="E808" s="8" t="s">
        <v>2057</v>
      </c>
      <c r="F808" s="8">
        <v>5</v>
      </c>
      <c r="G808" s="22" t="s">
        <v>1323</v>
      </c>
      <c r="H808" s="8" t="s">
        <v>769</v>
      </c>
      <c r="I808" s="2" t="str">
        <f t="shared" si="24"/>
        <v>Lưỡi xẻng không cán (0.4-0.5) kg</v>
      </c>
      <c r="J808" s="8" t="s">
        <v>339</v>
      </c>
      <c r="K808" s="10">
        <v>360</v>
      </c>
      <c r="L808" s="10">
        <v>7000</v>
      </c>
      <c r="M808" s="11">
        <v>2520000</v>
      </c>
      <c r="N808" s="8" t="s">
        <v>16</v>
      </c>
      <c r="O808" s="8" t="s">
        <v>17</v>
      </c>
      <c r="P808" s="8" t="s">
        <v>18</v>
      </c>
      <c r="Q808" s="8" t="s">
        <v>18</v>
      </c>
      <c r="R808" s="8" t="s">
        <v>2110</v>
      </c>
      <c r="S808" s="8" t="s">
        <v>2292</v>
      </c>
      <c r="T808" s="8" t="s">
        <v>2293</v>
      </c>
      <c r="U808" s="8" t="s">
        <v>2294</v>
      </c>
      <c r="V808" s="8" t="s">
        <v>725</v>
      </c>
      <c r="W808" s="8">
        <f>ROUNDUP(MONTH(V808)/3,0)</f>
        <v>3</v>
      </c>
      <c r="X808" s="8">
        <f>K808*L808*N808</f>
        <v>201600</v>
      </c>
    </row>
    <row r="809" spans="1:24" s="8" customFormat="1" ht="41.5" customHeight="1">
      <c r="A809" s="8" t="s">
        <v>2280</v>
      </c>
      <c r="B809" s="8" t="s">
        <v>765</v>
      </c>
      <c r="C809" s="9">
        <v>45869.438522106502</v>
      </c>
      <c r="D809" s="8" t="s">
        <v>2056</v>
      </c>
      <c r="E809" s="8" t="s">
        <v>2057</v>
      </c>
      <c r="F809" s="8">
        <v>6</v>
      </c>
      <c r="G809" s="22" t="s">
        <v>1470</v>
      </c>
      <c r="H809" s="8" t="s">
        <v>770</v>
      </c>
      <c r="I809" s="2" t="str">
        <f t="shared" si="24"/>
        <v>Lưỡi xẻng không cán (0.6-0.7) kg</v>
      </c>
      <c r="J809" s="8" t="s">
        <v>339</v>
      </c>
      <c r="K809" s="10">
        <v>120</v>
      </c>
      <c r="L809" s="10">
        <v>8200</v>
      </c>
      <c r="M809" s="11">
        <v>984000</v>
      </c>
      <c r="N809" s="8" t="s">
        <v>16</v>
      </c>
      <c r="O809" s="8" t="s">
        <v>17</v>
      </c>
      <c r="P809" s="8" t="s">
        <v>18</v>
      </c>
      <c r="Q809" s="8" t="s">
        <v>18</v>
      </c>
      <c r="R809" s="8" t="s">
        <v>2110</v>
      </c>
      <c r="S809" s="8" t="s">
        <v>2292</v>
      </c>
      <c r="T809" s="8" t="s">
        <v>2293</v>
      </c>
      <c r="U809" s="8" t="s">
        <v>2294</v>
      </c>
      <c r="V809" s="8" t="s">
        <v>725</v>
      </c>
      <c r="W809" s="8">
        <f>ROUNDUP(MONTH(V809)/3,0)</f>
        <v>3</v>
      </c>
      <c r="X809" s="8">
        <f>K809*L809*N809</f>
        <v>78720</v>
      </c>
    </row>
    <row r="810" spans="1:24" s="8" customFormat="1" ht="41.5" customHeight="1">
      <c r="A810" s="8" t="s">
        <v>2280</v>
      </c>
      <c r="B810" s="8" t="s">
        <v>765</v>
      </c>
      <c r="C810" s="9">
        <v>45869.438522106502</v>
      </c>
      <c r="D810" s="8" t="s">
        <v>2056</v>
      </c>
      <c r="E810" s="8" t="s">
        <v>2057</v>
      </c>
      <c r="F810" s="8">
        <v>7</v>
      </c>
      <c r="G810" s="22" t="s">
        <v>1293</v>
      </c>
      <c r="H810" s="8" t="s">
        <v>771</v>
      </c>
      <c r="I810" s="2" t="str">
        <f t="shared" si="24"/>
        <v>Thước rút 5m, chất liệu thép, hiệu Gofurther</v>
      </c>
      <c r="J810" s="8" t="s">
        <v>339</v>
      </c>
      <c r="K810" s="10">
        <v>600</v>
      </c>
      <c r="L810" s="10">
        <v>4800</v>
      </c>
      <c r="M810" s="11">
        <v>2880000</v>
      </c>
      <c r="N810" s="8" t="s">
        <v>16</v>
      </c>
      <c r="O810" s="8" t="s">
        <v>17</v>
      </c>
      <c r="P810" s="8" t="s">
        <v>18</v>
      </c>
      <c r="Q810" s="8" t="s">
        <v>18</v>
      </c>
      <c r="R810" s="8" t="s">
        <v>2110</v>
      </c>
      <c r="S810" s="8" t="s">
        <v>2292</v>
      </c>
      <c r="T810" s="8" t="s">
        <v>2293</v>
      </c>
      <c r="U810" s="8" t="s">
        <v>2294</v>
      </c>
      <c r="V810" s="8" t="s">
        <v>725</v>
      </c>
      <c r="W810" s="8">
        <f>ROUNDUP(MONTH(V810)/3,0)</f>
        <v>3</v>
      </c>
      <c r="X810" s="8">
        <f>K810*L810*N810</f>
        <v>230400</v>
      </c>
    </row>
    <row r="811" spans="1:24" s="8" customFormat="1" ht="41.5" customHeight="1">
      <c r="A811" s="8" t="s">
        <v>2280</v>
      </c>
      <c r="B811" s="8" t="s">
        <v>765</v>
      </c>
      <c r="C811" s="9">
        <v>45869.438522106502</v>
      </c>
      <c r="D811" s="8" t="s">
        <v>2056</v>
      </c>
      <c r="E811" s="8" t="s">
        <v>2057</v>
      </c>
      <c r="F811" s="8">
        <v>8</v>
      </c>
      <c r="G811" s="22" t="s">
        <v>1325</v>
      </c>
      <c r="H811" s="8" t="s">
        <v>772</v>
      </c>
      <c r="I811" s="2" t="str">
        <f t="shared" si="24"/>
        <v>Thước rút 7.5m chất liệu thép hiệu Gofurther</v>
      </c>
      <c r="J811" s="8" t="s">
        <v>339</v>
      </c>
      <c r="K811" s="10">
        <v>600</v>
      </c>
      <c r="L811" s="10">
        <v>7000</v>
      </c>
      <c r="M811" s="11">
        <v>4200000</v>
      </c>
      <c r="N811" s="8" t="s">
        <v>16</v>
      </c>
      <c r="O811" s="8" t="s">
        <v>17</v>
      </c>
      <c r="P811" s="8" t="s">
        <v>18</v>
      </c>
      <c r="Q811" s="8" t="s">
        <v>18</v>
      </c>
      <c r="R811" s="8" t="s">
        <v>2110</v>
      </c>
      <c r="S811" s="8" t="s">
        <v>2292</v>
      </c>
      <c r="T811" s="8" t="s">
        <v>2293</v>
      </c>
      <c r="U811" s="8" t="s">
        <v>2294</v>
      </c>
      <c r="V811" s="8" t="s">
        <v>725</v>
      </c>
      <c r="W811" s="8">
        <f>ROUNDUP(MONTH(V811)/3,0)</f>
        <v>3</v>
      </c>
      <c r="X811" s="8">
        <f>K811*L811*N811</f>
        <v>336000</v>
      </c>
    </row>
    <row r="812" spans="1:24" s="8" customFormat="1" ht="41.5" customHeight="1">
      <c r="A812" s="8" t="s">
        <v>2280</v>
      </c>
      <c r="B812" s="8" t="s">
        <v>765</v>
      </c>
      <c r="C812" s="9">
        <v>45869.438522106502</v>
      </c>
      <c r="D812" s="8" t="s">
        <v>2056</v>
      </c>
      <c r="E812" s="8" t="s">
        <v>2057</v>
      </c>
      <c r="F812" s="8">
        <v>9</v>
      </c>
      <c r="G812" s="22" t="s">
        <v>773</v>
      </c>
      <c r="H812" s="8" t="s">
        <v>773</v>
      </c>
      <c r="I812" s="2" t="str">
        <f t="shared" si="24"/>
        <v>Dây thít nhựa, dùng để buộc, không hiệu</v>
      </c>
      <c r="J812" s="8" t="s">
        <v>35</v>
      </c>
      <c r="K812" s="10">
        <v>200</v>
      </c>
      <c r="L812" s="10">
        <v>24000</v>
      </c>
      <c r="M812" s="11">
        <v>4800000</v>
      </c>
      <c r="N812" s="8" t="s">
        <v>16</v>
      </c>
      <c r="O812" s="8" t="s">
        <v>17</v>
      </c>
      <c r="P812" s="8" t="s">
        <v>18</v>
      </c>
      <c r="Q812" s="8" t="s">
        <v>18</v>
      </c>
      <c r="R812" s="8" t="s">
        <v>2110</v>
      </c>
      <c r="S812" s="8" t="s">
        <v>2292</v>
      </c>
      <c r="T812" s="8" t="s">
        <v>2293</v>
      </c>
      <c r="U812" s="8" t="s">
        <v>2294</v>
      </c>
      <c r="V812" s="8" t="s">
        <v>725</v>
      </c>
      <c r="W812" s="8">
        <f>ROUNDUP(MONTH(V812)/3,0)</f>
        <v>3</v>
      </c>
      <c r="X812" s="8">
        <f>K812*L812*N812</f>
        <v>384000</v>
      </c>
    </row>
    <row r="813" spans="1:24" s="8" customFormat="1" ht="41.5" customHeight="1">
      <c r="A813" s="8" t="s">
        <v>2280</v>
      </c>
      <c r="B813" s="8" t="s">
        <v>765</v>
      </c>
      <c r="C813" s="9">
        <v>45869.438522106502</v>
      </c>
      <c r="D813" s="8" t="s">
        <v>2056</v>
      </c>
      <c r="E813" s="8" t="s">
        <v>2057</v>
      </c>
      <c r="F813" s="8">
        <v>10</v>
      </c>
      <c r="G813" s="22" t="s">
        <v>1423</v>
      </c>
      <c r="H813" s="8" t="s">
        <v>774</v>
      </c>
      <c r="I813" s="2" t="str">
        <f t="shared" si="24"/>
        <v>Tăng đơ M102, chất liệu thép 10*135mm</v>
      </c>
      <c r="J813" s="8" t="s">
        <v>339</v>
      </c>
      <c r="K813" s="10">
        <v>250</v>
      </c>
      <c r="L813" s="10">
        <v>3200</v>
      </c>
      <c r="M813" s="11">
        <v>800000</v>
      </c>
      <c r="N813" s="8" t="s">
        <v>16</v>
      </c>
      <c r="O813" s="8" t="s">
        <v>17</v>
      </c>
      <c r="P813" s="8" t="s">
        <v>18</v>
      </c>
      <c r="Q813" s="8" t="s">
        <v>18</v>
      </c>
      <c r="R813" s="8" t="s">
        <v>2110</v>
      </c>
      <c r="S813" s="8" t="s">
        <v>2292</v>
      </c>
      <c r="T813" s="8" t="s">
        <v>2293</v>
      </c>
      <c r="U813" s="8" t="s">
        <v>2294</v>
      </c>
      <c r="V813" s="8" t="s">
        <v>725</v>
      </c>
      <c r="W813" s="8">
        <f>ROUNDUP(MONTH(V813)/3,0)</f>
        <v>3</v>
      </c>
      <c r="X813" s="8">
        <f>K813*L813*N813</f>
        <v>64000</v>
      </c>
    </row>
    <row r="814" spans="1:24" s="8" customFormat="1" ht="41.5" customHeight="1">
      <c r="A814" s="8" t="s">
        <v>2280</v>
      </c>
      <c r="B814" s="8" t="s">
        <v>765</v>
      </c>
      <c r="C814" s="9">
        <v>45869.438522106502</v>
      </c>
      <c r="D814" s="8" t="s">
        <v>2056</v>
      </c>
      <c r="E814" s="8" t="s">
        <v>2057</v>
      </c>
      <c r="F814" s="8">
        <v>11</v>
      </c>
      <c r="G814" s="22" t="s">
        <v>1498</v>
      </c>
      <c r="H814" s="8" t="s">
        <v>775</v>
      </c>
      <c r="I814" s="2" t="str">
        <f t="shared" si="24"/>
        <v>Tăng đơ M12, chất liệu thép 12*170mm</v>
      </c>
      <c r="J814" s="8" t="s">
        <v>339</v>
      </c>
      <c r="K814" s="10">
        <v>100</v>
      </c>
      <c r="L814" s="10">
        <v>4800</v>
      </c>
      <c r="M814" s="11">
        <v>480000</v>
      </c>
      <c r="N814" s="8" t="s">
        <v>16</v>
      </c>
      <c r="O814" s="8" t="s">
        <v>17</v>
      </c>
      <c r="P814" s="8" t="s">
        <v>18</v>
      </c>
      <c r="Q814" s="8" t="s">
        <v>18</v>
      </c>
      <c r="R814" s="8" t="s">
        <v>2110</v>
      </c>
      <c r="S814" s="8" t="s">
        <v>2292</v>
      </c>
      <c r="T814" s="8" t="s">
        <v>2293</v>
      </c>
      <c r="U814" s="8" t="s">
        <v>2294</v>
      </c>
      <c r="V814" s="8" t="s">
        <v>725</v>
      </c>
      <c r="W814" s="8">
        <f>ROUNDUP(MONTH(V814)/3,0)</f>
        <v>3</v>
      </c>
      <c r="X814" s="8">
        <f>K814*L814*N814</f>
        <v>38400</v>
      </c>
    </row>
    <row r="815" spans="1:24" s="8" customFormat="1" ht="41.5" customHeight="1">
      <c r="A815" s="8" t="s">
        <v>2280</v>
      </c>
      <c r="B815" s="8" t="s">
        <v>765</v>
      </c>
      <c r="C815" s="9">
        <v>45869.438522106502</v>
      </c>
      <c r="D815" s="8" t="s">
        <v>2056</v>
      </c>
      <c r="E815" s="8" t="s">
        <v>2057</v>
      </c>
      <c r="F815" s="8">
        <v>12</v>
      </c>
      <c r="G815" s="22" t="s">
        <v>776</v>
      </c>
      <c r="H815" s="8" t="s">
        <v>776</v>
      </c>
      <c r="I815" s="2" t="str">
        <f t="shared" si="24"/>
        <v>Que hàn sắt Kim Tín KT421 D2.5 20kg/thùng</v>
      </c>
      <c r="J815" s="8" t="s">
        <v>35</v>
      </c>
      <c r="K815" s="10">
        <v>800</v>
      </c>
      <c r="L815" s="10">
        <v>25500</v>
      </c>
      <c r="M815" s="11">
        <v>20400000</v>
      </c>
      <c r="N815" s="8" t="s">
        <v>16</v>
      </c>
      <c r="O815" s="8" t="s">
        <v>17</v>
      </c>
      <c r="P815" s="8" t="s">
        <v>18</v>
      </c>
      <c r="Q815" s="8" t="s">
        <v>18</v>
      </c>
      <c r="R815" s="8" t="s">
        <v>2110</v>
      </c>
      <c r="S815" s="8" t="s">
        <v>2292</v>
      </c>
      <c r="T815" s="8" t="s">
        <v>2293</v>
      </c>
      <c r="U815" s="8" t="s">
        <v>2294</v>
      </c>
      <c r="V815" s="8" t="s">
        <v>725</v>
      </c>
      <c r="W815" s="8">
        <f>ROUNDUP(MONTH(V815)/3,0)</f>
        <v>3</v>
      </c>
      <c r="X815" s="8">
        <f>K815*L815*N815</f>
        <v>1632000</v>
      </c>
    </row>
    <row r="816" spans="1:24" s="8" customFormat="1" ht="41.5" customHeight="1">
      <c r="A816" s="8" t="s">
        <v>2280</v>
      </c>
      <c r="B816" s="8" t="s">
        <v>2632</v>
      </c>
      <c r="C816" s="9">
        <v>45861.635265995399</v>
      </c>
      <c r="D816" s="8" t="s">
        <v>2056</v>
      </c>
      <c r="E816" s="8" t="s">
        <v>2057</v>
      </c>
      <c r="F816" s="8">
        <v>1</v>
      </c>
      <c r="G816" s="22" t="s">
        <v>781</v>
      </c>
      <c r="H816" s="8" t="s">
        <v>781</v>
      </c>
      <c r="I816" s="2" t="str">
        <f t="shared" si="24"/>
        <v>Băng cản nước Ecomix PVC V200</v>
      </c>
      <c r="J816" s="8" t="s">
        <v>71</v>
      </c>
      <c r="K816" s="10">
        <v>40</v>
      </c>
      <c r="L816" s="10">
        <v>57407.41</v>
      </c>
      <c r="M816" s="11">
        <v>2296296.4</v>
      </c>
      <c r="N816" s="8" t="s">
        <v>16</v>
      </c>
      <c r="O816" s="8" t="s">
        <v>17</v>
      </c>
      <c r="P816" s="8" t="s">
        <v>18</v>
      </c>
      <c r="Q816" s="8" t="s">
        <v>18</v>
      </c>
      <c r="R816" s="8" t="s">
        <v>2110</v>
      </c>
      <c r="S816" s="8" t="s">
        <v>2123</v>
      </c>
      <c r="T816" s="8" t="s">
        <v>2124</v>
      </c>
      <c r="U816" s="8" t="s">
        <v>2125</v>
      </c>
      <c r="V816" s="8" t="s">
        <v>782</v>
      </c>
      <c r="W816" s="8">
        <f>ROUNDUP(MONTH(V816)/3,0)</f>
        <v>3</v>
      </c>
      <c r="X816" s="8">
        <f>K816*L816*N816</f>
        <v>183703.71200000003</v>
      </c>
    </row>
    <row r="817" spans="1:24" s="8" customFormat="1" ht="41.5" customHeight="1">
      <c r="A817" s="8" t="s">
        <v>2280</v>
      </c>
      <c r="B817" s="8" t="s">
        <v>2632</v>
      </c>
      <c r="C817" s="9">
        <v>45861.635265995399</v>
      </c>
      <c r="D817" s="8" t="s">
        <v>2056</v>
      </c>
      <c r="E817" s="8" t="s">
        <v>2057</v>
      </c>
      <c r="F817" s="8">
        <v>2</v>
      </c>
      <c r="G817" s="27" t="s">
        <v>397</v>
      </c>
      <c r="H817" s="8" t="s">
        <v>397</v>
      </c>
      <c r="I817" s="2" t="str">
        <f t="shared" si="24"/>
        <v>Phụ gia bê tông chống thấm Sika Latex TH 5L</v>
      </c>
      <c r="J817" s="8" t="s">
        <v>45</v>
      </c>
      <c r="K817" s="10">
        <v>25</v>
      </c>
      <c r="L817" s="10">
        <v>48148.15</v>
      </c>
      <c r="M817" s="11">
        <v>1203703.75</v>
      </c>
      <c r="N817" s="8" t="s">
        <v>16</v>
      </c>
      <c r="O817" s="8" t="s">
        <v>17</v>
      </c>
      <c r="P817" s="8" t="s">
        <v>18</v>
      </c>
      <c r="Q817" s="8" t="s">
        <v>18</v>
      </c>
      <c r="R817" s="8" t="s">
        <v>2110</v>
      </c>
      <c r="S817" s="8" t="s">
        <v>2123</v>
      </c>
      <c r="T817" s="8" t="s">
        <v>2124</v>
      </c>
      <c r="U817" s="8" t="s">
        <v>2125</v>
      </c>
      <c r="V817" s="8" t="s">
        <v>782</v>
      </c>
      <c r="W817" s="8">
        <f>ROUNDUP(MONTH(V817)/3,0)</f>
        <v>3</v>
      </c>
      <c r="X817" s="8">
        <f>K817*L817*N817</f>
        <v>96296.3</v>
      </c>
    </row>
    <row r="818" spans="1:24" s="8" customFormat="1" ht="41.5" customHeight="1">
      <c r="A818" s="8" t="s">
        <v>2280</v>
      </c>
      <c r="B818" s="8" t="s">
        <v>2632</v>
      </c>
      <c r="C818" s="9">
        <v>45861.635265995399</v>
      </c>
      <c r="D818" s="8" t="s">
        <v>2056</v>
      </c>
      <c r="E818" s="8" t="s">
        <v>2057</v>
      </c>
      <c r="F818" s="8">
        <v>3</v>
      </c>
      <c r="G818" s="22" t="s">
        <v>783</v>
      </c>
      <c r="H818" s="8" t="s">
        <v>783</v>
      </c>
      <c r="I818" s="2" t="str">
        <f t="shared" si="24"/>
        <v>Phụ gia bê tông chống thấm Sika Latex TH 2L</v>
      </c>
      <c r="J818" s="8" t="s">
        <v>45</v>
      </c>
      <c r="K818" s="10">
        <v>4</v>
      </c>
      <c r="L818" s="10">
        <v>62500</v>
      </c>
      <c r="M818" s="11">
        <v>250000</v>
      </c>
      <c r="N818" s="8" t="s">
        <v>16</v>
      </c>
      <c r="O818" s="8" t="s">
        <v>17</v>
      </c>
      <c r="P818" s="8" t="s">
        <v>18</v>
      </c>
      <c r="Q818" s="8" t="s">
        <v>18</v>
      </c>
      <c r="R818" s="8" t="s">
        <v>2110</v>
      </c>
      <c r="S818" s="8" t="s">
        <v>2123</v>
      </c>
      <c r="T818" s="8" t="s">
        <v>2124</v>
      </c>
      <c r="U818" s="8" t="s">
        <v>2125</v>
      </c>
      <c r="V818" s="8" t="s">
        <v>782</v>
      </c>
      <c r="W818" s="8">
        <f>ROUNDUP(MONTH(V818)/3,0)</f>
        <v>3</v>
      </c>
      <c r="X818" s="8">
        <f>K818*L818*N818</f>
        <v>20000</v>
      </c>
    </row>
    <row r="819" spans="1:24" s="8" customFormat="1" ht="41.5" customHeight="1">
      <c r="A819" s="8" t="s">
        <v>2280</v>
      </c>
      <c r="B819" s="8" t="s">
        <v>2632</v>
      </c>
      <c r="C819" s="9">
        <v>45861.635265995399</v>
      </c>
      <c r="D819" s="8" t="s">
        <v>2056</v>
      </c>
      <c r="E819" s="8" t="s">
        <v>2057</v>
      </c>
      <c r="F819" s="8">
        <v>4</v>
      </c>
      <c r="G819" s="22" t="s">
        <v>128</v>
      </c>
      <c r="H819" s="8" t="s">
        <v>58</v>
      </c>
      <c r="I819" s="2" t="str">
        <f t="shared" si="24"/>
        <v>Phụ gia bê tông chống thấm Sika Latex TH 25L</v>
      </c>
      <c r="J819" s="8" t="s">
        <v>45</v>
      </c>
      <c r="K819" s="10">
        <v>50</v>
      </c>
      <c r="L819" s="10">
        <v>47777.777999999998</v>
      </c>
      <c r="M819" s="11">
        <v>2388888.9</v>
      </c>
      <c r="N819" s="8" t="s">
        <v>16</v>
      </c>
      <c r="O819" s="8" t="s">
        <v>17</v>
      </c>
      <c r="P819" s="8" t="s">
        <v>18</v>
      </c>
      <c r="Q819" s="8" t="s">
        <v>18</v>
      </c>
      <c r="R819" s="8" t="s">
        <v>2110</v>
      </c>
      <c r="S819" s="8" t="s">
        <v>2123</v>
      </c>
      <c r="T819" s="8" t="s">
        <v>2124</v>
      </c>
      <c r="U819" s="8" t="s">
        <v>2125</v>
      </c>
      <c r="V819" s="8" t="s">
        <v>782</v>
      </c>
      <c r="W819" s="8">
        <f>ROUNDUP(MONTH(V819)/3,0)</f>
        <v>3</v>
      </c>
      <c r="X819" s="8">
        <f>K819*L819*N819</f>
        <v>191111.11199999999</v>
      </c>
    </row>
    <row r="820" spans="1:24" s="8" customFormat="1" ht="41.5" customHeight="1">
      <c r="A820" s="8" t="s">
        <v>2280</v>
      </c>
      <c r="B820" s="8" t="s">
        <v>2633</v>
      </c>
      <c r="C820" s="9">
        <v>45856.421078136598</v>
      </c>
      <c r="D820" s="8" t="s">
        <v>2056</v>
      </c>
      <c r="E820" s="8" t="s">
        <v>2057</v>
      </c>
      <c r="F820" s="8">
        <v>1</v>
      </c>
      <c r="G820" s="22" t="s">
        <v>129</v>
      </c>
      <c r="H820" s="8" t="s">
        <v>129</v>
      </c>
      <c r="I820" s="2" t="str">
        <f t="shared" si="24"/>
        <v>Kim bơm cao áp bằng thép B10</v>
      </c>
      <c r="J820" s="8" t="s">
        <v>130</v>
      </c>
      <c r="K820" s="10">
        <v>500</v>
      </c>
      <c r="L820" s="10">
        <v>3000</v>
      </c>
      <c r="M820" s="11">
        <v>1500000</v>
      </c>
      <c r="N820" s="8" t="s">
        <v>30</v>
      </c>
      <c r="O820" s="8" t="s">
        <v>17</v>
      </c>
      <c r="P820" s="8" t="s">
        <v>18</v>
      </c>
      <c r="Q820" s="8" t="s">
        <v>18</v>
      </c>
      <c r="R820" s="8" t="s">
        <v>2110</v>
      </c>
      <c r="S820" s="8" t="s">
        <v>2123</v>
      </c>
      <c r="T820" s="8" t="s">
        <v>2124</v>
      </c>
      <c r="U820" s="8" t="s">
        <v>2125</v>
      </c>
      <c r="V820" s="8" t="s">
        <v>778</v>
      </c>
      <c r="W820" s="8">
        <f>ROUNDUP(MONTH(V820)/3,0)</f>
        <v>3</v>
      </c>
      <c r="X820" s="8">
        <f>K820*L820*N820</f>
        <v>150000</v>
      </c>
    </row>
    <row r="821" spans="1:24" s="8" customFormat="1" ht="41.5" customHeight="1">
      <c r="A821" s="8" t="s">
        <v>2280</v>
      </c>
      <c r="B821" s="8" t="s">
        <v>2634</v>
      </c>
      <c r="C821" s="9">
        <v>45856.420987557904</v>
      </c>
      <c r="D821" s="8" t="s">
        <v>2056</v>
      </c>
      <c r="E821" s="8" t="s">
        <v>2057</v>
      </c>
      <c r="F821" s="8">
        <v>1</v>
      </c>
      <c r="G821" s="22" t="s">
        <v>1477</v>
      </c>
      <c r="H821" s="8" t="s">
        <v>191</v>
      </c>
      <c r="I821" s="2" t="str">
        <f t="shared" si="24"/>
        <v>Polyurethane nguyên sinh TCK - 669 (9kg/thùng)</v>
      </c>
      <c r="J821" s="8" t="s">
        <v>192</v>
      </c>
      <c r="K821" s="10">
        <v>1</v>
      </c>
      <c r="L821" s="10">
        <v>1407407.41</v>
      </c>
      <c r="M821" s="11">
        <v>1407407.41</v>
      </c>
      <c r="N821" s="8" t="s">
        <v>16</v>
      </c>
      <c r="O821" s="8" t="s">
        <v>17</v>
      </c>
      <c r="P821" s="8" t="s">
        <v>18</v>
      </c>
      <c r="Q821" s="8" t="s">
        <v>18</v>
      </c>
      <c r="R821" s="8" t="s">
        <v>2110</v>
      </c>
      <c r="S821" s="8" t="s">
        <v>2123</v>
      </c>
      <c r="T821" s="8" t="s">
        <v>2124</v>
      </c>
      <c r="U821" s="8" t="s">
        <v>2125</v>
      </c>
      <c r="V821" s="8" t="s">
        <v>778</v>
      </c>
      <c r="W821" s="8">
        <f>ROUNDUP(MONTH(V821)/3,0)</f>
        <v>3</v>
      </c>
      <c r="X821" s="8">
        <f>K821*L821*N821</f>
        <v>112592.5928</v>
      </c>
    </row>
    <row r="822" spans="1:24" s="8" customFormat="1" ht="41.5" customHeight="1">
      <c r="A822" s="8" t="s">
        <v>2280</v>
      </c>
      <c r="B822" s="8" t="s">
        <v>2634</v>
      </c>
      <c r="C822" s="9">
        <v>45856.420987557904</v>
      </c>
      <c r="D822" s="8" t="s">
        <v>2056</v>
      </c>
      <c r="E822" s="8" t="s">
        <v>2057</v>
      </c>
      <c r="F822" s="8">
        <v>2</v>
      </c>
      <c r="G822" s="22" t="s">
        <v>2136</v>
      </c>
      <c r="H822" s="8" t="s">
        <v>131</v>
      </c>
      <c r="I822" s="2" t="str">
        <f t="shared" si="24"/>
        <v>chất kết dính sikadur - 31CF Normal AB 1.2kg/set</v>
      </c>
      <c r="J822" s="8" t="s">
        <v>53</v>
      </c>
      <c r="K822" s="10">
        <v>12</v>
      </c>
      <c r="L822" s="10">
        <v>245370.37</v>
      </c>
      <c r="M822" s="11">
        <v>2944444.44</v>
      </c>
      <c r="N822" s="8" t="s">
        <v>16</v>
      </c>
      <c r="O822" s="8" t="s">
        <v>17</v>
      </c>
      <c r="P822" s="8" t="s">
        <v>18</v>
      </c>
      <c r="Q822" s="8" t="s">
        <v>18</v>
      </c>
      <c r="R822" s="8" t="s">
        <v>2110</v>
      </c>
      <c r="S822" s="8" t="s">
        <v>2123</v>
      </c>
      <c r="T822" s="8" t="s">
        <v>2124</v>
      </c>
      <c r="U822" s="8" t="s">
        <v>2125</v>
      </c>
      <c r="V822" s="8" t="s">
        <v>778</v>
      </c>
      <c r="W822" s="8">
        <f>ROUNDUP(MONTH(V822)/3,0)</f>
        <v>3</v>
      </c>
      <c r="X822" s="8">
        <f>K822*L822*N822</f>
        <v>235555.5552</v>
      </c>
    </row>
    <row r="823" spans="1:24" s="8" customFormat="1" ht="41.5" customHeight="1">
      <c r="A823" s="8" t="s">
        <v>2280</v>
      </c>
      <c r="B823" s="8" t="s">
        <v>2570</v>
      </c>
      <c r="C823" s="9">
        <v>45839.643248425898</v>
      </c>
      <c r="D823" s="8" t="s">
        <v>2056</v>
      </c>
      <c r="E823" s="8" t="s">
        <v>2057</v>
      </c>
      <c r="F823" s="8">
        <v>1</v>
      </c>
      <c r="G823" s="22" t="s">
        <v>1632</v>
      </c>
      <c r="H823" s="8" t="s">
        <v>195</v>
      </c>
      <c r="I823" s="2" t="str">
        <f t="shared" si="24"/>
        <v>Máy bơm chất chống thấm TCK -510</v>
      </c>
      <c r="J823" s="8" t="s">
        <v>130</v>
      </c>
      <c r="K823" s="10">
        <v>1</v>
      </c>
      <c r="L823" s="10">
        <v>2314814.81</v>
      </c>
      <c r="M823" s="11">
        <v>2314814.81</v>
      </c>
      <c r="N823" s="8" t="s">
        <v>16</v>
      </c>
      <c r="O823" s="8" t="s">
        <v>17</v>
      </c>
      <c r="P823" s="8" t="s">
        <v>18</v>
      </c>
      <c r="Q823" s="8" t="s">
        <v>18</v>
      </c>
      <c r="R823" s="8" t="s">
        <v>2110</v>
      </c>
      <c r="S823" s="8" t="s">
        <v>2123</v>
      </c>
      <c r="T823" s="8" t="s">
        <v>2124</v>
      </c>
      <c r="U823" s="8" t="s">
        <v>2635</v>
      </c>
      <c r="V823" s="8" t="s">
        <v>784</v>
      </c>
      <c r="W823" s="8">
        <f>ROUNDUP(MONTH(V823)/3,0)</f>
        <v>3</v>
      </c>
      <c r="X823" s="8">
        <f>K823*L823*N823</f>
        <v>185185.18480000002</v>
      </c>
    </row>
    <row r="824" spans="1:24" s="8" customFormat="1" ht="41.5" customHeight="1">
      <c r="A824" s="8" t="s">
        <v>2280</v>
      </c>
      <c r="B824" s="8" t="s">
        <v>2570</v>
      </c>
      <c r="C824" s="9">
        <v>45839.643248425898</v>
      </c>
      <c r="D824" s="8" t="s">
        <v>2056</v>
      </c>
      <c r="E824" s="8" t="s">
        <v>2057</v>
      </c>
      <c r="F824" s="8">
        <v>2</v>
      </c>
      <c r="G824" s="22" t="s">
        <v>2136</v>
      </c>
      <c r="H824" s="8" t="s">
        <v>131</v>
      </c>
      <c r="I824" s="2" t="str">
        <f t="shared" si="24"/>
        <v>chất kết dính sikadur - 31CF Normal AB 1.2kg/set</v>
      </c>
      <c r="J824" s="8" t="s">
        <v>53</v>
      </c>
      <c r="K824" s="10">
        <v>3</v>
      </c>
      <c r="L824" s="10">
        <v>245370.37</v>
      </c>
      <c r="M824" s="11">
        <v>736111.11</v>
      </c>
      <c r="N824" s="8" t="s">
        <v>16</v>
      </c>
      <c r="O824" s="8" t="s">
        <v>17</v>
      </c>
      <c r="P824" s="8" t="s">
        <v>18</v>
      </c>
      <c r="Q824" s="8" t="s">
        <v>18</v>
      </c>
      <c r="R824" s="8" t="s">
        <v>2110</v>
      </c>
      <c r="S824" s="8" t="s">
        <v>2123</v>
      </c>
      <c r="T824" s="8" t="s">
        <v>2124</v>
      </c>
      <c r="U824" s="8" t="s">
        <v>2635</v>
      </c>
      <c r="V824" s="8" t="s">
        <v>784</v>
      </c>
      <c r="W824" s="8">
        <f>ROUNDUP(MONTH(V824)/3,0)</f>
        <v>3</v>
      </c>
      <c r="X824" s="8">
        <f>K824*L824*N824</f>
        <v>58888.888800000001</v>
      </c>
    </row>
    <row r="825" spans="1:24" s="8" customFormat="1" ht="41.5" customHeight="1">
      <c r="A825" s="8" t="s">
        <v>2280</v>
      </c>
      <c r="B825" s="8" t="s">
        <v>2570</v>
      </c>
      <c r="C825" s="9">
        <v>45839.643248425898</v>
      </c>
      <c r="D825" s="8" t="s">
        <v>2056</v>
      </c>
      <c r="E825" s="8" t="s">
        <v>2057</v>
      </c>
      <c r="F825" s="8">
        <v>3</v>
      </c>
      <c r="G825" s="22" t="s">
        <v>1340</v>
      </c>
      <c r="H825" s="8" t="s">
        <v>785</v>
      </c>
      <c r="I825" s="2" t="str">
        <f t="shared" si="24"/>
        <v>Lưới thủy tinh kt(30*1.15m) định lượng 80g/M2</v>
      </c>
      <c r="J825" s="8" t="s">
        <v>50</v>
      </c>
      <c r="K825" s="10">
        <v>12</v>
      </c>
      <c r="L825" s="10">
        <v>9259.259</v>
      </c>
      <c r="M825" s="11">
        <v>111111.10799999999</v>
      </c>
      <c r="N825" s="8" t="s">
        <v>16</v>
      </c>
      <c r="O825" s="8" t="s">
        <v>17</v>
      </c>
      <c r="P825" s="8" t="s">
        <v>18</v>
      </c>
      <c r="Q825" s="8" t="s">
        <v>18</v>
      </c>
      <c r="R825" s="8" t="s">
        <v>2110</v>
      </c>
      <c r="S825" s="8" t="s">
        <v>2123</v>
      </c>
      <c r="T825" s="8" t="s">
        <v>2124</v>
      </c>
      <c r="U825" s="8" t="s">
        <v>2635</v>
      </c>
      <c r="V825" s="8" t="s">
        <v>784</v>
      </c>
      <c r="W825" s="8">
        <f>ROUNDUP(MONTH(V825)/3,0)</f>
        <v>3</v>
      </c>
      <c r="X825" s="8">
        <f>K825*L825*N825</f>
        <v>8888.888640000001</v>
      </c>
    </row>
    <row r="826" spans="1:24" s="8" customFormat="1" ht="41.5" customHeight="1">
      <c r="A826" s="8" t="s">
        <v>2280</v>
      </c>
      <c r="B826" s="8" t="s">
        <v>2636</v>
      </c>
      <c r="C826" s="9">
        <v>45839.643164930603</v>
      </c>
      <c r="D826" s="8" t="s">
        <v>2056</v>
      </c>
      <c r="E826" s="8" t="s">
        <v>2057</v>
      </c>
      <c r="F826" s="8">
        <v>1</v>
      </c>
      <c r="G826" s="22" t="s">
        <v>1479</v>
      </c>
      <c r="H826" s="8" t="s">
        <v>786</v>
      </c>
      <c r="I826" s="2" t="str">
        <f t="shared" si="24"/>
        <v>Hóa chất PU trương nở MAXSEAL-UF, 9kg/thùng</v>
      </c>
      <c r="J826" s="8" t="s">
        <v>192</v>
      </c>
      <c r="K826" s="10">
        <v>1</v>
      </c>
      <c r="L826" s="10">
        <v>1272727.27</v>
      </c>
      <c r="M826" s="11">
        <v>1272727.27</v>
      </c>
      <c r="N826" s="8" t="s">
        <v>30</v>
      </c>
      <c r="O826" s="8" t="s">
        <v>17</v>
      </c>
      <c r="P826" s="8" t="s">
        <v>18</v>
      </c>
      <c r="Q826" s="8" t="s">
        <v>18</v>
      </c>
      <c r="R826" s="8" t="s">
        <v>2110</v>
      </c>
      <c r="S826" s="8" t="s">
        <v>2123</v>
      </c>
      <c r="T826" s="8" t="s">
        <v>2124</v>
      </c>
      <c r="U826" s="8" t="s">
        <v>2635</v>
      </c>
      <c r="V826" s="8" t="s">
        <v>784</v>
      </c>
      <c r="W826" s="8">
        <f>ROUNDUP(MONTH(V826)/3,0)</f>
        <v>3</v>
      </c>
      <c r="X826" s="8">
        <f>K826*L826*N826</f>
        <v>127272.72700000001</v>
      </c>
    </row>
    <row r="827" spans="1:24" s="8" customFormat="1" ht="41.5" customHeight="1">
      <c r="A827" s="8" t="s">
        <v>2281</v>
      </c>
      <c r="B827" s="8" t="s">
        <v>212</v>
      </c>
      <c r="C827" s="9">
        <v>45856.4529566782</v>
      </c>
      <c r="D827" s="8" t="s">
        <v>2056</v>
      </c>
      <c r="E827" s="8" t="s">
        <v>2057</v>
      </c>
      <c r="F827" s="8">
        <v>1</v>
      </c>
      <c r="G827" s="22" t="s">
        <v>2637</v>
      </c>
      <c r="H827" s="8" t="s">
        <v>787</v>
      </c>
      <c r="I827" s="2" t="str">
        <f t="shared" si="24"/>
        <v>Vải thủy tinh chống cháy, model 1 HT800</v>
      </c>
      <c r="J827" s="8" t="s">
        <v>127</v>
      </c>
      <c r="K827" s="10">
        <v>2</v>
      </c>
      <c r="L827" s="10">
        <v>3200000</v>
      </c>
      <c r="M827" s="11">
        <v>6400000</v>
      </c>
      <c r="N827" s="8" t="s">
        <v>16</v>
      </c>
      <c r="O827" s="8" t="s">
        <v>17</v>
      </c>
      <c r="P827" s="8" t="s">
        <v>18</v>
      </c>
      <c r="Q827" s="8" t="s">
        <v>18</v>
      </c>
      <c r="R827" s="8" t="s">
        <v>2115</v>
      </c>
      <c r="S827" s="8" t="s">
        <v>2638</v>
      </c>
      <c r="T827" s="8" t="s">
        <v>2639</v>
      </c>
      <c r="U827" s="8" t="s">
        <v>2640</v>
      </c>
      <c r="V827" s="8" t="s">
        <v>778</v>
      </c>
      <c r="W827" s="8">
        <f>ROUNDUP(MONTH(V827)/3,0)</f>
        <v>3</v>
      </c>
      <c r="X827" s="8">
        <f>K827*L827*N827</f>
        <v>512000</v>
      </c>
    </row>
    <row r="828" spans="1:24" s="8" customFormat="1" ht="41.5" customHeight="1">
      <c r="A828" s="8" t="s">
        <v>2281</v>
      </c>
      <c r="B828" s="8" t="s">
        <v>2641</v>
      </c>
      <c r="C828" s="9">
        <v>45867.516952928199</v>
      </c>
      <c r="D828" s="8" t="s">
        <v>2056</v>
      </c>
      <c r="E828" s="8" t="s">
        <v>2057</v>
      </c>
      <c r="F828" s="8">
        <v>1</v>
      </c>
      <c r="G828" s="27" t="s">
        <v>2140</v>
      </c>
      <c r="H828" s="8" t="s">
        <v>399</v>
      </c>
      <c r="I828" s="2" t="str">
        <f t="shared" si="24"/>
        <v>Thép ống hộp</v>
      </c>
      <c r="J828" s="8" t="s">
        <v>35</v>
      </c>
      <c r="K828" s="10">
        <v>19771.689999999999</v>
      </c>
      <c r="L828" s="10">
        <v>16500</v>
      </c>
      <c r="M828" s="11">
        <v>326232885</v>
      </c>
      <c r="N828" s="8" t="s">
        <v>30</v>
      </c>
      <c r="O828" s="8" t="s">
        <v>17</v>
      </c>
      <c r="P828" s="8" t="s">
        <v>18</v>
      </c>
      <c r="Q828" s="8" t="s">
        <v>18</v>
      </c>
      <c r="R828" s="8" t="s">
        <v>2115</v>
      </c>
      <c r="S828" s="8" t="s">
        <v>2126</v>
      </c>
      <c r="T828" s="8" t="s">
        <v>2127</v>
      </c>
      <c r="U828" s="8" t="s">
        <v>2128</v>
      </c>
      <c r="V828" s="8" t="s">
        <v>728</v>
      </c>
      <c r="W828" s="8">
        <f>ROUNDUP(MONTH(V828)/3,0)</f>
        <v>3</v>
      </c>
      <c r="X828" s="8">
        <f>K828*L828*N828</f>
        <v>32623288.5</v>
      </c>
    </row>
    <row r="829" spans="1:24" s="13" customFormat="1" ht="41.5" customHeight="1">
      <c r="A829" s="8" t="s">
        <v>2281</v>
      </c>
      <c r="B829" s="13" t="s">
        <v>2641</v>
      </c>
      <c r="C829" s="14">
        <v>45867.516952928199</v>
      </c>
      <c r="D829" s="13" t="s">
        <v>2056</v>
      </c>
      <c r="E829" s="13" t="s">
        <v>2057</v>
      </c>
      <c r="F829" s="13">
        <v>2</v>
      </c>
      <c r="G829" s="28" t="s">
        <v>1363</v>
      </c>
      <c r="H829" s="13" t="s">
        <v>59</v>
      </c>
      <c r="I829" s="2" t="str">
        <f t="shared" ref="I829:I892" si="25">G829</f>
        <v>Tôn màu</v>
      </c>
      <c r="J829" s="13" t="s">
        <v>106</v>
      </c>
      <c r="K829" s="15">
        <v>1090.18</v>
      </c>
      <c r="L829" s="15">
        <v>77000</v>
      </c>
      <c r="M829" s="16">
        <v>83943860</v>
      </c>
      <c r="N829" s="13" t="s">
        <v>30</v>
      </c>
      <c r="O829" s="13" t="s">
        <v>17</v>
      </c>
      <c r="P829" s="13" t="s">
        <v>18</v>
      </c>
      <c r="Q829" s="13" t="s">
        <v>18</v>
      </c>
      <c r="R829" s="13" t="s">
        <v>2115</v>
      </c>
      <c r="S829" s="13" t="s">
        <v>2126</v>
      </c>
      <c r="T829" s="13" t="s">
        <v>2127</v>
      </c>
      <c r="U829" s="13" t="s">
        <v>2128</v>
      </c>
      <c r="V829" s="13" t="s">
        <v>728</v>
      </c>
      <c r="W829" s="13">
        <f>ROUNDUP(MONTH(V829)/3,0)</f>
        <v>3</v>
      </c>
      <c r="X829" s="8">
        <f>K829*L829*N829</f>
        <v>8394386</v>
      </c>
    </row>
    <row r="830" spans="1:24" s="8" customFormat="1" ht="41.5" customHeight="1">
      <c r="A830" s="8" t="s">
        <v>2281</v>
      </c>
      <c r="B830" s="8" t="s">
        <v>2642</v>
      </c>
      <c r="C830" s="9">
        <v>45867.473645312501</v>
      </c>
      <c r="D830" s="8" t="s">
        <v>2056</v>
      </c>
      <c r="E830" s="8" t="s">
        <v>2057</v>
      </c>
      <c r="F830" s="8">
        <v>1</v>
      </c>
      <c r="G830" s="27" t="s">
        <v>2140</v>
      </c>
      <c r="H830" s="8" t="s">
        <v>399</v>
      </c>
      <c r="I830" s="2" t="str">
        <f t="shared" si="25"/>
        <v>Thép ống hộp</v>
      </c>
      <c r="J830" s="8" t="s">
        <v>35</v>
      </c>
      <c r="K830" s="10">
        <v>10838.13</v>
      </c>
      <c r="L830" s="10">
        <v>16500</v>
      </c>
      <c r="M830" s="11">
        <v>178829145</v>
      </c>
      <c r="N830" s="8" t="s">
        <v>30</v>
      </c>
      <c r="O830" s="8" t="s">
        <v>17</v>
      </c>
      <c r="P830" s="8" t="s">
        <v>18</v>
      </c>
      <c r="Q830" s="8" t="s">
        <v>18</v>
      </c>
      <c r="R830" s="8" t="s">
        <v>2115</v>
      </c>
      <c r="S830" s="8" t="s">
        <v>2126</v>
      </c>
      <c r="T830" s="8" t="s">
        <v>2127</v>
      </c>
      <c r="U830" s="8" t="s">
        <v>2128</v>
      </c>
      <c r="V830" s="8" t="s">
        <v>728</v>
      </c>
      <c r="W830" s="8">
        <f>ROUNDUP(MONTH(V830)/3,0)</f>
        <v>3</v>
      </c>
      <c r="X830" s="8">
        <f>K830*L830*N830</f>
        <v>17882914.5</v>
      </c>
    </row>
    <row r="831" spans="1:24" s="8" customFormat="1" ht="41.5" customHeight="1">
      <c r="A831" s="8" t="s">
        <v>2281</v>
      </c>
      <c r="B831" s="8" t="s">
        <v>2643</v>
      </c>
      <c r="C831" s="9">
        <v>45842.687802766202</v>
      </c>
      <c r="D831" s="8" t="s">
        <v>2056</v>
      </c>
      <c r="E831" s="8" t="s">
        <v>2057</v>
      </c>
      <c r="F831" s="8">
        <v>1</v>
      </c>
      <c r="G831" s="27" t="s">
        <v>2140</v>
      </c>
      <c r="H831" s="8" t="s">
        <v>399</v>
      </c>
      <c r="I831" s="2" t="str">
        <f t="shared" si="25"/>
        <v>Thép ống hộp</v>
      </c>
      <c r="J831" s="8" t="s">
        <v>35</v>
      </c>
      <c r="K831" s="10">
        <v>22354.06</v>
      </c>
      <c r="L831" s="10">
        <v>16700</v>
      </c>
      <c r="M831" s="11">
        <v>373312800</v>
      </c>
      <c r="N831" s="8" t="s">
        <v>30</v>
      </c>
      <c r="O831" s="8" t="s">
        <v>17</v>
      </c>
      <c r="P831" s="8" t="s">
        <v>18</v>
      </c>
      <c r="Q831" s="8" t="s">
        <v>18</v>
      </c>
      <c r="R831" s="8" t="s">
        <v>2115</v>
      </c>
      <c r="S831" s="8" t="s">
        <v>2126</v>
      </c>
      <c r="T831" s="8" t="s">
        <v>2127</v>
      </c>
      <c r="U831" s="8" t="s">
        <v>2128</v>
      </c>
      <c r="V831" s="8" t="s">
        <v>788</v>
      </c>
      <c r="W831" s="8">
        <f>ROUNDUP(MONTH(V831)/3,0)</f>
        <v>3</v>
      </c>
      <c r="X831" s="8">
        <f>K831*L831*N831</f>
        <v>37331280.200000003</v>
      </c>
    </row>
    <row r="832" spans="1:24" s="8" customFormat="1" ht="41.5" customHeight="1">
      <c r="A832" s="8" t="s">
        <v>2281</v>
      </c>
      <c r="B832" s="8" t="s">
        <v>2644</v>
      </c>
      <c r="C832" s="9">
        <v>45840.668111828702</v>
      </c>
      <c r="D832" s="8" t="s">
        <v>2056</v>
      </c>
      <c r="E832" s="8" t="s">
        <v>2057</v>
      </c>
      <c r="F832" s="8">
        <v>1</v>
      </c>
      <c r="G832" s="27" t="s">
        <v>2140</v>
      </c>
      <c r="H832" s="8" t="s">
        <v>399</v>
      </c>
      <c r="I832" s="2" t="str">
        <f t="shared" si="25"/>
        <v>Thép ống hộp</v>
      </c>
      <c r="J832" s="8" t="s">
        <v>35</v>
      </c>
      <c r="K832" s="10">
        <v>10365.9</v>
      </c>
      <c r="L832" s="10">
        <v>16700</v>
      </c>
      <c r="M832" s="11">
        <v>173110530</v>
      </c>
      <c r="N832" s="8" t="s">
        <v>30</v>
      </c>
      <c r="O832" s="8" t="s">
        <v>17</v>
      </c>
      <c r="P832" s="8" t="s">
        <v>18</v>
      </c>
      <c r="Q832" s="8" t="s">
        <v>18</v>
      </c>
      <c r="R832" s="8" t="s">
        <v>2115</v>
      </c>
      <c r="S832" s="8" t="s">
        <v>2126</v>
      </c>
      <c r="T832" s="8" t="s">
        <v>2127</v>
      </c>
      <c r="U832" s="8" t="s">
        <v>2645</v>
      </c>
      <c r="V832" s="8" t="s">
        <v>789</v>
      </c>
      <c r="W832" s="8">
        <f>ROUNDUP(MONTH(V832)/3,0)</f>
        <v>3</v>
      </c>
      <c r="X832" s="8">
        <f>K832*L832*N832</f>
        <v>17311053</v>
      </c>
    </row>
    <row r="833" spans="1:24" s="13" customFormat="1" ht="41.5" customHeight="1">
      <c r="A833" s="8" t="s">
        <v>2281</v>
      </c>
      <c r="B833" s="13" t="s">
        <v>2646</v>
      </c>
      <c r="C833" s="14">
        <v>45839.921383321802</v>
      </c>
      <c r="D833" s="13" t="s">
        <v>2056</v>
      </c>
      <c r="E833" s="13" t="s">
        <v>2057</v>
      </c>
      <c r="F833" s="13">
        <v>1</v>
      </c>
      <c r="G833" s="28" t="s">
        <v>1363</v>
      </c>
      <c r="H833" s="13" t="s">
        <v>59</v>
      </c>
      <c r="I833" s="2" t="str">
        <f t="shared" si="25"/>
        <v>Tôn màu</v>
      </c>
      <c r="J833" s="13" t="s">
        <v>106</v>
      </c>
      <c r="K833" s="15">
        <v>1521.73</v>
      </c>
      <c r="L833" s="15">
        <v>77000.28</v>
      </c>
      <c r="M833" s="16">
        <v>117173636</v>
      </c>
      <c r="N833" s="13" t="s">
        <v>30</v>
      </c>
      <c r="O833" s="13" t="s">
        <v>17</v>
      </c>
      <c r="P833" s="13" t="s">
        <v>18</v>
      </c>
      <c r="Q833" s="13" t="s">
        <v>18</v>
      </c>
      <c r="R833" s="13" t="s">
        <v>2115</v>
      </c>
      <c r="S833" s="13" t="s">
        <v>2126</v>
      </c>
      <c r="T833" s="13" t="s">
        <v>2127</v>
      </c>
      <c r="U833" s="13" t="s">
        <v>2645</v>
      </c>
      <c r="V833" s="13" t="s">
        <v>784</v>
      </c>
      <c r="W833" s="13">
        <f>ROUNDUP(MONTH(V833)/3,0)</f>
        <v>3</v>
      </c>
      <c r="X833" s="8">
        <f>K833*L833*N833</f>
        <v>11717363.608440001</v>
      </c>
    </row>
    <row r="834" spans="1:24" s="8" customFormat="1" ht="41.5" customHeight="1">
      <c r="A834" s="8" t="s">
        <v>2280</v>
      </c>
      <c r="B834" s="8" t="s">
        <v>2647</v>
      </c>
      <c r="C834" s="9">
        <v>45861.642779571797</v>
      </c>
      <c r="D834" s="8" t="s">
        <v>2056</v>
      </c>
      <c r="E834" s="8" t="s">
        <v>2057</v>
      </c>
      <c r="F834" s="8">
        <v>1</v>
      </c>
      <c r="G834" s="22" t="s">
        <v>790</v>
      </c>
      <c r="H834" s="8" t="s">
        <v>790</v>
      </c>
      <c r="I834" s="2" t="str">
        <f t="shared" si="25"/>
        <v>Lưới</v>
      </c>
      <c r="J834" s="8" t="s">
        <v>50</v>
      </c>
      <c r="K834" s="10">
        <v>660</v>
      </c>
      <c r="L834" s="10">
        <v>10000</v>
      </c>
      <c r="M834" s="11">
        <v>6600000</v>
      </c>
      <c r="N834" s="8" t="s">
        <v>16</v>
      </c>
      <c r="O834" s="8" t="s">
        <v>17</v>
      </c>
      <c r="P834" s="8" t="s">
        <v>18</v>
      </c>
      <c r="Q834" s="8" t="s">
        <v>18</v>
      </c>
      <c r="R834" s="8" t="s">
        <v>2110</v>
      </c>
      <c r="S834" s="8" t="s">
        <v>2073</v>
      </c>
      <c r="T834" s="8" t="s">
        <v>2074</v>
      </c>
      <c r="U834" s="8" t="s">
        <v>2648</v>
      </c>
      <c r="V834" s="8" t="s">
        <v>782</v>
      </c>
      <c r="W834" s="8">
        <f>ROUNDUP(MONTH(V834)/3,0)</f>
        <v>3</v>
      </c>
      <c r="X834" s="8">
        <f>K834*L834*N834</f>
        <v>528000</v>
      </c>
    </row>
    <row r="835" spans="1:24" s="8" customFormat="1" ht="41.5" customHeight="1">
      <c r="A835" s="8" t="s">
        <v>2280</v>
      </c>
      <c r="B835" s="8" t="s">
        <v>2647</v>
      </c>
      <c r="C835" s="9">
        <v>45861.642779571797</v>
      </c>
      <c r="D835" s="8" t="s">
        <v>2056</v>
      </c>
      <c r="E835" s="8" t="s">
        <v>2057</v>
      </c>
      <c r="F835" s="8">
        <v>2</v>
      </c>
      <c r="G835" s="22" t="s">
        <v>34</v>
      </c>
      <c r="H835" s="8" t="s">
        <v>791</v>
      </c>
      <c r="I835" s="2" t="str">
        <f t="shared" si="25"/>
        <v>Bạt PP</v>
      </c>
      <c r="J835" s="8" t="s">
        <v>35</v>
      </c>
      <c r="K835" s="10">
        <v>160</v>
      </c>
      <c r="L835" s="10">
        <v>38000</v>
      </c>
      <c r="M835" s="11">
        <v>6080000</v>
      </c>
      <c r="N835" s="8" t="s">
        <v>16</v>
      </c>
      <c r="O835" s="8" t="s">
        <v>17</v>
      </c>
      <c r="P835" s="8" t="s">
        <v>18</v>
      </c>
      <c r="Q835" s="8" t="s">
        <v>18</v>
      </c>
      <c r="R835" s="8" t="s">
        <v>2110</v>
      </c>
      <c r="S835" s="8" t="s">
        <v>2073</v>
      </c>
      <c r="T835" s="8" t="s">
        <v>2074</v>
      </c>
      <c r="U835" s="8" t="s">
        <v>2648</v>
      </c>
      <c r="V835" s="8" t="s">
        <v>782</v>
      </c>
      <c r="W835" s="8">
        <f>ROUNDUP(MONTH(V835)/3,0)</f>
        <v>3</v>
      </c>
      <c r="X835" s="8">
        <f>K835*L835*N835</f>
        <v>486400</v>
      </c>
    </row>
    <row r="836" spans="1:24" s="8" customFormat="1" ht="41.5" customHeight="1">
      <c r="A836" s="8" t="s">
        <v>2280</v>
      </c>
      <c r="B836" s="8" t="s">
        <v>2647</v>
      </c>
      <c r="C836" s="9">
        <v>45861.642779571797</v>
      </c>
      <c r="D836" s="8" t="s">
        <v>2056</v>
      </c>
      <c r="E836" s="8" t="s">
        <v>2057</v>
      </c>
      <c r="F836" s="8">
        <v>3</v>
      </c>
      <c r="G836" s="22" t="s">
        <v>792</v>
      </c>
      <c r="H836" s="8" t="s">
        <v>792</v>
      </c>
      <c r="I836" s="2" t="str">
        <f t="shared" si="25"/>
        <v>Nilon</v>
      </c>
      <c r="J836" s="8" t="s">
        <v>35</v>
      </c>
      <c r="K836" s="10">
        <v>500</v>
      </c>
      <c r="L836" s="10">
        <v>34000</v>
      </c>
      <c r="M836" s="11">
        <v>17000000</v>
      </c>
      <c r="N836" s="8" t="s">
        <v>16</v>
      </c>
      <c r="O836" s="8" t="s">
        <v>17</v>
      </c>
      <c r="P836" s="8" t="s">
        <v>18</v>
      </c>
      <c r="Q836" s="8" t="s">
        <v>18</v>
      </c>
      <c r="R836" s="8" t="s">
        <v>2110</v>
      </c>
      <c r="S836" s="8" t="s">
        <v>2073</v>
      </c>
      <c r="T836" s="8" t="s">
        <v>2074</v>
      </c>
      <c r="U836" s="8" t="s">
        <v>2648</v>
      </c>
      <c r="V836" s="8" t="s">
        <v>782</v>
      </c>
      <c r="W836" s="8">
        <f>ROUNDUP(MONTH(V836)/3,0)</f>
        <v>3</v>
      </c>
      <c r="X836" s="8">
        <f>K836*L836*N836</f>
        <v>1360000</v>
      </c>
    </row>
    <row r="837" spans="1:24" s="8" customFormat="1" ht="41.5" customHeight="1">
      <c r="A837" s="8" t="s">
        <v>2302</v>
      </c>
      <c r="B837" s="8" t="s">
        <v>193</v>
      </c>
      <c r="C837" s="9">
        <v>45841.686379953702</v>
      </c>
      <c r="D837" s="8" t="s">
        <v>2056</v>
      </c>
      <c r="E837" s="8" t="s">
        <v>2057</v>
      </c>
      <c r="F837" s="8">
        <v>1</v>
      </c>
      <c r="G837" s="27" t="s">
        <v>2140</v>
      </c>
      <c r="H837" s="8" t="s">
        <v>196</v>
      </c>
      <c r="I837" s="2" t="str">
        <f t="shared" si="25"/>
        <v>Thép ống hộp</v>
      </c>
      <c r="J837" s="8" t="s">
        <v>62</v>
      </c>
      <c r="K837" s="10">
        <v>387</v>
      </c>
      <c r="L837" s="10">
        <v>15909.09</v>
      </c>
      <c r="M837" s="11">
        <v>6156818</v>
      </c>
      <c r="N837" s="8" t="s">
        <v>30</v>
      </c>
      <c r="O837" s="8" t="s">
        <v>17</v>
      </c>
      <c r="P837" s="8" t="s">
        <v>18</v>
      </c>
      <c r="Q837" s="8" t="s">
        <v>18</v>
      </c>
      <c r="R837" s="8" t="s">
        <v>2115</v>
      </c>
      <c r="S837" s="8" t="s">
        <v>2137</v>
      </c>
      <c r="T837" s="8" t="s">
        <v>2138</v>
      </c>
      <c r="U837" s="8" t="s">
        <v>2139</v>
      </c>
      <c r="V837" s="8" t="s">
        <v>745</v>
      </c>
      <c r="W837" s="8">
        <f>ROUNDUP(MONTH(V837)/3,0)</f>
        <v>3</v>
      </c>
      <c r="X837" s="8">
        <f>K837*L837*N837</f>
        <v>615681.78300000005</v>
      </c>
    </row>
    <row r="838" spans="1:24" s="8" customFormat="1" ht="41.5" customHeight="1">
      <c r="A838" s="8" t="s">
        <v>2302</v>
      </c>
      <c r="B838" s="8" t="s">
        <v>193</v>
      </c>
      <c r="C838" s="9">
        <v>45841.686379953702</v>
      </c>
      <c r="D838" s="8" t="s">
        <v>2056</v>
      </c>
      <c r="E838" s="8" t="s">
        <v>2057</v>
      </c>
      <c r="F838" s="8">
        <v>2</v>
      </c>
      <c r="G838" s="27" t="s">
        <v>2140</v>
      </c>
      <c r="H838" s="8" t="s">
        <v>274</v>
      </c>
      <c r="I838" s="2" t="str">
        <f t="shared" si="25"/>
        <v>Thép ống hộp</v>
      </c>
      <c r="J838" s="8" t="s">
        <v>62</v>
      </c>
      <c r="K838" s="10">
        <v>377</v>
      </c>
      <c r="L838" s="10">
        <v>15909.09</v>
      </c>
      <c r="M838" s="11">
        <v>5997727</v>
      </c>
      <c r="N838" s="8" t="s">
        <v>30</v>
      </c>
      <c r="O838" s="8" t="s">
        <v>17</v>
      </c>
      <c r="P838" s="8" t="s">
        <v>18</v>
      </c>
      <c r="Q838" s="8" t="s">
        <v>18</v>
      </c>
      <c r="R838" s="8" t="s">
        <v>2115</v>
      </c>
      <c r="S838" s="8" t="s">
        <v>2137</v>
      </c>
      <c r="T838" s="8" t="s">
        <v>2138</v>
      </c>
      <c r="U838" s="8" t="s">
        <v>2139</v>
      </c>
      <c r="V838" s="8" t="s">
        <v>745</v>
      </c>
      <c r="W838" s="8">
        <f>ROUNDUP(MONTH(V838)/3,0)</f>
        <v>3</v>
      </c>
      <c r="X838" s="8">
        <f>K838*L838*N838</f>
        <v>599772.69299999997</v>
      </c>
    </row>
    <row r="839" spans="1:24" s="8" customFormat="1" ht="41.5" customHeight="1">
      <c r="A839" s="8" t="s">
        <v>2302</v>
      </c>
      <c r="B839" s="8" t="s">
        <v>193</v>
      </c>
      <c r="C839" s="9">
        <v>45841.686379953702</v>
      </c>
      <c r="D839" s="8" t="s">
        <v>2056</v>
      </c>
      <c r="E839" s="8" t="s">
        <v>2057</v>
      </c>
      <c r="F839" s="8">
        <v>3</v>
      </c>
      <c r="G839" s="27" t="s">
        <v>2140</v>
      </c>
      <c r="H839" s="8" t="s">
        <v>110</v>
      </c>
      <c r="I839" s="2" t="str">
        <f t="shared" si="25"/>
        <v>Thép ống hộp</v>
      </c>
      <c r="J839" s="8" t="s">
        <v>62</v>
      </c>
      <c r="K839" s="10">
        <v>4245</v>
      </c>
      <c r="L839" s="10">
        <v>15909.09</v>
      </c>
      <c r="M839" s="11">
        <v>67534087</v>
      </c>
      <c r="N839" s="8" t="s">
        <v>30</v>
      </c>
      <c r="O839" s="8" t="s">
        <v>17</v>
      </c>
      <c r="P839" s="8" t="s">
        <v>18</v>
      </c>
      <c r="Q839" s="8" t="s">
        <v>18</v>
      </c>
      <c r="R839" s="8" t="s">
        <v>2115</v>
      </c>
      <c r="S839" s="8" t="s">
        <v>2137</v>
      </c>
      <c r="T839" s="8" t="s">
        <v>2138</v>
      </c>
      <c r="U839" s="8" t="s">
        <v>2139</v>
      </c>
      <c r="V839" s="8" t="s">
        <v>745</v>
      </c>
      <c r="W839" s="8">
        <f>ROUNDUP(MONTH(V839)/3,0)</f>
        <v>3</v>
      </c>
      <c r="X839" s="8">
        <f>K839*L839*N839</f>
        <v>6753408.7050000001</v>
      </c>
    </row>
    <row r="840" spans="1:24" s="8" customFormat="1" ht="41.5" customHeight="1">
      <c r="A840" s="8" t="s">
        <v>2302</v>
      </c>
      <c r="B840" s="8" t="s">
        <v>193</v>
      </c>
      <c r="C840" s="9">
        <v>45841.686379953702</v>
      </c>
      <c r="D840" s="8" t="s">
        <v>2056</v>
      </c>
      <c r="E840" s="8" t="s">
        <v>2057</v>
      </c>
      <c r="F840" s="8">
        <v>4</v>
      </c>
      <c r="G840" s="27" t="s">
        <v>2140</v>
      </c>
      <c r="H840" s="8" t="s">
        <v>74</v>
      </c>
      <c r="I840" s="2" t="str">
        <f t="shared" si="25"/>
        <v>Thép ống hộp</v>
      </c>
      <c r="J840" s="8" t="s">
        <v>62</v>
      </c>
      <c r="K840" s="10">
        <v>225</v>
      </c>
      <c r="L840" s="10">
        <v>15909.09</v>
      </c>
      <c r="M840" s="11">
        <v>3579545</v>
      </c>
      <c r="N840" s="8" t="s">
        <v>30</v>
      </c>
      <c r="O840" s="8" t="s">
        <v>17</v>
      </c>
      <c r="P840" s="8" t="s">
        <v>18</v>
      </c>
      <c r="Q840" s="8" t="s">
        <v>18</v>
      </c>
      <c r="R840" s="8" t="s">
        <v>2115</v>
      </c>
      <c r="S840" s="8" t="s">
        <v>2137</v>
      </c>
      <c r="T840" s="8" t="s">
        <v>2138</v>
      </c>
      <c r="U840" s="8" t="s">
        <v>2139</v>
      </c>
      <c r="V840" s="8" t="s">
        <v>745</v>
      </c>
      <c r="W840" s="8">
        <f>ROUNDUP(MONTH(V840)/3,0)</f>
        <v>3</v>
      </c>
      <c r="X840" s="8">
        <f>K840*L840*N840</f>
        <v>357954.52500000002</v>
      </c>
    </row>
    <row r="841" spans="1:24" s="8" customFormat="1" ht="41.5" customHeight="1">
      <c r="A841" s="8" t="s">
        <v>2302</v>
      </c>
      <c r="B841" s="8" t="s">
        <v>193</v>
      </c>
      <c r="C841" s="9">
        <v>45841.686379953702</v>
      </c>
      <c r="D841" s="8" t="s">
        <v>2056</v>
      </c>
      <c r="E841" s="8" t="s">
        <v>2057</v>
      </c>
      <c r="F841" s="8">
        <v>5</v>
      </c>
      <c r="G841" s="27" t="s">
        <v>2140</v>
      </c>
      <c r="H841" s="8" t="s">
        <v>75</v>
      </c>
      <c r="I841" s="2" t="str">
        <f t="shared" si="25"/>
        <v>Thép ống hộp</v>
      </c>
      <c r="J841" s="8" t="s">
        <v>62</v>
      </c>
      <c r="K841" s="10">
        <v>283.5</v>
      </c>
      <c r="L841" s="10">
        <v>15909.09</v>
      </c>
      <c r="M841" s="11">
        <v>4510227</v>
      </c>
      <c r="N841" s="8" t="s">
        <v>30</v>
      </c>
      <c r="O841" s="8" t="s">
        <v>17</v>
      </c>
      <c r="P841" s="8" t="s">
        <v>18</v>
      </c>
      <c r="Q841" s="8" t="s">
        <v>18</v>
      </c>
      <c r="R841" s="8" t="s">
        <v>2115</v>
      </c>
      <c r="S841" s="8" t="s">
        <v>2137</v>
      </c>
      <c r="T841" s="8" t="s">
        <v>2138</v>
      </c>
      <c r="U841" s="8" t="s">
        <v>2139</v>
      </c>
      <c r="V841" s="8" t="s">
        <v>745</v>
      </c>
      <c r="W841" s="8">
        <f>ROUNDUP(MONTH(V841)/3,0)</f>
        <v>3</v>
      </c>
      <c r="X841" s="8">
        <f>K841*L841*N841</f>
        <v>451022.70149999997</v>
      </c>
    </row>
    <row r="842" spans="1:24" s="8" customFormat="1" ht="41.5" customHeight="1">
      <c r="A842" s="8" t="s">
        <v>2302</v>
      </c>
      <c r="B842" s="8" t="s">
        <v>193</v>
      </c>
      <c r="C842" s="9">
        <v>45841.686379953702</v>
      </c>
      <c r="D842" s="8" t="s">
        <v>2056</v>
      </c>
      <c r="E842" s="8" t="s">
        <v>2057</v>
      </c>
      <c r="F842" s="8">
        <v>6</v>
      </c>
      <c r="G842" s="22" t="s">
        <v>1346</v>
      </c>
      <c r="H842" s="8" t="s">
        <v>70</v>
      </c>
      <c r="I842" s="2" t="str">
        <f t="shared" si="25"/>
        <v>Tôn xốp</v>
      </c>
      <c r="J842" s="8" t="s">
        <v>71</v>
      </c>
      <c r="K842" s="10">
        <v>118.4</v>
      </c>
      <c r="L842" s="10">
        <v>143000</v>
      </c>
      <c r="M842" s="11">
        <v>16931200</v>
      </c>
      <c r="N842" s="8" t="s">
        <v>30</v>
      </c>
      <c r="O842" s="8" t="s">
        <v>17</v>
      </c>
      <c r="P842" s="8" t="s">
        <v>18</v>
      </c>
      <c r="Q842" s="8" t="s">
        <v>18</v>
      </c>
      <c r="R842" s="8" t="s">
        <v>2115</v>
      </c>
      <c r="S842" s="8" t="s">
        <v>2137</v>
      </c>
      <c r="T842" s="8" t="s">
        <v>2138</v>
      </c>
      <c r="U842" s="8" t="s">
        <v>2139</v>
      </c>
      <c r="V842" s="8" t="s">
        <v>745</v>
      </c>
      <c r="W842" s="8">
        <f>ROUNDUP(MONTH(V842)/3,0)</f>
        <v>3</v>
      </c>
      <c r="X842" s="8">
        <f>K842*L842*N842</f>
        <v>1693120</v>
      </c>
    </row>
    <row r="843" spans="1:24" s="8" customFormat="1" ht="41.5" customHeight="1">
      <c r="A843" s="8" t="s">
        <v>2302</v>
      </c>
      <c r="B843" s="8" t="s">
        <v>2649</v>
      </c>
      <c r="C843" s="9">
        <v>45850.471243391199</v>
      </c>
      <c r="D843" s="8" t="s">
        <v>2056</v>
      </c>
      <c r="E843" s="8" t="s">
        <v>2057</v>
      </c>
      <c r="F843" s="8">
        <v>1</v>
      </c>
      <c r="G843" s="27" t="s">
        <v>2140</v>
      </c>
      <c r="H843" s="8" t="s">
        <v>64</v>
      </c>
      <c r="I843" s="2" t="str">
        <f t="shared" si="25"/>
        <v>Thép ống hộp</v>
      </c>
      <c r="J843" s="8" t="s">
        <v>62</v>
      </c>
      <c r="K843" s="10">
        <v>908.51</v>
      </c>
      <c r="L843" s="10">
        <v>15909.09</v>
      </c>
      <c r="M843" s="11">
        <v>14453567</v>
      </c>
      <c r="N843" s="8" t="s">
        <v>30</v>
      </c>
      <c r="O843" s="8" t="s">
        <v>17</v>
      </c>
      <c r="P843" s="8" t="s">
        <v>18</v>
      </c>
      <c r="Q843" s="8" t="s">
        <v>18</v>
      </c>
      <c r="R843" s="8" t="s">
        <v>2115</v>
      </c>
      <c r="S843" s="8" t="s">
        <v>2137</v>
      </c>
      <c r="T843" s="8" t="s">
        <v>2138</v>
      </c>
      <c r="U843" s="8" t="s">
        <v>2139</v>
      </c>
      <c r="V843" s="8" t="s">
        <v>793</v>
      </c>
      <c r="W843" s="8">
        <f>ROUNDUP(MONTH(V843)/3,0)</f>
        <v>3</v>
      </c>
      <c r="X843" s="8">
        <f>K843*L843*N843</f>
        <v>1445356.7355900002</v>
      </c>
    </row>
    <row r="844" spans="1:24" s="8" customFormat="1" ht="41.5" customHeight="1">
      <c r="A844" s="8" t="s">
        <v>2302</v>
      </c>
      <c r="B844" s="8" t="s">
        <v>2649</v>
      </c>
      <c r="C844" s="9">
        <v>45850.471243391199</v>
      </c>
      <c r="D844" s="8" t="s">
        <v>2056</v>
      </c>
      <c r="E844" s="8" t="s">
        <v>2057</v>
      </c>
      <c r="F844" s="8">
        <v>2</v>
      </c>
      <c r="G844" s="22" t="s">
        <v>159</v>
      </c>
      <c r="H844" s="8" t="s">
        <v>159</v>
      </c>
      <c r="I844" s="2" t="str">
        <f t="shared" si="25"/>
        <v>Hộp Inox 304</v>
      </c>
      <c r="J844" s="8" t="s">
        <v>62</v>
      </c>
      <c r="K844" s="10">
        <v>272.10000000000002</v>
      </c>
      <c r="L844" s="10">
        <v>57000</v>
      </c>
      <c r="M844" s="11">
        <v>15509700</v>
      </c>
      <c r="N844" s="8" t="s">
        <v>30</v>
      </c>
      <c r="O844" s="8" t="s">
        <v>17</v>
      </c>
      <c r="P844" s="8" t="s">
        <v>18</v>
      </c>
      <c r="Q844" s="8" t="s">
        <v>18</v>
      </c>
      <c r="R844" s="8" t="s">
        <v>2115</v>
      </c>
      <c r="S844" s="8" t="s">
        <v>2137</v>
      </c>
      <c r="T844" s="8" t="s">
        <v>2138</v>
      </c>
      <c r="U844" s="8" t="s">
        <v>2139</v>
      </c>
      <c r="V844" s="8" t="s">
        <v>793</v>
      </c>
      <c r="W844" s="8">
        <f>ROUNDUP(MONTH(V844)/3,0)</f>
        <v>3</v>
      </c>
      <c r="X844" s="8">
        <f>K844*L844*N844</f>
        <v>1550970.0000000002</v>
      </c>
    </row>
    <row r="845" spans="1:24" s="8" customFormat="1" ht="41.5" customHeight="1">
      <c r="A845" s="8" t="s">
        <v>2302</v>
      </c>
      <c r="B845" s="8" t="s">
        <v>794</v>
      </c>
      <c r="C845" s="9">
        <v>45842.763878912003</v>
      </c>
      <c r="D845" s="8" t="s">
        <v>2056</v>
      </c>
      <c r="E845" s="8" t="s">
        <v>2057</v>
      </c>
      <c r="F845" s="8">
        <v>1</v>
      </c>
      <c r="G845" s="27" t="s">
        <v>2140</v>
      </c>
      <c r="H845" s="8" t="s">
        <v>110</v>
      </c>
      <c r="I845" s="2" t="str">
        <f t="shared" si="25"/>
        <v>Thép ống hộp</v>
      </c>
      <c r="J845" s="8" t="s">
        <v>62</v>
      </c>
      <c r="K845" s="10">
        <v>25480</v>
      </c>
      <c r="L845" s="10">
        <v>15818.18</v>
      </c>
      <c r="M845" s="11">
        <v>403047226</v>
      </c>
      <c r="N845" s="8" t="s">
        <v>30</v>
      </c>
      <c r="O845" s="8" t="s">
        <v>17</v>
      </c>
      <c r="P845" s="8" t="s">
        <v>18</v>
      </c>
      <c r="Q845" s="8" t="s">
        <v>18</v>
      </c>
      <c r="R845" s="8" t="s">
        <v>2115</v>
      </c>
      <c r="S845" s="8" t="s">
        <v>2137</v>
      </c>
      <c r="T845" s="8" t="s">
        <v>2138</v>
      </c>
      <c r="U845" s="8" t="s">
        <v>2139</v>
      </c>
      <c r="V845" s="8" t="s">
        <v>788</v>
      </c>
      <c r="W845" s="8">
        <f>ROUNDUP(MONTH(V845)/3,0)</f>
        <v>3</v>
      </c>
      <c r="X845" s="8">
        <f>K845*L845*N845</f>
        <v>40304722.640000008</v>
      </c>
    </row>
    <row r="846" spans="1:24" s="8" customFormat="1" ht="41.5" customHeight="1">
      <c r="A846" s="8" t="s">
        <v>2302</v>
      </c>
      <c r="B846" s="8" t="s">
        <v>2650</v>
      </c>
      <c r="C846" s="9">
        <v>45862.668151585603</v>
      </c>
      <c r="D846" s="8" t="s">
        <v>2056</v>
      </c>
      <c r="E846" s="8" t="s">
        <v>2057</v>
      </c>
      <c r="F846" s="8">
        <v>1</v>
      </c>
      <c r="G846" s="27" t="s">
        <v>2140</v>
      </c>
      <c r="H846" s="8" t="s">
        <v>110</v>
      </c>
      <c r="I846" s="2" t="str">
        <f t="shared" si="25"/>
        <v>Thép ống hộp</v>
      </c>
      <c r="J846" s="8" t="s">
        <v>62</v>
      </c>
      <c r="K846" s="10">
        <v>6002.43</v>
      </c>
      <c r="L846" s="10">
        <v>15909.09</v>
      </c>
      <c r="M846" s="11">
        <v>95493199</v>
      </c>
      <c r="N846" s="8" t="s">
        <v>30</v>
      </c>
      <c r="O846" s="8" t="s">
        <v>17</v>
      </c>
      <c r="P846" s="8" t="s">
        <v>18</v>
      </c>
      <c r="Q846" s="8" t="s">
        <v>18</v>
      </c>
      <c r="R846" s="8" t="s">
        <v>2115</v>
      </c>
      <c r="S846" s="8" t="s">
        <v>2137</v>
      </c>
      <c r="T846" s="8" t="s">
        <v>2138</v>
      </c>
      <c r="U846" s="8" t="s">
        <v>2139</v>
      </c>
      <c r="V846" s="8" t="s">
        <v>795</v>
      </c>
      <c r="W846" s="8">
        <f>ROUNDUP(MONTH(V846)/3,0)</f>
        <v>3</v>
      </c>
      <c r="X846" s="8">
        <f>K846*L846*N846</f>
        <v>9549319.9088700023</v>
      </c>
    </row>
    <row r="847" spans="1:24" s="8" customFormat="1" ht="41.5" customHeight="1">
      <c r="A847" s="8" t="s">
        <v>2302</v>
      </c>
      <c r="B847" s="8" t="s">
        <v>2650</v>
      </c>
      <c r="C847" s="9">
        <v>45862.668151585603</v>
      </c>
      <c r="D847" s="8" t="s">
        <v>2056</v>
      </c>
      <c r="E847" s="8" t="s">
        <v>2057</v>
      </c>
      <c r="F847" s="8">
        <v>2</v>
      </c>
      <c r="G847" s="22" t="s">
        <v>159</v>
      </c>
      <c r="H847" s="8" t="s">
        <v>159</v>
      </c>
      <c r="I847" s="2" t="str">
        <f t="shared" si="25"/>
        <v>Hộp Inox 304</v>
      </c>
      <c r="J847" s="8" t="s">
        <v>62</v>
      </c>
      <c r="K847" s="10">
        <v>153.21</v>
      </c>
      <c r="L847" s="10">
        <v>57000</v>
      </c>
      <c r="M847" s="11">
        <v>8732970</v>
      </c>
      <c r="N847" s="8" t="s">
        <v>30</v>
      </c>
      <c r="O847" s="8" t="s">
        <v>17</v>
      </c>
      <c r="P847" s="8" t="s">
        <v>18</v>
      </c>
      <c r="Q847" s="8" t="s">
        <v>18</v>
      </c>
      <c r="R847" s="8" t="s">
        <v>2115</v>
      </c>
      <c r="S847" s="8" t="s">
        <v>2137</v>
      </c>
      <c r="T847" s="8" t="s">
        <v>2138</v>
      </c>
      <c r="U847" s="8" t="s">
        <v>2139</v>
      </c>
      <c r="V847" s="8" t="s">
        <v>795</v>
      </c>
      <c r="W847" s="8">
        <f>ROUNDUP(MONTH(V847)/3,0)</f>
        <v>3</v>
      </c>
      <c r="X847" s="8">
        <f>K847*L847*N847</f>
        <v>873297</v>
      </c>
    </row>
    <row r="848" spans="1:24" s="8" customFormat="1" ht="41.5" customHeight="1">
      <c r="A848" s="8" t="s">
        <v>2302</v>
      </c>
      <c r="B848" s="8" t="s">
        <v>2650</v>
      </c>
      <c r="C848" s="9">
        <v>45862.668151585603</v>
      </c>
      <c r="D848" s="8" t="s">
        <v>2056</v>
      </c>
      <c r="E848" s="8" t="s">
        <v>2057</v>
      </c>
      <c r="F848" s="8">
        <v>3</v>
      </c>
      <c r="G848" s="22" t="s">
        <v>796</v>
      </c>
      <c r="H848" s="8" t="s">
        <v>796</v>
      </c>
      <c r="I848" s="2" t="str">
        <f t="shared" si="25"/>
        <v>Thép hình I120</v>
      </c>
      <c r="J848" s="8" t="s">
        <v>62</v>
      </c>
      <c r="K848" s="10">
        <v>500</v>
      </c>
      <c r="L848" s="10">
        <v>16818.18</v>
      </c>
      <c r="M848" s="11">
        <v>8409090</v>
      </c>
      <c r="N848" s="8" t="s">
        <v>30</v>
      </c>
      <c r="O848" s="8" t="s">
        <v>17</v>
      </c>
      <c r="P848" s="8" t="s">
        <v>18</v>
      </c>
      <c r="Q848" s="8" t="s">
        <v>18</v>
      </c>
      <c r="R848" s="8" t="s">
        <v>2115</v>
      </c>
      <c r="S848" s="8" t="s">
        <v>2137</v>
      </c>
      <c r="T848" s="8" t="s">
        <v>2138</v>
      </c>
      <c r="U848" s="8" t="s">
        <v>2139</v>
      </c>
      <c r="V848" s="8" t="s">
        <v>795</v>
      </c>
      <c r="W848" s="8">
        <f>ROUNDUP(MONTH(V848)/3,0)</f>
        <v>3</v>
      </c>
      <c r="X848" s="8">
        <f>K848*L848*N848</f>
        <v>840909</v>
      </c>
    </row>
    <row r="849" spans="1:24" s="8" customFormat="1" ht="41.5" customHeight="1">
      <c r="A849" s="8" t="s">
        <v>2302</v>
      </c>
      <c r="B849" s="8" t="s">
        <v>2650</v>
      </c>
      <c r="C849" s="9">
        <v>45862.668151585603</v>
      </c>
      <c r="D849" s="8" t="s">
        <v>2056</v>
      </c>
      <c r="E849" s="8" t="s">
        <v>2057</v>
      </c>
      <c r="F849" s="8">
        <v>4</v>
      </c>
      <c r="G849" s="27" t="s">
        <v>2140</v>
      </c>
      <c r="H849" s="8" t="s">
        <v>426</v>
      </c>
      <c r="I849" s="2" t="str">
        <f t="shared" si="25"/>
        <v>Thép ống hộp</v>
      </c>
      <c r="J849" s="8" t="s">
        <v>62</v>
      </c>
      <c r="K849" s="10">
        <v>7113.32</v>
      </c>
      <c r="L849" s="10">
        <v>15909.09</v>
      </c>
      <c r="M849" s="11">
        <v>113166448</v>
      </c>
      <c r="N849" s="8" t="s">
        <v>30</v>
      </c>
      <c r="O849" s="8" t="s">
        <v>17</v>
      </c>
      <c r="P849" s="8" t="s">
        <v>18</v>
      </c>
      <c r="Q849" s="8" t="s">
        <v>18</v>
      </c>
      <c r="R849" s="8" t="s">
        <v>2115</v>
      </c>
      <c r="S849" s="8" t="s">
        <v>2137</v>
      </c>
      <c r="T849" s="8" t="s">
        <v>2138</v>
      </c>
      <c r="U849" s="8" t="s">
        <v>2139</v>
      </c>
      <c r="V849" s="8" t="s">
        <v>795</v>
      </c>
      <c r="W849" s="8">
        <f>ROUNDUP(MONTH(V849)/3,0)</f>
        <v>3</v>
      </c>
      <c r="X849" s="8">
        <f>K849*L849*N849</f>
        <v>11316644.807879999</v>
      </c>
    </row>
    <row r="850" spans="1:24" s="8" customFormat="1" ht="41.5" customHeight="1">
      <c r="A850" s="8" t="s">
        <v>2309</v>
      </c>
      <c r="B850" s="8" t="s">
        <v>2119</v>
      </c>
      <c r="C850" s="9">
        <v>45869.415831064798</v>
      </c>
      <c r="D850" s="8" t="s">
        <v>2056</v>
      </c>
      <c r="E850" s="8" t="s">
        <v>2057</v>
      </c>
      <c r="F850" s="8">
        <v>1</v>
      </c>
      <c r="G850" s="27" t="s">
        <v>2140</v>
      </c>
      <c r="H850" s="8" t="s">
        <v>797</v>
      </c>
      <c r="I850" s="2" t="str">
        <f t="shared" si="25"/>
        <v>Thép ống hộp</v>
      </c>
      <c r="J850" s="8" t="s">
        <v>35</v>
      </c>
      <c r="K850" s="10">
        <v>1071.098</v>
      </c>
      <c r="L850" s="10">
        <v>24000</v>
      </c>
      <c r="M850" s="11">
        <v>25706352</v>
      </c>
      <c r="N850" s="8" t="s">
        <v>30</v>
      </c>
      <c r="O850" s="8" t="s">
        <v>17</v>
      </c>
      <c r="P850" s="8" t="s">
        <v>18</v>
      </c>
      <c r="Q850" s="8" t="s">
        <v>18</v>
      </c>
      <c r="R850" s="8" t="s">
        <v>2115</v>
      </c>
      <c r="S850" s="8" t="s">
        <v>2142</v>
      </c>
      <c r="T850" s="8" t="s">
        <v>2143</v>
      </c>
      <c r="U850" s="8" t="s">
        <v>2144</v>
      </c>
      <c r="V850" s="8" t="s">
        <v>725</v>
      </c>
      <c r="W850" s="8">
        <f>ROUNDUP(MONTH(V850)/3,0)</f>
        <v>3</v>
      </c>
      <c r="X850" s="8">
        <f>K850*L850*N850</f>
        <v>2570635.2000000002</v>
      </c>
    </row>
    <row r="851" spans="1:24" s="8" customFormat="1" ht="41.5" customHeight="1">
      <c r="A851" s="8" t="s">
        <v>2280</v>
      </c>
      <c r="B851" s="8" t="s">
        <v>798</v>
      </c>
      <c r="C851" s="9">
        <v>45868.485056145801</v>
      </c>
      <c r="D851" s="8" t="s">
        <v>2056</v>
      </c>
      <c r="E851" s="8" t="s">
        <v>2057</v>
      </c>
      <c r="F851" s="8">
        <v>1</v>
      </c>
      <c r="G851" s="22" t="s">
        <v>799</v>
      </c>
      <c r="H851" s="8" t="s">
        <v>799</v>
      </c>
      <c r="I851" s="2" t="str">
        <f t="shared" si="25"/>
        <v>Máy mài góc (GA4034)</v>
      </c>
      <c r="J851" s="8" t="s">
        <v>15</v>
      </c>
      <c r="K851" s="10">
        <v>6</v>
      </c>
      <c r="L851" s="10">
        <v>1157407.3999999999</v>
      </c>
      <c r="M851" s="11">
        <v>6944444.4000000004</v>
      </c>
      <c r="N851" s="8" t="s">
        <v>16</v>
      </c>
      <c r="O851" s="8" t="s">
        <v>17</v>
      </c>
      <c r="P851" s="8" t="s">
        <v>18</v>
      </c>
      <c r="Q851" s="8" t="s">
        <v>18</v>
      </c>
      <c r="R851" s="8" t="s">
        <v>2110</v>
      </c>
      <c r="S851" s="8" t="s">
        <v>2205</v>
      </c>
      <c r="T851" s="8" t="s">
        <v>2206</v>
      </c>
      <c r="U851" s="8" t="s">
        <v>2207</v>
      </c>
      <c r="V851" s="8" t="s">
        <v>800</v>
      </c>
      <c r="W851" s="8">
        <f>ROUNDUP(MONTH(V851)/3,0)</f>
        <v>3</v>
      </c>
      <c r="X851" s="8">
        <f>K851*L851*N851</f>
        <v>555555.55199999991</v>
      </c>
    </row>
    <row r="852" spans="1:24" s="8" customFormat="1" ht="41.5" customHeight="1">
      <c r="A852" s="8" t="s">
        <v>2280</v>
      </c>
      <c r="B852" s="8" t="s">
        <v>801</v>
      </c>
      <c r="C852" s="9">
        <v>45862.644708472202</v>
      </c>
      <c r="D852" s="8" t="s">
        <v>2056</v>
      </c>
      <c r="E852" s="8" t="s">
        <v>2057</v>
      </c>
      <c r="F852" s="8">
        <v>1</v>
      </c>
      <c r="G852" s="27" t="s">
        <v>2651</v>
      </c>
      <c r="H852" s="8" t="s">
        <v>802</v>
      </c>
      <c r="I852" s="2" t="str">
        <f t="shared" si="25"/>
        <v>Máy cắt LW1401</v>
      </c>
      <c r="J852" s="8" t="s">
        <v>15</v>
      </c>
      <c r="K852" s="10">
        <v>1</v>
      </c>
      <c r="L852" s="10">
        <v>3564815</v>
      </c>
      <c r="M852" s="11">
        <v>3564815</v>
      </c>
      <c r="N852" s="8" t="s">
        <v>16</v>
      </c>
      <c r="O852" s="8" t="s">
        <v>17</v>
      </c>
      <c r="P852" s="8" t="s">
        <v>18</v>
      </c>
      <c r="Q852" s="8" t="s">
        <v>18</v>
      </c>
      <c r="R852" s="8" t="s">
        <v>2110</v>
      </c>
      <c r="S852" s="8" t="s">
        <v>2205</v>
      </c>
      <c r="T852" s="8" t="s">
        <v>2206</v>
      </c>
      <c r="U852" s="8" t="s">
        <v>2207</v>
      </c>
      <c r="V852" s="8" t="s">
        <v>795</v>
      </c>
      <c r="W852" s="8">
        <f>ROUNDUP(MONTH(V852)/3,0)</f>
        <v>3</v>
      </c>
      <c r="X852" s="8">
        <f>K852*L852*N852</f>
        <v>285185.2</v>
      </c>
    </row>
    <row r="853" spans="1:24" s="8" customFormat="1" ht="41.5" customHeight="1">
      <c r="A853" s="8" t="s">
        <v>2280</v>
      </c>
      <c r="B853" s="8" t="s">
        <v>801</v>
      </c>
      <c r="C853" s="9">
        <v>45862.644708472202</v>
      </c>
      <c r="D853" s="8" t="s">
        <v>2056</v>
      </c>
      <c r="E853" s="8" t="s">
        <v>2057</v>
      </c>
      <c r="F853" s="8">
        <v>2</v>
      </c>
      <c r="G853" s="22" t="s">
        <v>1554</v>
      </c>
      <c r="H853" s="8" t="s">
        <v>803</v>
      </c>
      <c r="I853" s="2" t="str">
        <f t="shared" si="25"/>
        <v>Máy khoan động lực 2470x5 HR2470</v>
      </c>
      <c r="J853" s="8" t="s">
        <v>15</v>
      </c>
      <c r="K853" s="10">
        <v>1</v>
      </c>
      <c r="L853" s="10">
        <v>2954545</v>
      </c>
      <c r="M853" s="11">
        <v>2954545</v>
      </c>
      <c r="N853" s="8" t="s">
        <v>30</v>
      </c>
      <c r="O853" s="8" t="s">
        <v>17</v>
      </c>
      <c r="P853" s="8" t="s">
        <v>18</v>
      </c>
      <c r="Q853" s="8" t="s">
        <v>18</v>
      </c>
      <c r="R853" s="8" t="s">
        <v>2110</v>
      </c>
      <c r="S853" s="8" t="s">
        <v>2205</v>
      </c>
      <c r="T853" s="8" t="s">
        <v>2206</v>
      </c>
      <c r="U853" s="8" t="s">
        <v>2207</v>
      </c>
      <c r="V853" s="8" t="s">
        <v>795</v>
      </c>
      <c r="W853" s="8">
        <f>ROUNDUP(MONTH(V853)/3,0)</f>
        <v>3</v>
      </c>
      <c r="X853" s="8">
        <f>K853*L853*N853</f>
        <v>295454.5</v>
      </c>
    </row>
    <row r="854" spans="1:24" s="8" customFormat="1" ht="41.5" customHeight="1">
      <c r="A854" s="8" t="s">
        <v>2280</v>
      </c>
      <c r="B854" s="8" t="s">
        <v>801</v>
      </c>
      <c r="C854" s="9">
        <v>45862.644708472202</v>
      </c>
      <c r="D854" s="8" t="s">
        <v>2056</v>
      </c>
      <c r="E854" s="8" t="s">
        <v>2057</v>
      </c>
      <c r="F854" s="8">
        <v>3</v>
      </c>
      <c r="G854" s="22" t="s">
        <v>799</v>
      </c>
      <c r="H854" s="8" t="s">
        <v>799</v>
      </c>
      <c r="I854" s="2" t="str">
        <f t="shared" si="25"/>
        <v>Máy mài góc (GA4034)</v>
      </c>
      <c r="J854" s="8" t="s">
        <v>15</v>
      </c>
      <c r="K854" s="10">
        <v>2</v>
      </c>
      <c r="L854" s="10">
        <v>1203704</v>
      </c>
      <c r="M854" s="11">
        <v>2407408</v>
      </c>
      <c r="N854" s="8" t="s">
        <v>16</v>
      </c>
      <c r="O854" s="8" t="s">
        <v>17</v>
      </c>
      <c r="P854" s="8" t="s">
        <v>18</v>
      </c>
      <c r="Q854" s="8" t="s">
        <v>18</v>
      </c>
      <c r="R854" s="8" t="s">
        <v>2110</v>
      </c>
      <c r="S854" s="8" t="s">
        <v>2205</v>
      </c>
      <c r="T854" s="8" t="s">
        <v>2206</v>
      </c>
      <c r="U854" s="8" t="s">
        <v>2207</v>
      </c>
      <c r="V854" s="8" t="s">
        <v>795</v>
      </c>
      <c r="W854" s="8">
        <f>ROUNDUP(MONTH(V854)/3,0)</f>
        <v>3</v>
      </c>
      <c r="X854" s="8">
        <f>K854*L854*N854</f>
        <v>192592.64000000001</v>
      </c>
    </row>
    <row r="855" spans="1:24" s="8" customFormat="1" ht="41.5" customHeight="1">
      <c r="A855" s="8" t="s">
        <v>2312</v>
      </c>
      <c r="B855" s="8" t="s">
        <v>2652</v>
      </c>
      <c r="C855" s="9">
        <v>45865.435869791698</v>
      </c>
      <c r="D855" s="8" t="s">
        <v>2208</v>
      </c>
      <c r="E855" s="8" t="s">
        <v>2057</v>
      </c>
      <c r="F855" s="8">
        <v>1</v>
      </c>
      <c r="G855" s="2">
        <v>642</v>
      </c>
      <c r="H855" s="8" t="s">
        <v>804</v>
      </c>
      <c r="I855" s="2">
        <f t="shared" si="25"/>
        <v>642</v>
      </c>
      <c r="J855" s="8" t="s">
        <v>27</v>
      </c>
      <c r="K855" s="10">
        <v>10.178000000000001</v>
      </c>
      <c r="L855" s="10">
        <v>18194.439999999999</v>
      </c>
      <c r="M855" s="11">
        <v>185185</v>
      </c>
      <c r="N855" s="8" t="s">
        <v>16</v>
      </c>
      <c r="O855" s="8" t="s">
        <v>17</v>
      </c>
      <c r="P855" s="8" t="s">
        <v>18</v>
      </c>
      <c r="Q855" s="8" t="s">
        <v>18</v>
      </c>
      <c r="R855" s="8" t="s">
        <v>2110</v>
      </c>
      <c r="S855" s="8" t="s">
        <v>2209</v>
      </c>
      <c r="T855" s="8" t="s">
        <v>2566</v>
      </c>
      <c r="U855" s="8" t="s">
        <v>2567</v>
      </c>
      <c r="V855" s="8" t="s">
        <v>730</v>
      </c>
      <c r="W855" s="8">
        <f>ROUNDUP(MONTH(V855)/3,0)</f>
        <v>3</v>
      </c>
      <c r="X855" s="8">
        <f>K855*L855*N855</f>
        <v>14814.6408256</v>
      </c>
    </row>
    <row r="856" spans="1:24" s="8" customFormat="1" ht="41.5" customHeight="1">
      <c r="A856" s="8" t="s">
        <v>2312</v>
      </c>
      <c r="B856" s="8" t="s">
        <v>2653</v>
      </c>
      <c r="C856" s="9">
        <v>45850.610843217597</v>
      </c>
      <c r="D856" s="8" t="s">
        <v>2208</v>
      </c>
      <c r="E856" s="8" t="s">
        <v>2057</v>
      </c>
      <c r="F856" s="8">
        <v>1</v>
      </c>
      <c r="G856" s="2">
        <v>642</v>
      </c>
      <c r="H856" s="8" t="s">
        <v>805</v>
      </c>
      <c r="I856" s="2">
        <f t="shared" si="25"/>
        <v>642</v>
      </c>
      <c r="J856" s="8" t="s">
        <v>27</v>
      </c>
      <c r="K856" s="10">
        <v>9.7609999999999992</v>
      </c>
      <c r="L856" s="10">
        <v>18972.22</v>
      </c>
      <c r="M856" s="11">
        <v>185185</v>
      </c>
      <c r="N856" s="8" t="s">
        <v>16</v>
      </c>
      <c r="O856" s="8" t="s">
        <v>17</v>
      </c>
      <c r="P856" s="8" t="s">
        <v>18</v>
      </c>
      <c r="Q856" s="8" t="s">
        <v>18</v>
      </c>
      <c r="R856" s="8" t="s">
        <v>2110</v>
      </c>
      <c r="S856" s="8" t="s">
        <v>2209</v>
      </c>
      <c r="T856" s="8" t="s">
        <v>2566</v>
      </c>
      <c r="U856" s="8" t="s">
        <v>2567</v>
      </c>
      <c r="V856" s="8" t="s">
        <v>793</v>
      </c>
      <c r="W856" s="8">
        <f>ROUNDUP(MONTH(V856)/3,0)</f>
        <v>3</v>
      </c>
      <c r="X856" s="8">
        <f>K856*L856*N856</f>
        <v>14815.0271536</v>
      </c>
    </row>
    <row r="857" spans="1:24" s="8" customFormat="1" ht="41.5" customHeight="1">
      <c r="A857" s="8" t="s">
        <v>2312</v>
      </c>
      <c r="B857" s="8" t="s">
        <v>2654</v>
      </c>
      <c r="C857" s="9">
        <v>45845.450038136602</v>
      </c>
      <c r="D857" s="8" t="s">
        <v>2208</v>
      </c>
      <c r="E857" s="8" t="s">
        <v>2057</v>
      </c>
      <c r="F857" s="8">
        <v>1</v>
      </c>
      <c r="G857" s="2">
        <v>642</v>
      </c>
      <c r="H857" s="8" t="s">
        <v>805</v>
      </c>
      <c r="I857" s="2">
        <f t="shared" si="25"/>
        <v>642</v>
      </c>
      <c r="J857" s="8" t="s">
        <v>27</v>
      </c>
      <c r="K857" s="10">
        <v>9.8569999999999993</v>
      </c>
      <c r="L857" s="10">
        <v>18787.04</v>
      </c>
      <c r="M857" s="11">
        <v>185185</v>
      </c>
      <c r="N857" s="8" t="s">
        <v>16</v>
      </c>
      <c r="O857" s="8" t="s">
        <v>17</v>
      </c>
      <c r="P857" s="8" t="s">
        <v>18</v>
      </c>
      <c r="Q857" s="8" t="s">
        <v>18</v>
      </c>
      <c r="R857" s="8" t="s">
        <v>2110</v>
      </c>
      <c r="S857" s="8" t="s">
        <v>2209</v>
      </c>
      <c r="T857" s="8" t="s">
        <v>2566</v>
      </c>
      <c r="U857" s="8" t="s">
        <v>2567</v>
      </c>
      <c r="V857" s="8" t="s">
        <v>806</v>
      </c>
      <c r="W857" s="8">
        <f>ROUNDUP(MONTH(V857)/3,0)</f>
        <v>3</v>
      </c>
      <c r="X857" s="8">
        <f>K857*L857*N857</f>
        <v>14814.708262400001</v>
      </c>
    </row>
    <row r="858" spans="1:24" s="8" customFormat="1" ht="41.5" customHeight="1">
      <c r="A858" s="8" t="s">
        <v>2312</v>
      </c>
      <c r="B858" s="8" t="s">
        <v>2655</v>
      </c>
      <c r="C858" s="9">
        <v>45843.635486539402</v>
      </c>
      <c r="D858" s="8" t="s">
        <v>2208</v>
      </c>
      <c r="E858" s="8" t="s">
        <v>2057</v>
      </c>
      <c r="F858" s="8">
        <v>1</v>
      </c>
      <c r="G858" s="2">
        <v>642</v>
      </c>
      <c r="H858" s="8" t="s">
        <v>807</v>
      </c>
      <c r="I858" s="2">
        <f t="shared" si="25"/>
        <v>642</v>
      </c>
      <c r="J858" s="8" t="s">
        <v>55</v>
      </c>
      <c r="K858" s="10">
        <v>1</v>
      </c>
      <c r="L858" s="10">
        <v>550000</v>
      </c>
      <c r="M858" s="11">
        <v>550000</v>
      </c>
      <c r="N858" s="8" t="s">
        <v>16</v>
      </c>
      <c r="O858" s="8" t="s">
        <v>17</v>
      </c>
      <c r="P858" s="8" t="s">
        <v>18</v>
      </c>
      <c r="Q858" s="8" t="s">
        <v>18</v>
      </c>
      <c r="R858" s="8" t="s">
        <v>2110</v>
      </c>
      <c r="S858" s="8" t="s">
        <v>2209</v>
      </c>
      <c r="T858" s="8" t="s">
        <v>2566</v>
      </c>
      <c r="U858" s="8" t="s">
        <v>2567</v>
      </c>
      <c r="V858" s="8" t="s">
        <v>808</v>
      </c>
      <c r="W858" s="8">
        <f>ROUNDUP(MONTH(V858)/3,0)</f>
        <v>3</v>
      </c>
      <c r="X858" s="8">
        <f>K858*L858*N858</f>
        <v>44000</v>
      </c>
    </row>
    <row r="859" spans="1:24" s="8" customFormat="1" ht="41.5" customHeight="1">
      <c r="A859" s="8" t="s">
        <v>2312</v>
      </c>
      <c r="B859" s="8" t="s">
        <v>2656</v>
      </c>
      <c r="C859" s="9">
        <v>45843.475117222202</v>
      </c>
      <c r="D859" s="8" t="s">
        <v>2208</v>
      </c>
      <c r="E859" s="8" t="s">
        <v>2057</v>
      </c>
      <c r="F859" s="8">
        <v>1</v>
      </c>
      <c r="G859" s="2">
        <v>642</v>
      </c>
      <c r="H859" s="8" t="s">
        <v>809</v>
      </c>
      <c r="I859" s="2">
        <f t="shared" si="25"/>
        <v>642</v>
      </c>
      <c r="J859" s="8" t="s">
        <v>27</v>
      </c>
      <c r="K859" s="10">
        <v>53.305</v>
      </c>
      <c r="L859" s="10">
        <v>17370.37</v>
      </c>
      <c r="M859" s="11">
        <v>925926</v>
      </c>
      <c r="N859" s="8" t="s">
        <v>16</v>
      </c>
      <c r="O859" s="8" t="s">
        <v>17</v>
      </c>
      <c r="P859" s="8" t="s">
        <v>18</v>
      </c>
      <c r="Q859" s="8" t="s">
        <v>18</v>
      </c>
      <c r="R859" s="8" t="s">
        <v>2110</v>
      </c>
      <c r="S859" s="8" t="s">
        <v>2209</v>
      </c>
      <c r="T859" s="8" t="s">
        <v>2566</v>
      </c>
      <c r="U859" s="8" t="s">
        <v>2567</v>
      </c>
      <c r="V859" s="8" t="s">
        <v>808</v>
      </c>
      <c r="W859" s="8">
        <f>ROUNDUP(MONTH(V859)/3,0)</f>
        <v>3</v>
      </c>
      <c r="X859" s="8">
        <f>K859*L859*N859</f>
        <v>74074.205828000006</v>
      </c>
    </row>
    <row r="860" spans="1:24" s="8" customFormat="1" ht="41.5" customHeight="1">
      <c r="A860" s="8" t="s">
        <v>2312</v>
      </c>
      <c r="B860" s="8" t="s">
        <v>2657</v>
      </c>
      <c r="C860" s="9">
        <v>45841.418406377299</v>
      </c>
      <c r="D860" s="8" t="s">
        <v>2208</v>
      </c>
      <c r="E860" s="8" t="s">
        <v>2057</v>
      </c>
      <c r="F860" s="8">
        <v>1</v>
      </c>
      <c r="G860" s="2">
        <v>642</v>
      </c>
      <c r="H860" s="8" t="s">
        <v>805</v>
      </c>
      <c r="I860" s="2">
        <f t="shared" si="25"/>
        <v>642</v>
      </c>
      <c r="J860" s="8" t="s">
        <v>27</v>
      </c>
      <c r="K860" s="10">
        <v>9.2889999999999997</v>
      </c>
      <c r="L860" s="10">
        <v>19935.189999999999</v>
      </c>
      <c r="M860" s="11">
        <v>185185</v>
      </c>
      <c r="N860" s="8" t="s">
        <v>16</v>
      </c>
      <c r="O860" s="8" t="s">
        <v>17</v>
      </c>
      <c r="P860" s="8" t="s">
        <v>18</v>
      </c>
      <c r="Q860" s="8" t="s">
        <v>18</v>
      </c>
      <c r="R860" s="8" t="s">
        <v>2110</v>
      </c>
      <c r="S860" s="8" t="s">
        <v>2209</v>
      </c>
      <c r="T860" s="8" t="s">
        <v>2566</v>
      </c>
      <c r="U860" s="8" t="s">
        <v>2567</v>
      </c>
      <c r="V860" s="8" t="s">
        <v>745</v>
      </c>
      <c r="W860" s="8">
        <f>ROUNDUP(MONTH(V860)/3,0)</f>
        <v>3</v>
      </c>
      <c r="X860" s="8">
        <f>K860*L860*N860</f>
        <v>14814.2383928</v>
      </c>
    </row>
    <row r="861" spans="1:24" s="8" customFormat="1" ht="41.5" customHeight="1">
      <c r="A861" s="8" t="s">
        <v>2316</v>
      </c>
      <c r="B861" s="8" t="s">
        <v>2658</v>
      </c>
      <c r="C861" s="9">
        <v>45848.623469398102</v>
      </c>
      <c r="D861" s="8" t="s">
        <v>2056</v>
      </c>
      <c r="E861" s="8" t="s">
        <v>2057</v>
      </c>
      <c r="F861" s="8">
        <v>1</v>
      </c>
      <c r="G861" s="22" t="s">
        <v>2160</v>
      </c>
      <c r="H861" s="8" t="s">
        <v>113</v>
      </c>
      <c r="I861" s="2" t="str">
        <f t="shared" si="25"/>
        <v>Ván ép phủ phim 2 mặt Kt 2440x1220*15 mm</v>
      </c>
      <c r="J861" s="8" t="s">
        <v>114</v>
      </c>
      <c r="K861" s="10">
        <v>300</v>
      </c>
      <c r="L861" s="10">
        <v>280000</v>
      </c>
      <c r="M861" s="11">
        <v>84000000</v>
      </c>
      <c r="N861" s="8" t="s">
        <v>16</v>
      </c>
      <c r="O861" s="8" t="s">
        <v>17</v>
      </c>
      <c r="P861" s="8" t="s">
        <v>18</v>
      </c>
      <c r="Q861" s="8" t="s">
        <v>18</v>
      </c>
      <c r="R861" s="8" t="s">
        <v>2115</v>
      </c>
      <c r="S861" s="8" t="s">
        <v>2211</v>
      </c>
      <c r="T861" s="8" t="s">
        <v>2212</v>
      </c>
      <c r="U861" s="8" t="s">
        <v>2318</v>
      </c>
      <c r="V861" s="8" t="s">
        <v>810</v>
      </c>
      <c r="W861" s="8">
        <f t="shared" ref="W861:W924" si="26">ROUNDUP(MONTH(V861)/3,0)</f>
        <v>3</v>
      </c>
      <c r="X861" s="8">
        <f>K861*L861*N861</f>
        <v>6720000</v>
      </c>
    </row>
    <row r="862" spans="1:24" s="8" customFormat="1" ht="41.5" customHeight="1">
      <c r="A862" s="8" t="s">
        <v>2316</v>
      </c>
      <c r="B862" s="8" t="s">
        <v>2658</v>
      </c>
      <c r="C862" s="9">
        <v>45848.623469398102</v>
      </c>
      <c r="D862" s="8" t="s">
        <v>2056</v>
      </c>
      <c r="E862" s="8" t="s">
        <v>2057</v>
      </c>
      <c r="F862" s="8">
        <v>2</v>
      </c>
      <c r="G862" s="2">
        <v>642</v>
      </c>
      <c r="H862" s="8" t="s">
        <v>536</v>
      </c>
      <c r="I862" s="2">
        <f t="shared" si="25"/>
        <v>642</v>
      </c>
      <c r="J862" s="8" t="s">
        <v>164</v>
      </c>
      <c r="K862" s="10">
        <v>1</v>
      </c>
      <c r="L862" s="10">
        <v>2700000</v>
      </c>
      <c r="M862" s="11">
        <v>2700000</v>
      </c>
      <c r="N862" s="8" t="s">
        <v>16</v>
      </c>
      <c r="O862" s="8" t="s">
        <v>17</v>
      </c>
      <c r="P862" s="8" t="s">
        <v>18</v>
      </c>
      <c r="Q862" s="8" t="s">
        <v>18</v>
      </c>
      <c r="R862" s="8" t="s">
        <v>2115</v>
      </c>
      <c r="S862" s="8" t="s">
        <v>2211</v>
      </c>
      <c r="T862" s="8" t="s">
        <v>2212</v>
      </c>
      <c r="U862" s="8" t="s">
        <v>2318</v>
      </c>
      <c r="V862" s="8" t="s">
        <v>810</v>
      </c>
      <c r="W862" s="8">
        <f t="shared" si="26"/>
        <v>3</v>
      </c>
      <c r="X862" s="8">
        <f>K862*L862*N862</f>
        <v>216000</v>
      </c>
    </row>
    <row r="863" spans="1:24" s="8" customFormat="1" ht="41.5" customHeight="1">
      <c r="A863" s="8" t="s">
        <v>2281</v>
      </c>
      <c r="B863" s="8" t="s">
        <v>2659</v>
      </c>
      <c r="C863" s="9">
        <v>45857.717512280098</v>
      </c>
      <c r="D863" s="8" t="s">
        <v>2056</v>
      </c>
      <c r="E863" s="8" t="s">
        <v>2057</v>
      </c>
      <c r="F863" s="8">
        <v>1</v>
      </c>
      <c r="G863" s="22" t="s">
        <v>2164</v>
      </c>
      <c r="H863" s="8" t="s">
        <v>537</v>
      </c>
      <c r="I863" s="2" t="str">
        <f t="shared" si="25"/>
        <v>Đèn led chiếu pha 200W, model CP01-200W/G03, án</v>
      </c>
      <c r="J863" s="8" t="s">
        <v>19</v>
      </c>
      <c r="K863" s="10">
        <v>5</v>
      </c>
      <c r="L863" s="10">
        <v>503750</v>
      </c>
      <c r="M863" s="11">
        <v>2518750</v>
      </c>
      <c r="N863" s="8" t="s">
        <v>16</v>
      </c>
      <c r="O863" s="8" t="s">
        <v>17</v>
      </c>
      <c r="P863" s="8" t="s">
        <v>18</v>
      </c>
      <c r="Q863" s="8" t="s">
        <v>18</v>
      </c>
      <c r="R863" s="8" t="s">
        <v>2115</v>
      </c>
      <c r="S863" s="8" t="s">
        <v>2274</v>
      </c>
      <c r="T863" s="8" t="s">
        <v>2275</v>
      </c>
      <c r="U863" s="8" t="s">
        <v>2276</v>
      </c>
      <c r="V863" s="8" t="s">
        <v>811</v>
      </c>
      <c r="W863" s="8">
        <f t="shared" si="26"/>
        <v>3</v>
      </c>
      <c r="X863" s="8">
        <f>K863*L863*N863</f>
        <v>201500</v>
      </c>
    </row>
    <row r="864" spans="1:24" s="8" customFormat="1" ht="41.5" customHeight="1">
      <c r="A864" s="8" t="s">
        <v>2281</v>
      </c>
      <c r="B864" s="8" t="s">
        <v>2659</v>
      </c>
      <c r="C864" s="9">
        <v>45857.717512280098</v>
      </c>
      <c r="D864" s="8" t="s">
        <v>2056</v>
      </c>
      <c r="E864" s="8" t="s">
        <v>2057</v>
      </c>
      <c r="F864" s="8">
        <v>2</v>
      </c>
      <c r="G864" s="22" t="s">
        <v>2660</v>
      </c>
      <c r="H864" s="8" t="s">
        <v>812</v>
      </c>
      <c r="I864" s="2" t="str">
        <f t="shared" si="25"/>
        <v>Đèn led chiếu pha 50W, model CP01-50W/G03, án</v>
      </c>
      <c r="J864" s="8" t="s">
        <v>19</v>
      </c>
      <c r="K864" s="10">
        <v>5</v>
      </c>
      <c r="L864" s="10">
        <v>156722.22</v>
      </c>
      <c r="M864" s="11">
        <v>783611</v>
      </c>
      <c r="N864" s="8" t="s">
        <v>16</v>
      </c>
      <c r="O864" s="8" t="s">
        <v>17</v>
      </c>
      <c r="P864" s="8" t="s">
        <v>18</v>
      </c>
      <c r="Q864" s="8" t="s">
        <v>18</v>
      </c>
      <c r="R864" s="8" t="s">
        <v>2115</v>
      </c>
      <c r="S864" s="8" t="s">
        <v>2274</v>
      </c>
      <c r="T864" s="8" t="s">
        <v>2275</v>
      </c>
      <c r="U864" s="8" t="s">
        <v>2276</v>
      </c>
      <c r="V864" s="8" t="s">
        <v>811</v>
      </c>
      <c r="W864" s="8">
        <f t="shared" si="26"/>
        <v>3</v>
      </c>
      <c r="X864" s="8">
        <f>K864*L864*N864</f>
        <v>62688.887999999999</v>
      </c>
    </row>
    <row r="865" spans="1:24" s="8" customFormat="1" ht="41.5" customHeight="1">
      <c r="A865" s="8" t="s">
        <v>2281</v>
      </c>
      <c r="B865" s="8" t="s">
        <v>2661</v>
      </c>
      <c r="C865" s="9">
        <v>45854.7272567361</v>
      </c>
      <c r="D865" s="8" t="s">
        <v>2056</v>
      </c>
      <c r="E865" s="8" t="s">
        <v>2057</v>
      </c>
      <c r="F865" s="8">
        <v>1</v>
      </c>
      <c r="G865" s="22" t="s">
        <v>538</v>
      </c>
      <c r="H865" s="8" t="s">
        <v>538</v>
      </c>
      <c r="I865" s="2" t="str">
        <f t="shared" si="25"/>
        <v>Đèn pin G8-332, ánh sáng trắng</v>
      </c>
      <c r="J865" s="8" t="s">
        <v>53</v>
      </c>
      <c r="K865" s="10">
        <v>12</v>
      </c>
      <c r="L865" s="10">
        <v>140833.32999999999</v>
      </c>
      <c r="M865" s="11">
        <v>1690000</v>
      </c>
      <c r="N865" s="8" t="s">
        <v>16</v>
      </c>
      <c r="O865" s="8" t="s">
        <v>17</v>
      </c>
      <c r="P865" s="8" t="s">
        <v>18</v>
      </c>
      <c r="Q865" s="8" t="s">
        <v>18</v>
      </c>
      <c r="R865" s="8" t="s">
        <v>2115</v>
      </c>
      <c r="S865" s="8" t="s">
        <v>2274</v>
      </c>
      <c r="T865" s="8" t="s">
        <v>2275</v>
      </c>
      <c r="U865" s="8" t="s">
        <v>2276</v>
      </c>
      <c r="V865" s="8" t="s">
        <v>813</v>
      </c>
      <c r="W865" s="8">
        <f t="shared" si="26"/>
        <v>3</v>
      </c>
      <c r="X865" s="8">
        <f>K865*L865*N865</f>
        <v>135199.99679999999</v>
      </c>
    </row>
    <row r="866" spans="1:24" s="8" customFormat="1" ht="41.5" customHeight="1">
      <c r="A866" s="8" t="s">
        <v>2281</v>
      </c>
      <c r="B866" s="8" t="s">
        <v>2661</v>
      </c>
      <c r="C866" s="9">
        <v>45854.7272567361</v>
      </c>
      <c r="D866" s="8" t="s">
        <v>2056</v>
      </c>
      <c r="E866" s="8" t="s">
        <v>2057</v>
      </c>
      <c r="F866" s="8">
        <v>2</v>
      </c>
      <c r="G866" s="22" t="s">
        <v>814</v>
      </c>
      <c r="H866" s="8" t="s">
        <v>814</v>
      </c>
      <c r="I866" s="2" t="str">
        <f t="shared" si="25"/>
        <v>Đèn pin G8-568</v>
      </c>
      <c r="J866" s="8" t="s">
        <v>53</v>
      </c>
      <c r="K866" s="10">
        <v>6</v>
      </c>
      <c r="L866" s="10">
        <v>130648.15</v>
      </c>
      <c r="M866" s="11">
        <v>783889</v>
      </c>
      <c r="N866" s="8" t="s">
        <v>16</v>
      </c>
      <c r="O866" s="8" t="s">
        <v>17</v>
      </c>
      <c r="P866" s="8" t="s">
        <v>18</v>
      </c>
      <c r="Q866" s="8" t="s">
        <v>18</v>
      </c>
      <c r="R866" s="8" t="s">
        <v>2115</v>
      </c>
      <c r="S866" s="8" t="s">
        <v>2274</v>
      </c>
      <c r="T866" s="8" t="s">
        <v>2275</v>
      </c>
      <c r="U866" s="8" t="s">
        <v>2276</v>
      </c>
      <c r="V866" s="8" t="s">
        <v>813</v>
      </c>
      <c r="W866" s="8">
        <f t="shared" si="26"/>
        <v>3</v>
      </c>
      <c r="X866" s="8">
        <f>K866*L866*N866</f>
        <v>62711.111999999994</v>
      </c>
    </row>
    <row r="867" spans="1:24" s="8" customFormat="1" ht="41.5" customHeight="1">
      <c r="A867" s="8" t="s">
        <v>2281</v>
      </c>
      <c r="B867" s="8" t="s">
        <v>2661</v>
      </c>
      <c r="C867" s="9">
        <v>45854.7272567361</v>
      </c>
      <c r="D867" s="8" t="s">
        <v>2056</v>
      </c>
      <c r="E867" s="8" t="s">
        <v>2057</v>
      </c>
      <c r="F867" s="8">
        <v>3</v>
      </c>
      <c r="G867" s="22" t="s">
        <v>2662</v>
      </c>
      <c r="H867" s="8" t="s">
        <v>815</v>
      </c>
      <c r="I867" s="2" t="str">
        <f t="shared" si="25"/>
        <v>Bóng led trụ nhôm T20, model T20-80/G01</v>
      </c>
      <c r="J867" s="8" t="s">
        <v>19</v>
      </c>
      <c r="K867" s="10">
        <v>2</v>
      </c>
      <c r="L867" s="10">
        <v>14518.52</v>
      </c>
      <c r="M867" s="11">
        <v>29037</v>
      </c>
      <c r="N867" s="8" t="s">
        <v>16</v>
      </c>
      <c r="O867" s="8" t="s">
        <v>17</v>
      </c>
      <c r="P867" s="8" t="s">
        <v>18</v>
      </c>
      <c r="Q867" s="8" t="s">
        <v>18</v>
      </c>
      <c r="R867" s="8" t="s">
        <v>2115</v>
      </c>
      <c r="S867" s="8" t="s">
        <v>2274</v>
      </c>
      <c r="T867" s="8" t="s">
        <v>2275</v>
      </c>
      <c r="U867" s="8" t="s">
        <v>2276</v>
      </c>
      <c r="V867" s="8" t="s">
        <v>813</v>
      </c>
      <c r="W867" s="8">
        <f t="shared" si="26"/>
        <v>3</v>
      </c>
      <c r="X867" s="8">
        <f>K867*L867*N867</f>
        <v>2322.9632000000001</v>
      </c>
    </row>
    <row r="868" spans="1:24" s="8" customFormat="1" ht="41.5" customHeight="1">
      <c r="A868" s="8" t="s">
        <v>2281</v>
      </c>
      <c r="B868" s="8" t="s">
        <v>2661</v>
      </c>
      <c r="C868" s="9">
        <v>45854.7272567361</v>
      </c>
      <c r="D868" s="8" t="s">
        <v>2056</v>
      </c>
      <c r="E868" s="8" t="s">
        <v>2057</v>
      </c>
      <c r="F868" s="8">
        <v>4</v>
      </c>
      <c r="G868" s="22" t="s">
        <v>2337</v>
      </c>
      <c r="H868" s="8" t="s">
        <v>816</v>
      </c>
      <c r="I868" s="2" t="str">
        <f t="shared" si="25"/>
        <v>Bóng led trụ nhôm T30, model T30-100/G01</v>
      </c>
      <c r="J868" s="8" t="s">
        <v>19</v>
      </c>
      <c r="K868" s="10">
        <v>2</v>
      </c>
      <c r="L868" s="10">
        <v>21185.18</v>
      </c>
      <c r="M868" s="11">
        <v>42370</v>
      </c>
      <c r="N868" s="8" t="s">
        <v>16</v>
      </c>
      <c r="O868" s="8" t="s">
        <v>17</v>
      </c>
      <c r="P868" s="8" t="s">
        <v>18</v>
      </c>
      <c r="Q868" s="8" t="s">
        <v>18</v>
      </c>
      <c r="R868" s="8" t="s">
        <v>2115</v>
      </c>
      <c r="S868" s="8" t="s">
        <v>2274</v>
      </c>
      <c r="T868" s="8" t="s">
        <v>2275</v>
      </c>
      <c r="U868" s="8" t="s">
        <v>2276</v>
      </c>
      <c r="V868" s="8" t="s">
        <v>813</v>
      </c>
      <c r="W868" s="8">
        <f t="shared" si="26"/>
        <v>3</v>
      </c>
      <c r="X868" s="8">
        <f>K868*L868*N868</f>
        <v>3389.6288</v>
      </c>
    </row>
    <row r="869" spans="1:24" s="8" customFormat="1" ht="41.5" customHeight="1">
      <c r="A869" s="8" t="s">
        <v>2281</v>
      </c>
      <c r="B869" s="8" t="s">
        <v>2661</v>
      </c>
      <c r="C869" s="9">
        <v>45854.7272567361</v>
      </c>
      <c r="D869" s="8" t="s">
        <v>2056</v>
      </c>
      <c r="E869" s="8" t="s">
        <v>2057</v>
      </c>
      <c r="F869" s="8">
        <v>5</v>
      </c>
      <c r="G869" s="22" t="s">
        <v>2338</v>
      </c>
      <c r="H869" s="8" t="s">
        <v>817</v>
      </c>
      <c r="I869" s="2" t="str">
        <f t="shared" si="25"/>
        <v>Bóng led trụ nhôm T40, model T40-115/G01</v>
      </c>
      <c r="J869" s="8" t="s">
        <v>19</v>
      </c>
      <c r="K869" s="10">
        <v>2</v>
      </c>
      <c r="L869" s="10">
        <v>29777.78</v>
      </c>
      <c r="M869" s="11">
        <v>59556</v>
      </c>
      <c r="N869" s="8" t="s">
        <v>16</v>
      </c>
      <c r="O869" s="8" t="s">
        <v>17</v>
      </c>
      <c r="P869" s="8" t="s">
        <v>18</v>
      </c>
      <c r="Q869" s="8" t="s">
        <v>18</v>
      </c>
      <c r="R869" s="8" t="s">
        <v>2115</v>
      </c>
      <c r="S869" s="8" t="s">
        <v>2274</v>
      </c>
      <c r="T869" s="8" t="s">
        <v>2275</v>
      </c>
      <c r="U869" s="8" t="s">
        <v>2276</v>
      </c>
      <c r="V869" s="8" t="s">
        <v>813</v>
      </c>
      <c r="W869" s="8">
        <f t="shared" si="26"/>
        <v>3</v>
      </c>
      <c r="X869" s="8">
        <f>K869*L869*N869</f>
        <v>4764.4448000000002</v>
      </c>
    </row>
    <row r="870" spans="1:24" s="8" customFormat="1" ht="41.5" customHeight="1">
      <c r="A870" s="8" t="s">
        <v>2281</v>
      </c>
      <c r="B870" s="8" t="s">
        <v>2661</v>
      </c>
      <c r="C870" s="9">
        <v>45854.7272567361</v>
      </c>
      <c r="D870" s="8" t="s">
        <v>2056</v>
      </c>
      <c r="E870" s="8" t="s">
        <v>2057</v>
      </c>
      <c r="F870" s="8">
        <v>6</v>
      </c>
      <c r="G870" s="22" t="s">
        <v>1424</v>
      </c>
      <c r="H870" s="8" t="s">
        <v>818</v>
      </c>
      <c r="I870" s="2" t="str">
        <f t="shared" si="25"/>
        <v>Bóng led trụ nhôm T60, model T60-140/G01</v>
      </c>
      <c r="J870" s="8" t="s">
        <v>19</v>
      </c>
      <c r="K870" s="10">
        <v>2</v>
      </c>
      <c r="L870" s="10">
        <v>40740.74</v>
      </c>
      <c r="M870" s="11">
        <v>81481</v>
      </c>
      <c r="N870" s="8" t="s">
        <v>16</v>
      </c>
      <c r="O870" s="8" t="s">
        <v>17</v>
      </c>
      <c r="P870" s="8" t="s">
        <v>18</v>
      </c>
      <c r="Q870" s="8" t="s">
        <v>18</v>
      </c>
      <c r="R870" s="8" t="s">
        <v>2115</v>
      </c>
      <c r="S870" s="8" t="s">
        <v>2274</v>
      </c>
      <c r="T870" s="8" t="s">
        <v>2275</v>
      </c>
      <c r="U870" s="8" t="s">
        <v>2276</v>
      </c>
      <c r="V870" s="8" t="s">
        <v>813</v>
      </c>
      <c r="W870" s="8">
        <f t="shared" si="26"/>
        <v>3</v>
      </c>
      <c r="X870" s="8">
        <f>K870*L870*N870</f>
        <v>6518.5183999999999</v>
      </c>
    </row>
    <row r="871" spans="1:24" s="8" customFormat="1" ht="41.5" customHeight="1">
      <c r="A871" s="8" t="s">
        <v>2281</v>
      </c>
      <c r="B871" s="8" t="s">
        <v>2663</v>
      </c>
      <c r="C871" s="9">
        <v>45869.719968842597</v>
      </c>
      <c r="D871" s="8" t="s">
        <v>2056</v>
      </c>
      <c r="E871" s="8" t="s">
        <v>2057</v>
      </c>
      <c r="F871" s="8">
        <v>1</v>
      </c>
      <c r="G871" s="22" t="s">
        <v>2164</v>
      </c>
      <c r="H871" s="8" t="s">
        <v>537</v>
      </c>
      <c r="I871" s="2" t="str">
        <f t="shared" si="25"/>
        <v>Đèn led chiếu pha 200W, model CP01-200W/G03, án</v>
      </c>
      <c r="J871" s="8" t="s">
        <v>19</v>
      </c>
      <c r="K871" s="10">
        <v>10</v>
      </c>
      <c r="L871" s="10">
        <v>503750</v>
      </c>
      <c r="M871" s="11">
        <v>5037500</v>
      </c>
      <c r="N871" s="8" t="s">
        <v>16</v>
      </c>
      <c r="O871" s="8" t="s">
        <v>17</v>
      </c>
      <c r="P871" s="8" t="s">
        <v>18</v>
      </c>
      <c r="Q871" s="8" t="s">
        <v>18</v>
      </c>
      <c r="R871" s="8" t="s">
        <v>2115</v>
      </c>
      <c r="S871" s="8" t="s">
        <v>2274</v>
      </c>
      <c r="T871" s="8" t="s">
        <v>2275</v>
      </c>
      <c r="U871" s="8" t="s">
        <v>2276</v>
      </c>
      <c r="V871" s="8" t="s">
        <v>725</v>
      </c>
      <c r="W871" s="8">
        <f t="shared" si="26"/>
        <v>3</v>
      </c>
      <c r="X871" s="8">
        <f>K871*L871*N871</f>
        <v>403000</v>
      </c>
    </row>
    <row r="872" spans="1:24" s="8" customFormat="1" ht="41.5" customHeight="1">
      <c r="A872" s="8" t="s">
        <v>2366</v>
      </c>
      <c r="B872" s="8" t="s">
        <v>819</v>
      </c>
      <c r="C872" s="9">
        <v>45862.453907870397</v>
      </c>
      <c r="D872" s="8" t="s">
        <v>2056</v>
      </c>
      <c r="E872" s="8" t="s">
        <v>2057</v>
      </c>
      <c r="F872" s="8">
        <v>1</v>
      </c>
      <c r="G872" s="22" t="s">
        <v>820</v>
      </c>
      <c r="H872" s="8" t="s">
        <v>141</v>
      </c>
      <c r="I872" s="2" t="str">
        <f t="shared" si="25"/>
        <v>Tyren D16</v>
      </c>
      <c r="J872" s="8" t="s">
        <v>47</v>
      </c>
      <c r="K872" s="10">
        <v>3000</v>
      </c>
      <c r="L872" s="10">
        <v>19800</v>
      </c>
      <c r="M872" s="11">
        <v>59400000</v>
      </c>
      <c r="N872" s="8" t="s">
        <v>30</v>
      </c>
      <c r="O872" s="8" t="s">
        <v>17</v>
      </c>
      <c r="P872" s="8" t="s">
        <v>18</v>
      </c>
      <c r="Q872" s="8" t="s">
        <v>18</v>
      </c>
      <c r="R872" s="8" t="s">
        <v>2244</v>
      </c>
      <c r="S872" s="8" t="s">
        <v>2245</v>
      </c>
      <c r="T872" s="8" t="s">
        <v>2246</v>
      </c>
      <c r="U872" s="8" t="s">
        <v>2367</v>
      </c>
      <c r="V872" s="8" t="s">
        <v>795</v>
      </c>
      <c r="W872" s="8">
        <f t="shared" si="26"/>
        <v>3</v>
      </c>
      <c r="X872" s="8">
        <f>K872*L872*N872</f>
        <v>5940000</v>
      </c>
    </row>
    <row r="873" spans="1:24" s="8" customFormat="1" ht="41.5" customHeight="1">
      <c r="A873" s="8" t="s">
        <v>2366</v>
      </c>
      <c r="B873" s="8" t="s">
        <v>467</v>
      </c>
      <c r="C873" s="9">
        <v>45845.6668336574</v>
      </c>
      <c r="D873" s="8" t="s">
        <v>2056</v>
      </c>
      <c r="E873" s="8" t="s">
        <v>2057</v>
      </c>
      <c r="F873" s="8">
        <v>1</v>
      </c>
      <c r="G873" s="22" t="s">
        <v>820</v>
      </c>
      <c r="H873" s="8" t="s">
        <v>141</v>
      </c>
      <c r="I873" s="2" t="str">
        <f t="shared" si="25"/>
        <v>Tyren D16</v>
      </c>
      <c r="J873" s="8" t="s">
        <v>47</v>
      </c>
      <c r="K873" s="10">
        <v>1860</v>
      </c>
      <c r="L873" s="10">
        <v>20150</v>
      </c>
      <c r="M873" s="11">
        <v>37479000</v>
      </c>
      <c r="N873" s="8" t="s">
        <v>30</v>
      </c>
      <c r="O873" s="8" t="s">
        <v>17</v>
      </c>
      <c r="P873" s="8" t="s">
        <v>18</v>
      </c>
      <c r="Q873" s="8" t="s">
        <v>18</v>
      </c>
      <c r="R873" s="8" t="s">
        <v>2244</v>
      </c>
      <c r="S873" s="8" t="s">
        <v>2245</v>
      </c>
      <c r="T873" s="8" t="s">
        <v>2246</v>
      </c>
      <c r="U873" s="8" t="s">
        <v>2367</v>
      </c>
      <c r="V873" s="8" t="s">
        <v>806</v>
      </c>
      <c r="W873" s="8">
        <f t="shared" si="26"/>
        <v>3</v>
      </c>
      <c r="X873" s="8">
        <f>K873*L873*N873</f>
        <v>3747900</v>
      </c>
    </row>
    <row r="874" spans="1:24" s="8" customFormat="1" ht="41.5" customHeight="1">
      <c r="A874" s="8" t="s">
        <v>2427</v>
      </c>
      <c r="B874" s="8" t="s">
        <v>2664</v>
      </c>
      <c r="C874" s="9">
        <v>45841.548796354196</v>
      </c>
      <c r="D874" s="8" t="s">
        <v>2056</v>
      </c>
      <c r="E874" s="8" t="s">
        <v>2057</v>
      </c>
      <c r="F874" s="8">
        <v>1</v>
      </c>
      <c r="G874" s="27" t="s">
        <v>1194</v>
      </c>
      <c r="H874" s="8" t="s">
        <v>203</v>
      </c>
      <c r="I874" s="2" t="str">
        <f t="shared" si="25"/>
        <v>Bát ren D16</v>
      </c>
      <c r="J874" s="8" t="s">
        <v>15</v>
      </c>
      <c r="K874" s="10">
        <v>2700</v>
      </c>
      <c r="L874" s="10">
        <v>14500</v>
      </c>
      <c r="M874" s="11">
        <v>39150000</v>
      </c>
      <c r="N874" s="8" t="s">
        <v>30</v>
      </c>
      <c r="O874" s="8" t="s">
        <v>17</v>
      </c>
      <c r="P874" s="8" t="s">
        <v>18</v>
      </c>
      <c r="Q874" s="8" t="s">
        <v>18</v>
      </c>
      <c r="R874" s="8" t="s">
        <v>2115</v>
      </c>
      <c r="S874" s="8" t="s">
        <v>2248</v>
      </c>
      <c r="T874" s="8" t="s">
        <v>2249</v>
      </c>
      <c r="U874" s="8" t="s">
        <v>2250</v>
      </c>
      <c r="V874" s="8" t="s">
        <v>745</v>
      </c>
      <c r="W874" s="8">
        <f t="shared" si="26"/>
        <v>3</v>
      </c>
      <c r="X874" s="8">
        <f>K874*L874*N874</f>
        <v>3915000</v>
      </c>
    </row>
    <row r="875" spans="1:24" s="8" customFormat="1" ht="41.5" customHeight="1">
      <c r="A875" s="8" t="s">
        <v>2427</v>
      </c>
      <c r="B875" s="8" t="s">
        <v>2664</v>
      </c>
      <c r="C875" s="9">
        <v>45841.548796354196</v>
      </c>
      <c r="D875" s="8" t="s">
        <v>2056</v>
      </c>
      <c r="E875" s="8" t="s">
        <v>2057</v>
      </c>
      <c r="F875" s="8">
        <v>2</v>
      </c>
      <c r="G875" s="22" t="s">
        <v>820</v>
      </c>
      <c r="H875" s="8" t="s">
        <v>820</v>
      </c>
      <c r="I875" s="2" t="str">
        <f t="shared" si="25"/>
        <v>Tyren D16</v>
      </c>
      <c r="J875" s="8" t="s">
        <v>71</v>
      </c>
      <c r="K875" s="10">
        <v>1860</v>
      </c>
      <c r="L875" s="10">
        <v>20000</v>
      </c>
      <c r="M875" s="11">
        <v>37200000</v>
      </c>
      <c r="N875" s="8" t="s">
        <v>30</v>
      </c>
      <c r="O875" s="8" t="s">
        <v>17</v>
      </c>
      <c r="P875" s="8" t="s">
        <v>18</v>
      </c>
      <c r="Q875" s="8" t="s">
        <v>18</v>
      </c>
      <c r="R875" s="8" t="s">
        <v>2115</v>
      </c>
      <c r="S875" s="8" t="s">
        <v>2248</v>
      </c>
      <c r="T875" s="8" t="s">
        <v>2249</v>
      </c>
      <c r="U875" s="8" t="s">
        <v>2250</v>
      </c>
      <c r="V875" s="8" t="s">
        <v>745</v>
      </c>
      <c r="W875" s="8">
        <f t="shared" si="26"/>
        <v>3</v>
      </c>
      <c r="X875" s="8">
        <f>K875*L875*N875</f>
        <v>3720000</v>
      </c>
    </row>
    <row r="876" spans="1:24" s="8" customFormat="1" ht="41.5" customHeight="1">
      <c r="A876" s="8" t="s">
        <v>2427</v>
      </c>
      <c r="B876" s="8" t="s">
        <v>2665</v>
      </c>
      <c r="C876" s="9">
        <v>45854.4243187963</v>
      </c>
      <c r="D876" s="8" t="s">
        <v>2056</v>
      </c>
      <c r="E876" s="8" t="s">
        <v>2057</v>
      </c>
      <c r="F876" s="8">
        <v>1</v>
      </c>
      <c r="G876" s="27" t="s">
        <v>1194</v>
      </c>
      <c r="H876" s="8" t="s">
        <v>203</v>
      </c>
      <c r="I876" s="2" t="str">
        <f t="shared" si="25"/>
        <v>Bát ren D16</v>
      </c>
      <c r="J876" s="8" t="s">
        <v>15</v>
      </c>
      <c r="K876" s="10">
        <v>3000</v>
      </c>
      <c r="L876" s="10">
        <v>14500</v>
      </c>
      <c r="M876" s="11">
        <v>43500000</v>
      </c>
      <c r="N876" s="8" t="s">
        <v>30</v>
      </c>
      <c r="O876" s="8" t="s">
        <v>17</v>
      </c>
      <c r="P876" s="8" t="s">
        <v>18</v>
      </c>
      <c r="Q876" s="8" t="s">
        <v>18</v>
      </c>
      <c r="R876" s="8" t="s">
        <v>2115</v>
      </c>
      <c r="S876" s="8" t="s">
        <v>2248</v>
      </c>
      <c r="T876" s="8" t="s">
        <v>2249</v>
      </c>
      <c r="U876" s="8" t="s">
        <v>2250</v>
      </c>
      <c r="V876" s="8" t="s">
        <v>813</v>
      </c>
      <c r="W876" s="8">
        <f t="shared" si="26"/>
        <v>3</v>
      </c>
      <c r="X876" s="8">
        <f>K876*L876*N876</f>
        <v>4350000</v>
      </c>
    </row>
    <row r="877" spans="1:24" s="8" customFormat="1" ht="41.5" customHeight="1">
      <c r="A877" s="8" t="s">
        <v>2427</v>
      </c>
      <c r="B877" s="8" t="s">
        <v>2666</v>
      </c>
      <c r="C877" s="9">
        <v>45854.424253657402</v>
      </c>
      <c r="D877" s="8" t="s">
        <v>2056</v>
      </c>
      <c r="E877" s="8" t="s">
        <v>2057</v>
      </c>
      <c r="F877" s="8">
        <v>1</v>
      </c>
      <c r="G877" s="22" t="s">
        <v>821</v>
      </c>
      <c r="H877" s="8" t="s">
        <v>821</v>
      </c>
      <c r="I877" s="2" t="str">
        <f t="shared" si="25"/>
        <v>Bao tải Jumbo 1 tấn</v>
      </c>
      <c r="J877" s="8" t="s">
        <v>15</v>
      </c>
      <c r="K877" s="10">
        <v>300</v>
      </c>
      <c r="L877" s="10">
        <v>70000</v>
      </c>
      <c r="M877" s="11">
        <v>21000000</v>
      </c>
      <c r="N877" s="8" t="s">
        <v>16</v>
      </c>
      <c r="O877" s="8" t="s">
        <v>17</v>
      </c>
      <c r="P877" s="8" t="s">
        <v>18</v>
      </c>
      <c r="Q877" s="8" t="s">
        <v>18</v>
      </c>
      <c r="R877" s="8" t="s">
        <v>2115</v>
      </c>
      <c r="S877" s="8" t="s">
        <v>2248</v>
      </c>
      <c r="T877" s="8" t="s">
        <v>2249</v>
      </c>
      <c r="U877" s="8" t="s">
        <v>2250</v>
      </c>
      <c r="V877" s="8" t="s">
        <v>813</v>
      </c>
      <c r="W877" s="8">
        <f t="shared" si="26"/>
        <v>3</v>
      </c>
      <c r="X877" s="8">
        <f>K877*L877*N877</f>
        <v>1680000</v>
      </c>
    </row>
    <row r="878" spans="1:24" s="8" customFormat="1" ht="41.5" customHeight="1">
      <c r="A878" s="8" t="s">
        <v>2427</v>
      </c>
      <c r="B878" s="8" t="s">
        <v>2666</v>
      </c>
      <c r="C878" s="9">
        <v>45854.424253657402</v>
      </c>
      <c r="D878" s="8" t="s">
        <v>2056</v>
      </c>
      <c r="E878" s="8" t="s">
        <v>2057</v>
      </c>
      <c r="F878" s="8">
        <v>2</v>
      </c>
      <c r="G878" s="2"/>
      <c r="H878" s="8" t="s">
        <v>822</v>
      </c>
      <c r="I878" s="2">
        <f t="shared" si="25"/>
        <v>0</v>
      </c>
      <c r="J878" s="8" t="s">
        <v>15</v>
      </c>
      <c r="K878" s="10">
        <v>240</v>
      </c>
      <c r="L878" s="10">
        <v>7000</v>
      </c>
      <c r="M878" s="11">
        <v>1680000</v>
      </c>
      <c r="N878" s="8" t="s">
        <v>16</v>
      </c>
      <c r="O878" s="8" t="s">
        <v>17</v>
      </c>
      <c r="P878" s="8" t="s">
        <v>18</v>
      </c>
      <c r="Q878" s="8" t="s">
        <v>18</v>
      </c>
      <c r="R878" s="8" t="s">
        <v>2115</v>
      </c>
      <c r="S878" s="8" t="s">
        <v>2248</v>
      </c>
      <c r="T878" s="8" t="s">
        <v>2249</v>
      </c>
      <c r="U878" s="8" t="s">
        <v>2250</v>
      </c>
      <c r="V878" s="8" t="s">
        <v>813</v>
      </c>
      <c r="W878" s="8">
        <f t="shared" si="26"/>
        <v>3</v>
      </c>
      <c r="X878" s="8">
        <f>K878*L878*N878</f>
        <v>134400</v>
      </c>
    </row>
    <row r="879" spans="1:24" s="8" customFormat="1" ht="41.5" customHeight="1">
      <c r="A879" s="8" t="s">
        <v>2329</v>
      </c>
      <c r="B879" s="8" t="s">
        <v>2213</v>
      </c>
      <c r="C879" s="9">
        <v>45868.716604097201</v>
      </c>
      <c r="D879" s="8" t="s">
        <v>2056</v>
      </c>
      <c r="E879" s="8" t="s">
        <v>2057</v>
      </c>
      <c r="F879" s="8">
        <v>1</v>
      </c>
      <c r="G879" s="22" t="s">
        <v>799</v>
      </c>
      <c r="H879" s="8" t="s">
        <v>142</v>
      </c>
      <c r="I879" s="2" t="str">
        <f t="shared" si="25"/>
        <v>Máy mài góc (GA4034)</v>
      </c>
      <c r="J879" s="8" t="s">
        <v>15</v>
      </c>
      <c r="K879" s="10">
        <v>5</v>
      </c>
      <c r="L879" s="10">
        <v>1127777.8</v>
      </c>
      <c r="M879" s="11">
        <v>5638889</v>
      </c>
      <c r="N879" s="8" t="s">
        <v>16</v>
      </c>
      <c r="O879" s="8" t="s">
        <v>17</v>
      </c>
      <c r="P879" s="8" t="s">
        <v>18</v>
      </c>
      <c r="Q879" s="8" t="s">
        <v>18</v>
      </c>
      <c r="R879" s="8" t="s">
        <v>2115</v>
      </c>
      <c r="S879" s="8" t="s">
        <v>2161</v>
      </c>
      <c r="T879" s="8" t="s">
        <v>2162</v>
      </c>
      <c r="U879" s="8" t="s">
        <v>2517</v>
      </c>
      <c r="V879" s="8" t="s">
        <v>800</v>
      </c>
      <c r="W879" s="8">
        <f t="shared" si="26"/>
        <v>3</v>
      </c>
      <c r="X879" s="8">
        <f>K879*L879*N879</f>
        <v>451111.12</v>
      </c>
    </row>
    <row r="880" spans="1:24" s="8" customFormat="1" ht="41.5" customHeight="1">
      <c r="A880" s="8" t="s">
        <v>2329</v>
      </c>
      <c r="B880" s="8" t="s">
        <v>2213</v>
      </c>
      <c r="C880" s="9">
        <v>45868.716604097201</v>
      </c>
      <c r="D880" s="8" t="s">
        <v>2056</v>
      </c>
      <c r="E880" s="8" t="s">
        <v>2057</v>
      </c>
      <c r="F880" s="8">
        <v>2</v>
      </c>
      <c r="G880" s="22" t="s">
        <v>1554</v>
      </c>
      <c r="H880" s="8" t="s">
        <v>823</v>
      </c>
      <c r="I880" s="2" t="str">
        <f t="shared" si="25"/>
        <v>Máy khoan động lực 2470x5 HR2470</v>
      </c>
      <c r="J880" s="8" t="s">
        <v>15</v>
      </c>
      <c r="K880" s="10">
        <v>1</v>
      </c>
      <c r="L880" s="10">
        <v>2962963</v>
      </c>
      <c r="M880" s="11">
        <v>2962963</v>
      </c>
      <c r="N880" s="8" t="s">
        <v>16</v>
      </c>
      <c r="O880" s="8" t="s">
        <v>17</v>
      </c>
      <c r="P880" s="8" t="s">
        <v>18</v>
      </c>
      <c r="Q880" s="8" t="s">
        <v>18</v>
      </c>
      <c r="R880" s="8" t="s">
        <v>2115</v>
      </c>
      <c r="S880" s="8" t="s">
        <v>2161</v>
      </c>
      <c r="T880" s="8" t="s">
        <v>2162</v>
      </c>
      <c r="U880" s="8" t="s">
        <v>2517</v>
      </c>
      <c r="V880" s="8" t="s">
        <v>800</v>
      </c>
      <c r="W880" s="8">
        <f t="shared" si="26"/>
        <v>3</v>
      </c>
      <c r="X880" s="8">
        <f>K880*L880*N880</f>
        <v>237037.04</v>
      </c>
    </row>
    <row r="881" spans="1:24" s="8" customFormat="1" ht="41.5" customHeight="1">
      <c r="A881" s="8" t="s">
        <v>2281</v>
      </c>
      <c r="B881" s="8" t="s">
        <v>2667</v>
      </c>
      <c r="C881" s="9">
        <v>45849.731847222203</v>
      </c>
      <c r="D881" s="8" t="s">
        <v>2056</v>
      </c>
      <c r="E881" s="8" t="s">
        <v>2057</v>
      </c>
      <c r="F881" s="8">
        <v>1</v>
      </c>
      <c r="G881" s="27" t="s">
        <v>2140</v>
      </c>
      <c r="H881" s="8" t="s">
        <v>110</v>
      </c>
      <c r="I881" s="2" t="str">
        <f t="shared" si="25"/>
        <v>Thép ống hộp</v>
      </c>
      <c r="J881" s="8" t="s">
        <v>62</v>
      </c>
      <c r="K881" s="10">
        <v>6370</v>
      </c>
      <c r="L881" s="10">
        <v>15355.26</v>
      </c>
      <c r="M881" s="11">
        <v>97813006</v>
      </c>
      <c r="N881" s="8" t="s">
        <v>30</v>
      </c>
      <c r="O881" s="8" t="s">
        <v>17</v>
      </c>
      <c r="P881" s="8" t="s">
        <v>18</v>
      </c>
      <c r="Q881" s="8" t="s">
        <v>18</v>
      </c>
      <c r="R881" s="8" t="s">
        <v>2155</v>
      </c>
      <c r="S881" s="8" t="s">
        <v>2433</v>
      </c>
      <c r="T881" s="8" t="s">
        <v>2434</v>
      </c>
      <c r="U881" s="8" t="s">
        <v>2435</v>
      </c>
      <c r="V881" s="8" t="s">
        <v>824</v>
      </c>
      <c r="W881" s="8">
        <f t="shared" si="26"/>
        <v>3</v>
      </c>
      <c r="X881" s="8">
        <f>K881*L881*N881</f>
        <v>9781300.620000001</v>
      </c>
    </row>
    <row r="882" spans="1:24" s="8" customFormat="1" ht="41.5" customHeight="1">
      <c r="A882" s="8" t="s">
        <v>2281</v>
      </c>
      <c r="B882" s="8" t="s">
        <v>2667</v>
      </c>
      <c r="C882" s="9">
        <v>45849.731847222203</v>
      </c>
      <c r="D882" s="8" t="s">
        <v>2056</v>
      </c>
      <c r="E882" s="8" t="s">
        <v>2057</v>
      </c>
      <c r="F882" s="8">
        <v>2</v>
      </c>
      <c r="G882" s="27" t="s">
        <v>2140</v>
      </c>
      <c r="H882" s="8" t="s">
        <v>64</v>
      </c>
      <c r="I882" s="2" t="str">
        <f t="shared" si="25"/>
        <v>Thép ống hộp</v>
      </c>
      <c r="J882" s="8" t="s">
        <v>62</v>
      </c>
      <c r="K882" s="10">
        <v>3866</v>
      </c>
      <c r="L882" s="10">
        <v>15355.26</v>
      </c>
      <c r="M882" s="11">
        <v>59363435</v>
      </c>
      <c r="N882" s="8" t="s">
        <v>30</v>
      </c>
      <c r="O882" s="8" t="s">
        <v>17</v>
      </c>
      <c r="P882" s="8" t="s">
        <v>18</v>
      </c>
      <c r="Q882" s="8" t="s">
        <v>18</v>
      </c>
      <c r="R882" s="8" t="s">
        <v>2155</v>
      </c>
      <c r="S882" s="8" t="s">
        <v>2433</v>
      </c>
      <c r="T882" s="8" t="s">
        <v>2434</v>
      </c>
      <c r="U882" s="8" t="s">
        <v>2435</v>
      </c>
      <c r="V882" s="8" t="s">
        <v>824</v>
      </c>
      <c r="W882" s="8">
        <f t="shared" si="26"/>
        <v>3</v>
      </c>
      <c r="X882" s="8">
        <f>K882*L882*N882</f>
        <v>5936343.5160000008</v>
      </c>
    </row>
    <row r="883" spans="1:24" s="8" customFormat="1" ht="41.5" customHeight="1">
      <c r="A883" s="8" t="s">
        <v>2585</v>
      </c>
      <c r="B883" s="8" t="s">
        <v>2668</v>
      </c>
      <c r="C883" s="9">
        <v>45887.736201018502</v>
      </c>
      <c r="D883" s="8" t="s">
        <v>2062</v>
      </c>
      <c r="E883" s="8" t="s">
        <v>2057</v>
      </c>
      <c r="F883" s="8">
        <v>1</v>
      </c>
      <c r="G883" s="2">
        <v>635</v>
      </c>
      <c r="H883" s="8" t="s">
        <v>117</v>
      </c>
      <c r="I883" s="2">
        <f t="shared" si="25"/>
        <v>635</v>
      </c>
      <c r="M883" s="11">
        <v>50000</v>
      </c>
      <c r="N883" s="8" t="s">
        <v>30</v>
      </c>
      <c r="O883" s="8" t="s">
        <v>17</v>
      </c>
      <c r="P883" s="8" t="s">
        <v>18</v>
      </c>
      <c r="Q883" s="8" t="s">
        <v>18</v>
      </c>
      <c r="S883" s="8" t="s">
        <v>2216</v>
      </c>
      <c r="T883" s="8" t="s">
        <v>2217</v>
      </c>
      <c r="V883" s="8" t="s">
        <v>661</v>
      </c>
      <c r="W883" s="8">
        <f t="shared" si="26"/>
        <v>3</v>
      </c>
      <c r="X883" s="8">
        <f>K883*L883*N883</f>
        <v>0</v>
      </c>
    </row>
    <row r="884" spans="1:24" s="8" customFormat="1" ht="41.5" customHeight="1">
      <c r="A884" s="8" t="s">
        <v>2336</v>
      </c>
      <c r="B884" s="8" t="s">
        <v>2669</v>
      </c>
      <c r="C884" s="9">
        <v>45887.736390161997</v>
      </c>
      <c r="D884" s="8" t="s">
        <v>2062</v>
      </c>
      <c r="E884" s="8" t="s">
        <v>2057</v>
      </c>
      <c r="F884" s="8">
        <v>1</v>
      </c>
      <c r="G884" s="2">
        <v>635</v>
      </c>
      <c r="H884" s="8" t="s">
        <v>116</v>
      </c>
      <c r="I884" s="2">
        <f t="shared" si="25"/>
        <v>635</v>
      </c>
      <c r="M884" s="11">
        <v>20000</v>
      </c>
      <c r="N884" s="8" t="s">
        <v>30</v>
      </c>
      <c r="O884" s="8" t="s">
        <v>17</v>
      </c>
      <c r="P884" s="8" t="s">
        <v>18</v>
      </c>
      <c r="Q884" s="8" t="s">
        <v>18</v>
      </c>
      <c r="S884" s="8" t="s">
        <v>2216</v>
      </c>
      <c r="T884" s="8" t="s">
        <v>2217</v>
      </c>
      <c r="V884" s="8" t="s">
        <v>661</v>
      </c>
      <c r="W884" s="8">
        <f t="shared" si="26"/>
        <v>3</v>
      </c>
      <c r="X884" s="8">
        <f>K884*L884*N884</f>
        <v>0</v>
      </c>
    </row>
    <row r="885" spans="1:24" s="8" customFormat="1" ht="41.5" customHeight="1">
      <c r="A885" s="8" t="s">
        <v>2336</v>
      </c>
      <c r="B885" s="8" t="s">
        <v>2670</v>
      </c>
      <c r="C885" s="9">
        <v>45887.736325266203</v>
      </c>
      <c r="D885" s="8" t="s">
        <v>2062</v>
      </c>
      <c r="E885" s="8" t="s">
        <v>2057</v>
      </c>
      <c r="F885" s="8">
        <v>1</v>
      </c>
      <c r="G885" s="2">
        <v>635</v>
      </c>
      <c r="H885" s="8" t="s">
        <v>722</v>
      </c>
      <c r="I885" s="2">
        <f t="shared" si="25"/>
        <v>635</v>
      </c>
      <c r="M885" s="11">
        <v>70000</v>
      </c>
      <c r="N885" s="8" t="s">
        <v>30</v>
      </c>
      <c r="O885" s="8" t="s">
        <v>17</v>
      </c>
      <c r="P885" s="8" t="s">
        <v>18</v>
      </c>
      <c r="Q885" s="8" t="s">
        <v>18</v>
      </c>
      <c r="S885" s="8" t="s">
        <v>2216</v>
      </c>
      <c r="T885" s="8" t="s">
        <v>2217</v>
      </c>
      <c r="V885" s="8" t="s">
        <v>661</v>
      </c>
      <c r="W885" s="8">
        <f t="shared" si="26"/>
        <v>3</v>
      </c>
      <c r="X885" s="8">
        <f>K885*L885*N885</f>
        <v>0</v>
      </c>
    </row>
    <row r="886" spans="1:24" s="8" customFormat="1" ht="41.5" customHeight="1">
      <c r="A886" s="8" t="s">
        <v>2336</v>
      </c>
      <c r="B886" s="8" t="s">
        <v>2671</v>
      </c>
      <c r="C886" s="9">
        <v>45887.736263263898</v>
      </c>
      <c r="D886" s="8" t="s">
        <v>2062</v>
      </c>
      <c r="E886" s="8" t="s">
        <v>2057</v>
      </c>
      <c r="F886" s="8">
        <v>1</v>
      </c>
      <c r="G886" s="2">
        <v>635</v>
      </c>
      <c r="H886" s="8" t="s">
        <v>143</v>
      </c>
      <c r="I886" s="2">
        <f t="shared" si="25"/>
        <v>635</v>
      </c>
      <c r="M886" s="11">
        <v>90000</v>
      </c>
      <c r="N886" s="8" t="s">
        <v>30</v>
      </c>
      <c r="O886" s="8" t="s">
        <v>17</v>
      </c>
      <c r="P886" s="8" t="s">
        <v>18</v>
      </c>
      <c r="Q886" s="8" t="s">
        <v>18</v>
      </c>
      <c r="S886" s="8" t="s">
        <v>2216</v>
      </c>
      <c r="T886" s="8" t="s">
        <v>2217</v>
      </c>
      <c r="V886" s="8" t="s">
        <v>661</v>
      </c>
      <c r="W886" s="8">
        <f t="shared" si="26"/>
        <v>3</v>
      </c>
      <c r="X886" s="8">
        <f>K886*L886*N886</f>
        <v>0</v>
      </c>
    </row>
    <row r="887" spans="1:24" s="8" customFormat="1" ht="41.5" customHeight="1">
      <c r="A887" s="8" t="s">
        <v>2336</v>
      </c>
      <c r="B887" s="8" t="s">
        <v>2672</v>
      </c>
      <c r="C887" s="9">
        <v>45887.736263229199</v>
      </c>
      <c r="D887" s="8" t="s">
        <v>2062</v>
      </c>
      <c r="E887" s="8" t="s">
        <v>2057</v>
      </c>
      <c r="F887" s="8">
        <v>1</v>
      </c>
      <c r="G887" s="2">
        <v>635</v>
      </c>
      <c r="H887" s="8" t="s">
        <v>825</v>
      </c>
      <c r="I887" s="2">
        <f t="shared" si="25"/>
        <v>635</v>
      </c>
      <c r="M887" s="11">
        <v>35000</v>
      </c>
      <c r="N887" s="8" t="s">
        <v>30</v>
      </c>
      <c r="O887" s="8" t="s">
        <v>17</v>
      </c>
      <c r="P887" s="8" t="s">
        <v>18</v>
      </c>
      <c r="Q887" s="8" t="s">
        <v>18</v>
      </c>
      <c r="S887" s="8" t="s">
        <v>2216</v>
      </c>
      <c r="T887" s="8" t="s">
        <v>2217</v>
      </c>
      <c r="V887" s="8" t="s">
        <v>661</v>
      </c>
      <c r="W887" s="8">
        <f t="shared" si="26"/>
        <v>3</v>
      </c>
      <c r="X887" s="8">
        <f>K887*L887*N887</f>
        <v>0</v>
      </c>
    </row>
    <row r="888" spans="1:24" s="8" customFormat="1" ht="41.5" customHeight="1">
      <c r="A888" s="8" t="s">
        <v>2339</v>
      </c>
      <c r="B888" s="8" t="s">
        <v>2673</v>
      </c>
      <c r="C888" s="9">
        <v>45885.786217060202</v>
      </c>
      <c r="D888" s="8" t="s">
        <v>2218</v>
      </c>
      <c r="E888" s="8" t="s">
        <v>2057</v>
      </c>
      <c r="F888" s="8">
        <v>1</v>
      </c>
      <c r="G888" s="2">
        <v>635</v>
      </c>
      <c r="H888" s="8" t="s">
        <v>118</v>
      </c>
      <c r="I888" s="2">
        <f t="shared" si="25"/>
        <v>635</v>
      </c>
      <c r="M888" s="11">
        <v>50000</v>
      </c>
      <c r="N888" s="8" t="s">
        <v>30</v>
      </c>
      <c r="O888" s="8" t="s">
        <v>17</v>
      </c>
      <c r="P888" s="8" t="s">
        <v>18</v>
      </c>
      <c r="Q888" s="8" t="s">
        <v>18</v>
      </c>
      <c r="S888" s="8" t="s">
        <v>2340</v>
      </c>
      <c r="T888" s="8" t="s">
        <v>2341</v>
      </c>
      <c r="V888" s="8" t="s">
        <v>826</v>
      </c>
      <c r="W888" s="8">
        <f t="shared" si="26"/>
        <v>3</v>
      </c>
      <c r="X888" s="8">
        <f>K888*L888*N888</f>
        <v>0</v>
      </c>
    </row>
    <row r="889" spans="1:24" s="8" customFormat="1" ht="41.5" customHeight="1">
      <c r="A889" s="8" t="s">
        <v>2339</v>
      </c>
      <c r="B889" s="8" t="s">
        <v>2674</v>
      </c>
      <c r="C889" s="9">
        <v>45885.786097731499</v>
      </c>
      <c r="D889" s="8" t="s">
        <v>2218</v>
      </c>
      <c r="E889" s="8" t="s">
        <v>2057</v>
      </c>
      <c r="F889" s="8">
        <v>1</v>
      </c>
      <c r="G889" s="2">
        <v>635</v>
      </c>
      <c r="H889" s="8" t="s">
        <v>118</v>
      </c>
      <c r="I889" s="2">
        <f t="shared" si="25"/>
        <v>635</v>
      </c>
      <c r="M889" s="11">
        <v>40000</v>
      </c>
      <c r="N889" s="8" t="s">
        <v>30</v>
      </c>
      <c r="O889" s="8" t="s">
        <v>17</v>
      </c>
      <c r="P889" s="8" t="s">
        <v>18</v>
      </c>
      <c r="Q889" s="8" t="s">
        <v>18</v>
      </c>
      <c r="S889" s="8" t="s">
        <v>2340</v>
      </c>
      <c r="T889" s="8" t="s">
        <v>2341</v>
      </c>
      <c r="V889" s="8" t="s">
        <v>826</v>
      </c>
      <c r="W889" s="8">
        <f t="shared" si="26"/>
        <v>3</v>
      </c>
      <c r="X889" s="8">
        <f>K889*L889*N889</f>
        <v>0</v>
      </c>
    </row>
    <row r="890" spans="1:24" s="8" customFormat="1" ht="41.5" customHeight="1">
      <c r="A890" s="8" t="s">
        <v>2339</v>
      </c>
      <c r="B890" s="8" t="s">
        <v>2675</v>
      </c>
      <c r="C890" s="9">
        <v>45885.600209166703</v>
      </c>
      <c r="D890" s="8" t="s">
        <v>2218</v>
      </c>
      <c r="E890" s="8" t="s">
        <v>2057</v>
      </c>
      <c r="F890" s="8">
        <v>1</v>
      </c>
      <c r="G890" s="2">
        <v>635</v>
      </c>
      <c r="H890" s="8" t="s">
        <v>118</v>
      </c>
      <c r="I890" s="2">
        <f t="shared" si="25"/>
        <v>635</v>
      </c>
      <c r="M890" s="11">
        <v>20000</v>
      </c>
      <c r="N890" s="8" t="s">
        <v>30</v>
      </c>
      <c r="O890" s="8" t="s">
        <v>17</v>
      </c>
      <c r="P890" s="8" t="s">
        <v>18</v>
      </c>
      <c r="Q890" s="8" t="s">
        <v>18</v>
      </c>
      <c r="S890" s="8" t="s">
        <v>2219</v>
      </c>
      <c r="T890" s="8" t="s">
        <v>2220</v>
      </c>
      <c r="V890" s="8" t="s">
        <v>826</v>
      </c>
      <c r="W890" s="8">
        <f t="shared" si="26"/>
        <v>3</v>
      </c>
      <c r="X890" s="8">
        <f>K890*L890*N890</f>
        <v>0</v>
      </c>
    </row>
    <row r="891" spans="1:24" s="8" customFormat="1" ht="41.5" customHeight="1">
      <c r="A891" s="8" t="s">
        <v>2339</v>
      </c>
      <c r="B891" s="8" t="s">
        <v>2676</v>
      </c>
      <c r="C891" s="9">
        <v>45885.600152419</v>
      </c>
      <c r="D891" s="8" t="s">
        <v>2218</v>
      </c>
      <c r="E891" s="8" t="s">
        <v>2057</v>
      </c>
      <c r="F891" s="8">
        <v>1</v>
      </c>
      <c r="G891" s="2">
        <v>635</v>
      </c>
      <c r="H891" s="8" t="s">
        <v>118</v>
      </c>
      <c r="I891" s="2">
        <f t="shared" si="25"/>
        <v>635</v>
      </c>
      <c r="M891" s="11">
        <v>20000</v>
      </c>
      <c r="N891" s="8" t="s">
        <v>30</v>
      </c>
      <c r="O891" s="8" t="s">
        <v>17</v>
      </c>
      <c r="P891" s="8" t="s">
        <v>18</v>
      </c>
      <c r="Q891" s="8" t="s">
        <v>18</v>
      </c>
      <c r="S891" s="8" t="s">
        <v>2219</v>
      </c>
      <c r="T891" s="8" t="s">
        <v>2220</v>
      </c>
      <c r="V891" s="8" t="s">
        <v>826</v>
      </c>
      <c r="W891" s="8">
        <f t="shared" si="26"/>
        <v>3</v>
      </c>
      <c r="X891" s="8">
        <f>K891*L891*N891</f>
        <v>0</v>
      </c>
    </row>
    <row r="892" spans="1:24" s="8" customFormat="1" ht="41.5" customHeight="1">
      <c r="A892" s="8" t="s">
        <v>2339</v>
      </c>
      <c r="B892" s="8" t="s">
        <v>2677</v>
      </c>
      <c r="C892" s="9">
        <v>45885.598784583301</v>
      </c>
      <c r="D892" s="8" t="s">
        <v>2218</v>
      </c>
      <c r="E892" s="8" t="s">
        <v>2057</v>
      </c>
      <c r="F892" s="8">
        <v>1</v>
      </c>
      <c r="G892" s="2">
        <v>635</v>
      </c>
      <c r="H892" s="8" t="s">
        <v>118</v>
      </c>
      <c r="I892" s="2">
        <f t="shared" si="25"/>
        <v>635</v>
      </c>
      <c r="M892" s="11">
        <v>20000</v>
      </c>
      <c r="N892" s="8" t="s">
        <v>30</v>
      </c>
      <c r="O892" s="8" t="s">
        <v>17</v>
      </c>
      <c r="P892" s="8" t="s">
        <v>18</v>
      </c>
      <c r="Q892" s="8" t="s">
        <v>18</v>
      </c>
      <c r="S892" s="8" t="s">
        <v>2219</v>
      </c>
      <c r="T892" s="8" t="s">
        <v>2220</v>
      </c>
      <c r="V892" s="8" t="s">
        <v>826</v>
      </c>
      <c r="W892" s="8">
        <f t="shared" si="26"/>
        <v>3</v>
      </c>
      <c r="X892" s="8">
        <f>K892*L892*N892</f>
        <v>0</v>
      </c>
    </row>
    <row r="893" spans="1:24" s="8" customFormat="1" ht="41.5" customHeight="1">
      <c r="A893" s="8" t="s">
        <v>2339</v>
      </c>
      <c r="B893" s="8" t="s">
        <v>2678</v>
      </c>
      <c r="C893" s="9">
        <v>45885.598784571797</v>
      </c>
      <c r="D893" s="8" t="s">
        <v>2218</v>
      </c>
      <c r="E893" s="8" t="s">
        <v>2057</v>
      </c>
      <c r="F893" s="8">
        <v>1</v>
      </c>
      <c r="G893" s="2">
        <v>635</v>
      </c>
      <c r="H893" s="8" t="s">
        <v>118</v>
      </c>
      <c r="I893" s="2">
        <f t="shared" ref="I893:I956" si="27">G893</f>
        <v>635</v>
      </c>
      <c r="M893" s="11">
        <v>20000</v>
      </c>
      <c r="N893" s="8" t="s">
        <v>30</v>
      </c>
      <c r="O893" s="8" t="s">
        <v>17</v>
      </c>
      <c r="P893" s="8" t="s">
        <v>18</v>
      </c>
      <c r="Q893" s="8" t="s">
        <v>18</v>
      </c>
      <c r="S893" s="8" t="s">
        <v>2219</v>
      </c>
      <c r="T893" s="8" t="s">
        <v>2220</v>
      </c>
      <c r="V893" s="8" t="s">
        <v>826</v>
      </c>
      <c r="W893" s="8">
        <f t="shared" si="26"/>
        <v>3</v>
      </c>
      <c r="X893" s="8">
        <f>K893*L893*N893</f>
        <v>0</v>
      </c>
    </row>
    <row r="894" spans="1:24" s="8" customFormat="1" ht="41.5" customHeight="1">
      <c r="A894" s="8" t="s">
        <v>2339</v>
      </c>
      <c r="B894" s="8" t="s">
        <v>2679</v>
      </c>
      <c r="C894" s="9">
        <v>45885.594633067099</v>
      </c>
      <c r="D894" s="8" t="s">
        <v>2218</v>
      </c>
      <c r="E894" s="8" t="s">
        <v>2057</v>
      </c>
      <c r="F894" s="8">
        <v>1</v>
      </c>
      <c r="G894" s="2">
        <v>635</v>
      </c>
      <c r="H894" s="8" t="s">
        <v>118</v>
      </c>
      <c r="I894" s="2">
        <f t="shared" si="27"/>
        <v>635</v>
      </c>
      <c r="M894" s="11">
        <v>20000</v>
      </c>
      <c r="N894" s="8" t="s">
        <v>30</v>
      </c>
      <c r="O894" s="8" t="s">
        <v>17</v>
      </c>
      <c r="P894" s="8" t="s">
        <v>18</v>
      </c>
      <c r="Q894" s="8" t="s">
        <v>18</v>
      </c>
      <c r="S894" s="8" t="s">
        <v>2219</v>
      </c>
      <c r="T894" s="8" t="s">
        <v>2220</v>
      </c>
      <c r="V894" s="8" t="s">
        <v>826</v>
      </c>
      <c r="W894" s="8">
        <f t="shared" si="26"/>
        <v>3</v>
      </c>
      <c r="X894" s="8">
        <f>K894*L894*N894</f>
        <v>0</v>
      </c>
    </row>
    <row r="895" spans="1:24" s="8" customFormat="1" ht="41.5" customHeight="1">
      <c r="A895" s="8" t="s">
        <v>2339</v>
      </c>
      <c r="B895" s="8" t="s">
        <v>2680</v>
      </c>
      <c r="C895" s="9">
        <v>45885.591246840297</v>
      </c>
      <c r="D895" s="8" t="s">
        <v>2218</v>
      </c>
      <c r="E895" s="8" t="s">
        <v>2057</v>
      </c>
      <c r="F895" s="8">
        <v>1</v>
      </c>
      <c r="G895" s="2">
        <v>635</v>
      </c>
      <c r="H895" s="8" t="s">
        <v>118</v>
      </c>
      <c r="I895" s="2">
        <f t="shared" si="27"/>
        <v>635</v>
      </c>
      <c r="M895" s="11">
        <v>60000</v>
      </c>
      <c r="N895" s="8" t="s">
        <v>30</v>
      </c>
      <c r="O895" s="8" t="s">
        <v>17</v>
      </c>
      <c r="P895" s="8" t="s">
        <v>18</v>
      </c>
      <c r="Q895" s="8" t="s">
        <v>18</v>
      </c>
      <c r="S895" s="8" t="s">
        <v>2219</v>
      </c>
      <c r="T895" s="8" t="s">
        <v>2220</v>
      </c>
      <c r="V895" s="8" t="s">
        <v>826</v>
      </c>
      <c r="W895" s="8">
        <f t="shared" si="26"/>
        <v>3</v>
      </c>
      <c r="X895" s="8">
        <f>K895*L895*N895</f>
        <v>0</v>
      </c>
    </row>
    <row r="896" spans="1:24" s="8" customFormat="1" ht="41.5" customHeight="1">
      <c r="A896" s="8" t="s">
        <v>2339</v>
      </c>
      <c r="B896" s="8" t="s">
        <v>2681</v>
      </c>
      <c r="C896" s="9">
        <v>45885.591246840297</v>
      </c>
      <c r="D896" s="8" t="s">
        <v>2218</v>
      </c>
      <c r="E896" s="8" t="s">
        <v>2057</v>
      </c>
      <c r="F896" s="8">
        <v>1</v>
      </c>
      <c r="G896" s="2">
        <v>635</v>
      </c>
      <c r="H896" s="8" t="s">
        <v>118</v>
      </c>
      <c r="I896" s="2">
        <f t="shared" si="27"/>
        <v>635</v>
      </c>
      <c r="M896" s="11">
        <v>20000</v>
      </c>
      <c r="N896" s="8" t="s">
        <v>30</v>
      </c>
      <c r="O896" s="8" t="s">
        <v>17</v>
      </c>
      <c r="P896" s="8" t="s">
        <v>18</v>
      </c>
      <c r="Q896" s="8" t="s">
        <v>18</v>
      </c>
      <c r="S896" s="8" t="s">
        <v>2219</v>
      </c>
      <c r="T896" s="8" t="s">
        <v>2220</v>
      </c>
      <c r="V896" s="8" t="s">
        <v>826</v>
      </c>
      <c r="W896" s="8">
        <f t="shared" si="26"/>
        <v>3</v>
      </c>
      <c r="X896" s="8">
        <f>K896*L896*N896</f>
        <v>0</v>
      </c>
    </row>
    <row r="897" spans="1:24" s="8" customFormat="1" ht="41.5" customHeight="1">
      <c r="A897" s="8" t="s">
        <v>2339</v>
      </c>
      <c r="B897" s="8" t="s">
        <v>2682</v>
      </c>
      <c r="C897" s="9">
        <v>45885.591187743099</v>
      </c>
      <c r="D897" s="8" t="s">
        <v>2218</v>
      </c>
      <c r="E897" s="8" t="s">
        <v>2057</v>
      </c>
      <c r="F897" s="8">
        <v>1</v>
      </c>
      <c r="G897" s="2">
        <v>635</v>
      </c>
      <c r="H897" s="8" t="s">
        <v>118</v>
      </c>
      <c r="I897" s="2">
        <f t="shared" si="27"/>
        <v>635</v>
      </c>
      <c r="M897" s="11">
        <v>20000</v>
      </c>
      <c r="N897" s="8" t="s">
        <v>30</v>
      </c>
      <c r="O897" s="8" t="s">
        <v>17</v>
      </c>
      <c r="P897" s="8" t="s">
        <v>18</v>
      </c>
      <c r="Q897" s="8" t="s">
        <v>18</v>
      </c>
      <c r="S897" s="8" t="s">
        <v>2219</v>
      </c>
      <c r="T897" s="8" t="s">
        <v>2220</v>
      </c>
      <c r="V897" s="8" t="s">
        <v>826</v>
      </c>
      <c r="W897" s="8">
        <f t="shared" si="26"/>
        <v>3</v>
      </c>
      <c r="X897" s="8">
        <f>K897*L897*N897</f>
        <v>0</v>
      </c>
    </row>
    <row r="898" spans="1:24" s="8" customFormat="1" ht="41.5" customHeight="1">
      <c r="A898" s="8" t="s">
        <v>2339</v>
      </c>
      <c r="B898" s="8" t="s">
        <v>2683</v>
      </c>
      <c r="C898" s="9">
        <v>45885.591070856499</v>
      </c>
      <c r="D898" s="8" t="s">
        <v>2218</v>
      </c>
      <c r="E898" s="8" t="s">
        <v>2057</v>
      </c>
      <c r="F898" s="8">
        <v>1</v>
      </c>
      <c r="G898" s="2">
        <v>635</v>
      </c>
      <c r="H898" s="8" t="s">
        <v>118</v>
      </c>
      <c r="I898" s="2">
        <f t="shared" si="27"/>
        <v>635</v>
      </c>
      <c r="M898" s="11">
        <v>20000</v>
      </c>
      <c r="N898" s="8" t="s">
        <v>30</v>
      </c>
      <c r="O898" s="8" t="s">
        <v>17</v>
      </c>
      <c r="P898" s="8" t="s">
        <v>18</v>
      </c>
      <c r="Q898" s="8" t="s">
        <v>18</v>
      </c>
      <c r="S898" s="8" t="s">
        <v>2219</v>
      </c>
      <c r="T898" s="8" t="s">
        <v>2220</v>
      </c>
      <c r="V898" s="8" t="s">
        <v>826</v>
      </c>
      <c r="W898" s="8">
        <f t="shared" si="26"/>
        <v>3</v>
      </c>
      <c r="X898" s="8">
        <f>K898*L898*N898</f>
        <v>0</v>
      </c>
    </row>
    <row r="899" spans="1:24" s="8" customFormat="1" ht="41.5" customHeight="1">
      <c r="A899" s="8" t="s">
        <v>2339</v>
      </c>
      <c r="B899" s="8" t="s">
        <v>2684</v>
      </c>
      <c r="C899" s="9">
        <v>45885.591070856499</v>
      </c>
      <c r="D899" s="8" t="s">
        <v>2218</v>
      </c>
      <c r="E899" s="8" t="s">
        <v>2057</v>
      </c>
      <c r="F899" s="8">
        <v>1</v>
      </c>
      <c r="G899" s="2">
        <v>635</v>
      </c>
      <c r="H899" s="8" t="s">
        <v>118</v>
      </c>
      <c r="I899" s="2">
        <f t="shared" si="27"/>
        <v>635</v>
      </c>
      <c r="M899" s="11">
        <v>20000</v>
      </c>
      <c r="N899" s="8" t="s">
        <v>30</v>
      </c>
      <c r="O899" s="8" t="s">
        <v>17</v>
      </c>
      <c r="P899" s="8" t="s">
        <v>18</v>
      </c>
      <c r="Q899" s="8" t="s">
        <v>18</v>
      </c>
      <c r="S899" s="8" t="s">
        <v>2219</v>
      </c>
      <c r="T899" s="8" t="s">
        <v>2220</v>
      </c>
      <c r="V899" s="8" t="s">
        <v>826</v>
      </c>
      <c r="W899" s="8">
        <f t="shared" si="26"/>
        <v>3</v>
      </c>
      <c r="X899" s="8">
        <f>K899*L899*N899</f>
        <v>0</v>
      </c>
    </row>
    <row r="900" spans="1:24" s="8" customFormat="1" ht="41.5" customHeight="1">
      <c r="A900" s="8" t="s">
        <v>2339</v>
      </c>
      <c r="B900" s="8" t="s">
        <v>2685</v>
      </c>
      <c r="C900" s="9">
        <v>45885.585011678202</v>
      </c>
      <c r="D900" s="8" t="s">
        <v>2218</v>
      </c>
      <c r="E900" s="8" t="s">
        <v>2057</v>
      </c>
      <c r="F900" s="8">
        <v>1</v>
      </c>
      <c r="G900" s="2">
        <v>635</v>
      </c>
      <c r="H900" s="8" t="s">
        <v>118</v>
      </c>
      <c r="I900" s="2">
        <f t="shared" si="27"/>
        <v>635</v>
      </c>
      <c r="M900" s="11">
        <v>20000</v>
      </c>
      <c r="N900" s="8" t="s">
        <v>30</v>
      </c>
      <c r="O900" s="8" t="s">
        <v>17</v>
      </c>
      <c r="P900" s="8" t="s">
        <v>18</v>
      </c>
      <c r="Q900" s="8" t="s">
        <v>18</v>
      </c>
      <c r="S900" s="8" t="s">
        <v>2219</v>
      </c>
      <c r="T900" s="8" t="s">
        <v>2220</v>
      </c>
      <c r="V900" s="8" t="s">
        <v>826</v>
      </c>
      <c r="W900" s="8">
        <f t="shared" si="26"/>
        <v>3</v>
      </c>
      <c r="X900" s="8">
        <f>K900*L900*N900</f>
        <v>0</v>
      </c>
    </row>
    <row r="901" spans="1:24" s="8" customFormat="1" ht="41.5" customHeight="1">
      <c r="A901" s="8" t="s">
        <v>2339</v>
      </c>
      <c r="B901" s="8" t="s">
        <v>2686</v>
      </c>
      <c r="C901" s="9">
        <v>45885.5585857755</v>
      </c>
      <c r="D901" s="8" t="s">
        <v>2218</v>
      </c>
      <c r="E901" s="8" t="s">
        <v>2057</v>
      </c>
      <c r="F901" s="8">
        <v>1</v>
      </c>
      <c r="G901" s="2">
        <v>635</v>
      </c>
      <c r="H901" s="8" t="s">
        <v>118</v>
      </c>
      <c r="I901" s="2">
        <f t="shared" si="27"/>
        <v>635</v>
      </c>
      <c r="M901" s="11">
        <v>20000</v>
      </c>
      <c r="N901" s="8" t="s">
        <v>30</v>
      </c>
      <c r="O901" s="8" t="s">
        <v>17</v>
      </c>
      <c r="P901" s="8" t="s">
        <v>18</v>
      </c>
      <c r="Q901" s="8" t="s">
        <v>18</v>
      </c>
      <c r="S901" s="8" t="s">
        <v>2219</v>
      </c>
      <c r="T901" s="8" t="s">
        <v>2220</v>
      </c>
      <c r="V901" s="8" t="s">
        <v>826</v>
      </c>
      <c r="W901" s="8">
        <f t="shared" si="26"/>
        <v>3</v>
      </c>
      <c r="X901" s="8">
        <f>K901*L901*N901</f>
        <v>0</v>
      </c>
    </row>
    <row r="902" spans="1:24" s="8" customFormat="1" ht="41.5" customHeight="1">
      <c r="A902" s="8" t="s">
        <v>2339</v>
      </c>
      <c r="B902" s="8" t="s">
        <v>2687</v>
      </c>
      <c r="C902" s="9">
        <v>45885.552884039404</v>
      </c>
      <c r="D902" s="8" t="s">
        <v>2218</v>
      </c>
      <c r="E902" s="8" t="s">
        <v>2057</v>
      </c>
      <c r="F902" s="8">
        <v>1</v>
      </c>
      <c r="G902" s="2">
        <v>635</v>
      </c>
      <c r="H902" s="8" t="s">
        <v>118</v>
      </c>
      <c r="I902" s="2">
        <f t="shared" si="27"/>
        <v>635</v>
      </c>
      <c r="M902" s="11">
        <v>20000</v>
      </c>
      <c r="N902" s="8" t="s">
        <v>30</v>
      </c>
      <c r="O902" s="8" t="s">
        <v>17</v>
      </c>
      <c r="P902" s="8" t="s">
        <v>18</v>
      </c>
      <c r="Q902" s="8" t="s">
        <v>18</v>
      </c>
      <c r="S902" s="8" t="s">
        <v>2219</v>
      </c>
      <c r="T902" s="8" t="s">
        <v>2220</v>
      </c>
      <c r="V902" s="8" t="s">
        <v>826</v>
      </c>
      <c r="W902" s="8">
        <f t="shared" si="26"/>
        <v>3</v>
      </c>
      <c r="X902" s="8">
        <f>K902*L902*N902</f>
        <v>0</v>
      </c>
    </row>
    <row r="903" spans="1:24" s="8" customFormat="1" ht="41.5" customHeight="1">
      <c r="A903" s="8" t="s">
        <v>2339</v>
      </c>
      <c r="B903" s="8" t="s">
        <v>2688</v>
      </c>
      <c r="C903" s="9">
        <v>45885.550270636602</v>
      </c>
      <c r="D903" s="8" t="s">
        <v>2218</v>
      </c>
      <c r="E903" s="8" t="s">
        <v>2057</v>
      </c>
      <c r="F903" s="8">
        <v>1</v>
      </c>
      <c r="G903" s="2">
        <v>635</v>
      </c>
      <c r="H903" s="8" t="s">
        <v>118</v>
      </c>
      <c r="I903" s="2">
        <f t="shared" si="27"/>
        <v>635</v>
      </c>
      <c r="M903" s="11">
        <v>40000</v>
      </c>
      <c r="N903" s="8" t="s">
        <v>30</v>
      </c>
      <c r="O903" s="8" t="s">
        <v>17</v>
      </c>
      <c r="P903" s="8" t="s">
        <v>18</v>
      </c>
      <c r="Q903" s="8" t="s">
        <v>18</v>
      </c>
      <c r="S903" s="8" t="s">
        <v>2219</v>
      </c>
      <c r="T903" s="8" t="s">
        <v>2220</v>
      </c>
      <c r="V903" s="8" t="s">
        <v>826</v>
      </c>
      <c r="W903" s="8">
        <f t="shared" si="26"/>
        <v>3</v>
      </c>
      <c r="X903" s="8">
        <f>K903*L903*N903</f>
        <v>0</v>
      </c>
    </row>
    <row r="904" spans="1:24" s="8" customFormat="1" ht="41.5" customHeight="1">
      <c r="A904" s="8" t="s">
        <v>2339</v>
      </c>
      <c r="B904" s="8" t="s">
        <v>2689</v>
      </c>
      <c r="C904" s="9">
        <v>45885.526635335598</v>
      </c>
      <c r="D904" s="8" t="s">
        <v>2218</v>
      </c>
      <c r="E904" s="8" t="s">
        <v>2057</v>
      </c>
      <c r="F904" s="8">
        <v>1</v>
      </c>
      <c r="G904" s="2">
        <v>635</v>
      </c>
      <c r="H904" s="8" t="s">
        <v>118</v>
      </c>
      <c r="I904" s="2">
        <f t="shared" si="27"/>
        <v>635</v>
      </c>
      <c r="M904" s="11">
        <v>20000</v>
      </c>
      <c r="N904" s="8" t="s">
        <v>30</v>
      </c>
      <c r="O904" s="8" t="s">
        <v>17</v>
      </c>
      <c r="P904" s="8" t="s">
        <v>18</v>
      </c>
      <c r="Q904" s="8" t="s">
        <v>18</v>
      </c>
      <c r="S904" s="8" t="s">
        <v>2219</v>
      </c>
      <c r="T904" s="8" t="s">
        <v>2220</v>
      </c>
      <c r="V904" s="8" t="s">
        <v>826</v>
      </c>
      <c r="W904" s="8">
        <f t="shared" si="26"/>
        <v>3</v>
      </c>
      <c r="X904" s="8">
        <f>K904*L904*N904</f>
        <v>0</v>
      </c>
    </row>
    <row r="905" spans="1:24" s="8" customFormat="1" ht="41.5" customHeight="1">
      <c r="A905" s="8" t="s">
        <v>2339</v>
      </c>
      <c r="B905" s="8" t="s">
        <v>2690</v>
      </c>
      <c r="C905" s="9">
        <v>45885.518019155097</v>
      </c>
      <c r="D905" s="8" t="s">
        <v>2218</v>
      </c>
      <c r="E905" s="8" t="s">
        <v>2057</v>
      </c>
      <c r="F905" s="8">
        <v>1</v>
      </c>
      <c r="G905" s="2">
        <v>635</v>
      </c>
      <c r="H905" s="8" t="s">
        <v>118</v>
      </c>
      <c r="I905" s="2">
        <f t="shared" si="27"/>
        <v>635</v>
      </c>
      <c r="M905" s="11">
        <v>20000</v>
      </c>
      <c r="N905" s="8" t="s">
        <v>30</v>
      </c>
      <c r="O905" s="8" t="s">
        <v>17</v>
      </c>
      <c r="P905" s="8" t="s">
        <v>18</v>
      </c>
      <c r="Q905" s="8" t="s">
        <v>18</v>
      </c>
      <c r="S905" s="8" t="s">
        <v>2219</v>
      </c>
      <c r="T905" s="8" t="s">
        <v>2220</v>
      </c>
      <c r="V905" s="8" t="s">
        <v>826</v>
      </c>
      <c r="W905" s="8">
        <f t="shared" si="26"/>
        <v>3</v>
      </c>
      <c r="X905" s="8">
        <f>K905*L905*N905</f>
        <v>0</v>
      </c>
    </row>
    <row r="906" spans="1:24" s="8" customFormat="1" ht="41.5" customHeight="1">
      <c r="A906" s="8" t="s">
        <v>2339</v>
      </c>
      <c r="B906" s="8" t="s">
        <v>2691</v>
      </c>
      <c r="C906" s="9">
        <v>45885.518019155097</v>
      </c>
      <c r="D906" s="8" t="s">
        <v>2218</v>
      </c>
      <c r="E906" s="8" t="s">
        <v>2057</v>
      </c>
      <c r="F906" s="8">
        <v>1</v>
      </c>
      <c r="G906" s="2">
        <v>635</v>
      </c>
      <c r="H906" s="8" t="s">
        <v>118</v>
      </c>
      <c r="I906" s="2">
        <f t="shared" si="27"/>
        <v>635</v>
      </c>
      <c r="M906" s="11">
        <v>20000</v>
      </c>
      <c r="N906" s="8" t="s">
        <v>30</v>
      </c>
      <c r="O906" s="8" t="s">
        <v>17</v>
      </c>
      <c r="P906" s="8" t="s">
        <v>18</v>
      </c>
      <c r="Q906" s="8" t="s">
        <v>18</v>
      </c>
      <c r="S906" s="8" t="s">
        <v>2219</v>
      </c>
      <c r="T906" s="8" t="s">
        <v>2220</v>
      </c>
      <c r="V906" s="8" t="s">
        <v>826</v>
      </c>
      <c r="W906" s="8">
        <f t="shared" si="26"/>
        <v>3</v>
      </c>
      <c r="X906" s="8">
        <f>K906*L906*N906</f>
        <v>0</v>
      </c>
    </row>
    <row r="907" spans="1:24" s="8" customFormat="1" ht="41.5" customHeight="1">
      <c r="A907" s="8" t="s">
        <v>2339</v>
      </c>
      <c r="B907" s="8" t="s">
        <v>2692</v>
      </c>
      <c r="C907" s="9">
        <v>45885.4940420602</v>
      </c>
      <c r="D907" s="8" t="s">
        <v>2218</v>
      </c>
      <c r="E907" s="8" t="s">
        <v>2057</v>
      </c>
      <c r="F907" s="8">
        <v>1</v>
      </c>
      <c r="G907" s="2">
        <v>635</v>
      </c>
      <c r="H907" s="8" t="s">
        <v>118</v>
      </c>
      <c r="I907" s="2">
        <f t="shared" si="27"/>
        <v>635</v>
      </c>
      <c r="M907" s="11">
        <v>20000</v>
      </c>
      <c r="N907" s="8" t="s">
        <v>30</v>
      </c>
      <c r="O907" s="8" t="s">
        <v>17</v>
      </c>
      <c r="P907" s="8" t="s">
        <v>18</v>
      </c>
      <c r="Q907" s="8" t="s">
        <v>18</v>
      </c>
      <c r="S907" s="8" t="s">
        <v>2219</v>
      </c>
      <c r="T907" s="8" t="s">
        <v>2220</v>
      </c>
      <c r="V907" s="8" t="s">
        <v>826</v>
      </c>
      <c r="W907" s="8">
        <f t="shared" si="26"/>
        <v>3</v>
      </c>
      <c r="X907" s="8">
        <f>K907*L907*N907</f>
        <v>0</v>
      </c>
    </row>
    <row r="908" spans="1:24" s="8" customFormat="1" ht="41.5" customHeight="1">
      <c r="A908" s="8" t="s">
        <v>2339</v>
      </c>
      <c r="B908" s="8" t="s">
        <v>2693</v>
      </c>
      <c r="C908" s="9">
        <v>45885.459215451403</v>
      </c>
      <c r="D908" s="8" t="s">
        <v>2218</v>
      </c>
      <c r="E908" s="8" t="s">
        <v>2057</v>
      </c>
      <c r="F908" s="8">
        <v>1</v>
      </c>
      <c r="G908" s="2">
        <v>635</v>
      </c>
      <c r="H908" s="8" t="s">
        <v>118</v>
      </c>
      <c r="I908" s="2">
        <f t="shared" si="27"/>
        <v>635</v>
      </c>
      <c r="M908" s="11">
        <v>34579</v>
      </c>
      <c r="N908" s="8" t="s">
        <v>30</v>
      </c>
      <c r="O908" s="8" t="s">
        <v>17</v>
      </c>
      <c r="P908" s="8" t="s">
        <v>18</v>
      </c>
      <c r="Q908" s="8" t="s">
        <v>18</v>
      </c>
      <c r="S908" s="8" t="s">
        <v>2219</v>
      </c>
      <c r="T908" s="8" t="s">
        <v>2220</v>
      </c>
      <c r="V908" s="8" t="s">
        <v>826</v>
      </c>
      <c r="W908" s="8">
        <f t="shared" si="26"/>
        <v>3</v>
      </c>
      <c r="X908" s="8">
        <f>K908*L908*N908</f>
        <v>0</v>
      </c>
    </row>
    <row r="909" spans="1:24" s="8" customFormat="1" ht="41.5" customHeight="1">
      <c r="A909" s="8" t="s">
        <v>2339</v>
      </c>
      <c r="B909" s="8" t="s">
        <v>2694</v>
      </c>
      <c r="C909" s="9">
        <v>45885.4529800694</v>
      </c>
      <c r="D909" s="8" t="s">
        <v>2218</v>
      </c>
      <c r="E909" s="8" t="s">
        <v>2057</v>
      </c>
      <c r="F909" s="8">
        <v>1</v>
      </c>
      <c r="G909" s="2">
        <v>635</v>
      </c>
      <c r="H909" s="8" t="s">
        <v>118</v>
      </c>
      <c r="I909" s="2">
        <f t="shared" si="27"/>
        <v>635</v>
      </c>
      <c r="M909" s="11">
        <v>20000</v>
      </c>
      <c r="N909" s="8" t="s">
        <v>30</v>
      </c>
      <c r="O909" s="8" t="s">
        <v>17</v>
      </c>
      <c r="P909" s="8" t="s">
        <v>18</v>
      </c>
      <c r="Q909" s="8" t="s">
        <v>18</v>
      </c>
      <c r="S909" s="8" t="s">
        <v>2219</v>
      </c>
      <c r="T909" s="8" t="s">
        <v>2220</v>
      </c>
      <c r="V909" s="8" t="s">
        <v>826</v>
      </c>
      <c r="W909" s="8">
        <f t="shared" si="26"/>
        <v>3</v>
      </c>
      <c r="X909" s="8">
        <f>K909*L909*N909</f>
        <v>0</v>
      </c>
    </row>
    <row r="910" spans="1:24" s="8" customFormat="1" ht="41.5" customHeight="1">
      <c r="A910" s="8" t="s">
        <v>2339</v>
      </c>
      <c r="B910" s="8" t="s">
        <v>2695</v>
      </c>
      <c r="C910" s="9">
        <v>45885.443835381899</v>
      </c>
      <c r="D910" s="8" t="s">
        <v>2218</v>
      </c>
      <c r="E910" s="8" t="s">
        <v>2057</v>
      </c>
      <c r="F910" s="8">
        <v>1</v>
      </c>
      <c r="G910" s="2">
        <v>635</v>
      </c>
      <c r="H910" s="8" t="s">
        <v>118</v>
      </c>
      <c r="I910" s="2">
        <f t="shared" si="27"/>
        <v>635</v>
      </c>
      <c r="M910" s="11">
        <v>20000</v>
      </c>
      <c r="N910" s="8" t="s">
        <v>30</v>
      </c>
      <c r="O910" s="8" t="s">
        <v>17</v>
      </c>
      <c r="P910" s="8" t="s">
        <v>18</v>
      </c>
      <c r="Q910" s="8" t="s">
        <v>18</v>
      </c>
      <c r="S910" s="8" t="s">
        <v>2219</v>
      </c>
      <c r="T910" s="8" t="s">
        <v>2220</v>
      </c>
      <c r="V910" s="8" t="s">
        <v>826</v>
      </c>
      <c r="W910" s="8">
        <f t="shared" si="26"/>
        <v>3</v>
      </c>
      <c r="X910" s="8">
        <f>K910*L910*N910</f>
        <v>0</v>
      </c>
    </row>
    <row r="911" spans="1:24" s="8" customFormat="1" ht="41.5" customHeight="1">
      <c r="A911" s="8" t="s">
        <v>2339</v>
      </c>
      <c r="B911" s="8" t="s">
        <v>2696</v>
      </c>
      <c r="C911" s="9">
        <v>45885.443835370403</v>
      </c>
      <c r="D911" s="8" t="s">
        <v>2218</v>
      </c>
      <c r="E911" s="8" t="s">
        <v>2057</v>
      </c>
      <c r="F911" s="8">
        <v>1</v>
      </c>
      <c r="G911" s="2">
        <v>635</v>
      </c>
      <c r="H911" s="8" t="s">
        <v>118</v>
      </c>
      <c r="I911" s="2">
        <f t="shared" si="27"/>
        <v>635</v>
      </c>
      <c r="M911" s="11">
        <v>20000</v>
      </c>
      <c r="N911" s="8" t="s">
        <v>30</v>
      </c>
      <c r="O911" s="8" t="s">
        <v>17</v>
      </c>
      <c r="P911" s="8" t="s">
        <v>18</v>
      </c>
      <c r="Q911" s="8" t="s">
        <v>18</v>
      </c>
      <c r="S911" s="8" t="s">
        <v>2219</v>
      </c>
      <c r="T911" s="8" t="s">
        <v>2220</v>
      </c>
      <c r="V911" s="8" t="s">
        <v>826</v>
      </c>
      <c r="W911" s="8">
        <f t="shared" si="26"/>
        <v>3</v>
      </c>
      <c r="X911" s="8">
        <f>K911*L911*N911</f>
        <v>0</v>
      </c>
    </row>
    <row r="912" spans="1:24" s="8" customFormat="1" ht="41.5" customHeight="1">
      <c r="A912" s="8" t="s">
        <v>2339</v>
      </c>
      <c r="B912" s="8" t="s">
        <v>2697</v>
      </c>
      <c r="C912" s="9">
        <v>45885.4148586343</v>
      </c>
      <c r="D912" s="8" t="s">
        <v>2218</v>
      </c>
      <c r="E912" s="8" t="s">
        <v>2057</v>
      </c>
      <c r="F912" s="8">
        <v>1</v>
      </c>
      <c r="G912" s="2">
        <v>635</v>
      </c>
      <c r="H912" s="8" t="s">
        <v>118</v>
      </c>
      <c r="I912" s="2">
        <f t="shared" si="27"/>
        <v>635</v>
      </c>
      <c r="M912" s="11">
        <v>81000</v>
      </c>
      <c r="N912" s="8" t="s">
        <v>30</v>
      </c>
      <c r="O912" s="8" t="s">
        <v>17</v>
      </c>
      <c r="P912" s="8" t="s">
        <v>18</v>
      </c>
      <c r="Q912" s="8" t="s">
        <v>18</v>
      </c>
      <c r="S912" s="8" t="s">
        <v>2219</v>
      </c>
      <c r="T912" s="8" t="s">
        <v>2220</v>
      </c>
      <c r="V912" s="8" t="s">
        <v>826</v>
      </c>
      <c r="W912" s="8">
        <f t="shared" si="26"/>
        <v>3</v>
      </c>
      <c r="X912" s="8">
        <f>K912*L912*N912</f>
        <v>0</v>
      </c>
    </row>
    <row r="913" spans="1:24" s="8" customFormat="1" ht="41.5" customHeight="1">
      <c r="A913" s="8" t="s">
        <v>2339</v>
      </c>
      <c r="B913" s="8" t="s">
        <v>2698</v>
      </c>
      <c r="C913" s="9">
        <v>45885.4105877662</v>
      </c>
      <c r="D913" s="8" t="s">
        <v>2218</v>
      </c>
      <c r="E913" s="8" t="s">
        <v>2057</v>
      </c>
      <c r="F913" s="8">
        <v>1</v>
      </c>
      <c r="G913" s="2">
        <v>635</v>
      </c>
      <c r="H913" s="8" t="s">
        <v>118</v>
      </c>
      <c r="I913" s="2">
        <f t="shared" si="27"/>
        <v>635</v>
      </c>
      <c r="M913" s="11">
        <v>20000</v>
      </c>
      <c r="N913" s="8" t="s">
        <v>30</v>
      </c>
      <c r="O913" s="8" t="s">
        <v>17</v>
      </c>
      <c r="P913" s="8" t="s">
        <v>18</v>
      </c>
      <c r="Q913" s="8" t="s">
        <v>18</v>
      </c>
      <c r="S913" s="8" t="s">
        <v>2219</v>
      </c>
      <c r="T913" s="8" t="s">
        <v>2220</v>
      </c>
      <c r="V913" s="8" t="s">
        <v>826</v>
      </c>
      <c r="W913" s="8">
        <f t="shared" si="26"/>
        <v>3</v>
      </c>
      <c r="X913" s="8">
        <f>K913*L913*N913</f>
        <v>0</v>
      </c>
    </row>
    <row r="914" spans="1:24" s="8" customFormat="1" ht="41.5" customHeight="1">
      <c r="A914" s="8" t="s">
        <v>2339</v>
      </c>
      <c r="B914" s="8" t="s">
        <v>2699</v>
      </c>
      <c r="C914" s="9">
        <v>45885.403878750003</v>
      </c>
      <c r="D914" s="8" t="s">
        <v>2218</v>
      </c>
      <c r="E914" s="8" t="s">
        <v>2057</v>
      </c>
      <c r="F914" s="8">
        <v>1</v>
      </c>
      <c r="G914" s="2">
        <v>635</v>
      </c>
      <c r="H914" s="8" t="s">
        <v>118</v>
      </c>
      <c r="I914" s="2">
        <f t="shared" si="27"/>
        <v>635</v>
      </c>
      <c r="M914" s="11">
        <v>20000</v>
      </c>
      <c r="N914" s="8" t="s">
        <v>30</v>
      </c>
      <c r="O914" s="8" t="s">
        <v>17</v>
      </c>
      <c r="P914" s="8" t="s">
        <v>18</v>
      </c>
      <c r="Q914" s="8" t="s">
        <v>18</v>
      </c>
      <c r="S914" s="8" t="s">
        <v>2219</v>
      </c>
      <c r="T914" s="8" t="s">
        <v>2220</v>
      </c>
      <c r="V914" s="8" t="s">
        <v>826</v>
      </c>
      <c r="W914" s="8">
        <f t="shared" si="26"/>
        <v>3</v>
      </c>
      <c r="X914" s="8">
        <f>K914*L914*N914</f>
        <v>0</v>
      </c>
    </row>
    <row r="915" spans="1:24" s="8" customFormat="1" ht="41.5" customHeight="1">
      <c r="A915" s="8" t="s">
        <v>2339</v>
      </c>
      <c r="B915" s="8" t="s">
        <v>2700</v>
      </c>
      <c r="C915" s="9">
        <v>45885.387375486098</v>
      </c>
      <c r="D915" s="8" t="s">
        <v>2218</v>
      </c>
      <c r="E915" s="8" t="s">
        <v>2057</v>
      </c>
      <c r="F915" s="8">
        <v>1</v>
      </c>
      <c r="G915" s="2">
        <v>635</v>
      </c>
      <c r="H915" s="8" t="s">
        <v>118</v>
      </c>
      <c r="I915" s="2">
        <f t="shared" si="27"/>
        <v>635</v>
      </c>
      <c r="M915" s="11">
        <v>20000</v>
      </c>
      <c r="N915" s="8" t="s">
        <v>30</v>
      </c>
      <c r="O915" s="8" t="s">
        <v>17</v>
      </c>
      <c r="P915" s="8" t="s">
        <v>18</v>
      </c>
      <c r="Q915" s="8" t="s">
        <v>18</v>
      </c>
      <c r="S915" s="8" t="s">
        <v>2219</v>
      </c>
      <c r="T915" s="8" t="s">
        <v>2220</v>
      </c>
      <c r="V915" s="8" t="s">
        <v>826</v>
      </c>
      <c r="W915" s="8">
        <f t="shared" si="26"/>
        <v>3</v>
      </c>
      <c r="X915" s="8">
        <f>K915*L915*N915</f>
        <v>0</v>
      </c>
    </row>
    <row r="916" spans="1:24" s="8" customFormat="1" ht="41.5" customHeight="1">
      <c r="A916" s="8" t="s">
        <v>2463</v>
      </c>
      <c r="B916" s="8" t="s">
        <v>2701</v>
      </c>
      <c r="C916" s="9">
        <v>45838.610219328701</v>
      </c>
      <c r="D916" s="8" t="s">
        <v>2056</v>
      </c>
      <c r="E916" s="8" t="s">
        <v>2057</v>
      </c>
      <c r="F916" s="8">
        <v>1</v>
      </c>
      <c r="G916" s="22" t="s">
        <v>1278</v>
      </c>
      <c r="H916" s="8" t="s">
        <v>827</v>
      </c>
      <c r="I916" s="2" t="str">
        <f t="shared" si="27"/>
        <v>Ống luồn dây điện</v>
      </c>
      <c r="J916" s="8" t="s">
        <v>247</v>
      </c>
      <c r="K916" s="10">
        <v>2000</v>
      </c>
      <c r="L916" s="10">
        <v>13744.61</v>
      </c>
      <c r="M916" s="11">
        <v>27489220</v>
      </c>
      <c r="N916" s="8" t="s">
        <v>16</v>
      </c>
      <c r="O916" s="8" t="s">
        <v>17</v>
      </c>
      <c r="P916" s="8" t="s">
        <v>18</v>
      </c>
      <c r="Q916" s="8" t="s">
        <v>18</v>
      </c>
      <c r="R916" s="8" t="s">
        <v>2115</v>
      </c>
      <c r="S916" s="8" t="s">
        <v>2465</v>
      </c>
      <c r="T916" s="8" t="s">
        <v>2466</v>
      </c>
      <c r="U916" s="8" t="s">
        <v>2702</v>
      </c>
      <c r="V916" s="8" t="s">
        <v>828</v>
      </c>
      <c r="W916" s="8">
        <f t="shared" si="26"/>
        <v>2</v>
      </c>
      <c r="X916" s="8">
        <f>K916*L916*N916</f>
        <v>2199137.6</v>
      </c>
    </row>
    <row r="917" spans="1:24" s="8" customFormat="1" ht="41.5" customHeight="1">
      <c r="A917" s="8" t="s">
        <v>2463</v>
      </c>
      <c r="B917" s="8" t="s">
        <v>2701</v>
      </c>
      <c r="C917" s="9">
        <v>45838.610219328701</v>
      </c>
      <c r="D917" s="8" t="s">
        <v>2056</v>
      </c>
      <c r="E917" s="8" t="s">
        <v>2057</v>
      </c>
      <c r="F917" s="8">
        <v>2</v>
      </c>
      <c r="G917" s="22" t="s">
        <v>829</v>
      </c>
      <c r="H917" s="8" t="s">
        <v>829</v>
      </c>
      <c r="I917" s="2" t="str">
        <f t="shared" si="27"/>
        <v>Máng điện 14x8</v>
      </c>
      <c r="J917" s="8" t="s">
        <v>247</v>
      </c>
      <c r="K917" s="10">
        <v>1000</v>
      </c>
      <c r="L917" s="10">
        <v>7817.6</v>
      </c>
      <c r="M917" s="11">
        <v>7817600</v>
      </c>
      <c r="N917" s="8" t="s">
        <v>16</v>
      </c>
      <c r="O917" s="8" t="s">
        <v>17</v>
      </c>
      <c r="P917" s="8" t="s">
        <v>18</v>
      </c>
      <c r="Q917" s="8" t="s">
        <v>18</v>
      </c>
      <c r="R917" s="8" t="s">
        <v>2115</v>
      </c>
      <c r="S917" s="8" t="s">
        <v>2465</v>
      </c>
      <c r="T917" s="8" t="s">
        <v>2466</v>
      </c>
      <c r="U917" s="8" t="s">
        <v>2702</v>
      </c>
      <c r="V917" s="8" t="s">
        <v>828</v>
      </c>
      <c r="W917" s="8">
        <f t="shared" si="26"/>
        <v>2</v>
      </c>
      <c r="X917" s="8">
        <f>K917*L917*N917</f>
        <v>625408</v>
      </c>
    </row>
    <row r="918" spans="1:24" s="8" customFormat="1" ht="41.5" customHeight="1">
      <c r="A918" s="8" t="s">
        <v>2463</v>
      </c>
      <c r="B918" s="8" t="s">
        <v>2701</v>
      </c>
      <c r="C918" s="9">
        <v>45838.610219328701</v>
      </c>
      <c r="D918" s="8" t="s">
        <v>2056</v>
      </c>
      <c r="E918" s="8" t="s">
        <v>2057</v>
      </c>
      <c r="F918" s="8">
        <v>3</v>
      </c>
      <c r="G918" s="22" t="s">
        <v>830</v>
      </c>
      <c r="H918" s="8" t="s">
        <v>830</v>
      </c>
      <c r="I918" s="2" t="str">
        <f t="shared" si="27"/>
        <v>Ống ruột gà D16 màu trắng</v>
      </c>
      <c r="J918" s="8" t="s">
        <v>127</v>
      </c>
      <c r="K918" s="10">
        <v>50</v>
      </c>
      <c r="L918" s="10">
        <v>72518.929999999993</v>
      </c>
      <c r="M918" s="11">
        <v>3625947</v>
      </c>
      <c r="N918" s="8" t="s">
        <v>16</v>
      </c>
      <c r="O918" s="8" t="s">
        <v>17</v>
      </c>
      <c r="P918" s="8" t="s">
        <v>18</v>
      </c>
      <c r="Q918" s="8" t="s">
        <v>18</v>
      </c>
      <c r="R918" s="8" t="s">
        <v>2115</v>
      </c>
      <c r="S918" s="8" t="s">
        <v>2465</v>
      </c>
      <c r="T918" s="8" t="s">
        <v>2466</v>
      </c>
      <c r="U918" s="8" t="s">
        <v>2702</v>
      </c>
      <c r="V918" s="8" t="s">
        <v>828</v>
      </c>
      <c r="W918" s="8">
        <f t="shared" si="26"/>
        <v>2</v>
      </c>
      <c r="X918" s="8">
        <f>K918*L918*N918</f>
        <v>290075.71999999997</v>
      </c>
    </row>
    <row r="919" spans="1:24" s="8" customFormat="1" ht="41.5" customHeight="1">
      <c r="A919" s="8" t="s">
        <v>2463</v>
      </c>
      <c r="B919" s="8" t="s">
        <v>2703</v>
      </c>
      <c r="C919" s="9">
        <v>45838.610044201399</v>
      </c>
      <c r="D919" s="8" t="s">
        <v>2056</v>
      </c>
      <c r="E919" s="8" t="s">
        <v>2057</v>
      </c>
      <c r="F919" s="8">
        <v>1</v>
      </c>
      <c r="G919" s="22" t="s">
        <v>1289</v>
      </c>
      <c r="H919" s="8" t="s">
        <v>552</v>
      </c>
      <c r="I919" s="2" t="str">
        <f t="shared" si="27"/>
        <v>Dây điện SIK 1Cx1.5 HKIV</v>
      </c>
      <c r="J919" s="8" t="s">
        <v>549</v>
      </c>
      <c r="K919" s="10">
        <v>5</v>
      </c>
      <c r="L919" s="10">
        <v>1701700</v>
      </c>
      <c r="M919" s="11">
        <v>8508500</v>
      </c>
      <c r="N919" s="8" t="s">
        <v>30</v>
      </c>
      <c r="O919" s="8" t="s">
        <v>17</v>
      </c>
      <c r="P919" s="8" t="s">
        <v>18</v>
      </c>
      <c r="Q919" s="8" t="s">
        <v>18</v>
      </c>
      <c r="R919" s="8" t="s">
        <v>2115</v>
      </c>
      <c r="S919" s="8" t="s">
        <v>2465</v>
      </c>
      <c r="T919" s="8" t="s">
        <v>2466</v>
      </c>
      <c r="U919" s="8" t="s">
        <v>2702</v>
      </c>
      <c r="V919" s="8" t="s">
        <v>828</v>
      </c>
      <c r="W919" s="8">
        <f t="shared" si="26"/>
        <v>2</v>
      </c>
      <c r="X919" s="8">
        <f>K919*L919*N919</f>
        <v>850850</v>
      </c>
    </row>
    <row r="920" spans="1:24" s="8" customFormat="1" ht="41.5" customHeight="1">
      <c r="A920" s="8" t="s">
        <v>2463</v>
      </c>
      <c r="B920" s="8" t="s">
        <v>2703</v>
      </c>
      <c r="C920" s="9">
        <v>45838.610044201399</v>
      </c>
      <c r="D920" s="8" t="s">
        <v>2056</v>
      </c>
      <c r="E920" s="8" t="s">
        <v>2057</v>
      </c>
      <c r="F920" s="8">
        <v>2</v>
      </c>
      <c r="G920" s="22" t="s">
        <v>1314</v>
      </c>
      <c r="H920" s="8" t="s">
        <v>551</v>
      </c>
      <c r="I920" s="2" t="str">
        <f t="shared" si="27"/>
        <v>Dây điện SIK 1Cx2.5 HKIV</v>
      </c>
      <c r="J920" s="8" t="s">
        <v>549</v>
      </c>
      <c r="K920" s="10">
        <v>5</v>
      </c>
      <c r="L920" s="10">
        <v>2752750</v>
      </c>
      <c r="M920" s="11">
        <v>13763750</v>
      </c>
      <c r="N920" s="8" t="s">
        <v>30</v>
      </c>
      <c r="O920" s="8" t="s">
        <v>17</v>
      </c>
      <c r="P920" s="8" t="s">
        <v>18</v>
      </c>
      <c r="Q920" s="8" t="s">
        <v>18</v>
      </c>
      <c r="R920" s="8" t="s">
        <v>2115</v>
      </c>
      <c r="S920" s="8" t="s">
        <v>2465</v>
      </c>
      <c r="T920" s="8" t="s">
        <v>2466</v>
      </c>
      <c r="U920" s="8" t="s">
        <v>2702</v>
      </c>
      <c r="V920" s="8" t="s">
        <v>828</v>
      </c>
      <c r="W920" s="8">
        <f t="shared" si="26"/>
        <v>2</v>
      </c>
      <c r="X920" s="8">
        <f>K920*L920*N920</f>
        <v>1376375</v>
      </c>
    </row>
    <row r="921" spans="1:24" s="8" customFormat="1" ht="41.5" customHeight="1">
      <c r="A921" s="8" t="s">
        <v>2463</v>
      </c>
      <c r="B921" s="8" t="s">
        <v>2703</v>
      </c>
      <c r="C921" s="9">
        <v>45838.610044201399</v>
      </c>
      <c r="D921" s="8" t="s">
        <v>2056</v>
      </c>
      <c r="E921" s="8" t="s">
        <v>2057</v>
      </c>
      <c r="F921" s="8">
        <v>3</v>
      </c>
      <c r="G921" s="22" t="s">
        <v>1376</v>
      </c>
      <c r="H921" s="8" t="s">
        <v>548</v>
      </c>
      <c r="I921" s="2" t="str">
        <f t="shared" si="27"/>
        <v>Dây điện SIK 1Cx4.0 HKIV</v>
      </c>
      <c r="J921" s="8" t="s">
        <v>549</v>
      </c>
      <c r="K921" s="10">
        <v>5</v>
      </c>
      <c r="L921" s="10">
        <v>4104100</v>
      </c>
      <c r="M921" s="11">
        <v>20520500</v>
      </c>
      <c r="N921" s="8" t="s">
        <v>30</v>
      </c>
      <c r="O921" s="8" t="s">
        <v>17</v>
      </c>
      <c r="P921" s="8" t="s">
        <v>18</v>
      </c>
      <c r="Q921" s="8" t="s">
        <v>18</v>
      </c>
      <c r="R921" s="8" t="s">
        <v>2115</v>
      </c>
      <c r="S921" s="8" t="s">
        <v>2465</v>
      </c>
      <c r="T921" s="8" t="s">
        <v>2466</v>
      </c>
      <c r="U921" s="8" t="s">
        <v>2702</v>
      </c>
      <c r="V921" s="8" t="s">
        <v>828</v>
      </c>
      <c r="W921" s="8">
        <f t="shared" si="26"/>
        <v>2</v>
      </c>
      <c r="X921" s="8">
        <f>K921*L921*N921</f>
        <v>2052050</v>
      </c>
    </row>
    <row r="922" spans="1:24" s="8" customFormat="1" ht="41.5" customHeight="1">
      <c r="A922" s="8" t="s">
        <v>2463</v>
      </c>
      <c r="B922" s="8" t="s">
        <v>2703</v>
      </c>
      <c r="C922" s="9">
        <v>45838.610044201399</v>
      </c>
      <c r="D922" s="8" t="s">
        <v>2056</v>
      </c>
      <c r="E922" s="8" t="s">
        <v>2057</v>
      </c>
      <c r="F922" s="8">
        <v>4</v>
      </c>
      <c r="G922" s="22" t="s">
        <v>2251</v>
      </c>
      <c r="H922" s="8" t="s">
        <v>553</v>
      </c>
      <c r="I922" s="2" t="str">
        <f t="shared" si="27"/>
        <v>Dây điện SIK 2Cx0.75 HVCTFK</v>
      </c>
      <c r="J922" s="8" t="s">
        <v>549</v>
      </c>
      <c r="K922" s="10">
        <v>5</v>
      </c>
      <c r="L922" s="10">
        <v>2302300</v>
      </c>
      <c r="M922" s="11">
        <v>11511500</v>
      </c>
      <c r="N922" s="8" t="s">
        <v>30</v>
      </c>
      <c r="O922" s="8" t="s">
        <v>17</v>
      </c>
      <c r="P922" s="8" t="s">
        <v>18</v>
      </c>
      <c r="Q922" s="8" t="s">
        <v>18</v>
      </c>
      <c r="R922" s="8" t="s">
        <v>2115</v>
      </c>
      <c r="S922" s="8" t="s">
        <v>2465</v>
      </c>
      <c r="T922" s="8" t="s">
        <v>2466</v>
      </c>
      <c r="U922" s="8" t="s">
        <v>2702</v>
      </c>
      <c r="V922" s="8" t="s">
        <v>828</v>
      </c>
      <c r="W922" s="8">
        <f t="shared" si="26"/>
        <v>2</v>
      </c>
      <c r="X922" s="8">
        <f>K922*L922*N922</f>
        <v>1151150</v>
      </c>
    </row>
    <row r="923" spans="1:24" s="8" customFormat="1" ht="41.5" customHeight="1">
      <c r="A923" s="8" t="s">
        <v>2463</v>
      </c>
      <c r="B923" s="8" t="s">
        <v>2703</v>
      </c>
      <c r="C923" s="9">
        <v>45838.610044201399</v>
      </c>
      <c r="D923" s="8" t="s">
        <v>2056</v>
      </c>
      <c r="E923" s="8" t="s">
        <v>2057</v>
      </c>
      <c r="F923" s="8">
        <v>5</v>
      </c>
      <c r="G923" s="22" t="s">
        <v>1435</v>
      </c>
      <c r="H923" s="8" t="s">
        <v>554</v>
      </c>
      <c r="I923" s="2" t="str">
        <f t="shared" si="27"/>
        <v>Dây điện 2x1.5</v>
      </c>
      <c r="J923" s="8" t="s">
        <v>549</v>
      </c>
      <c r="K923" s="10">
        <v>5</v>
      </c>
      <c r="L923" s="10">
        <v>4104100</v>
      </c>
      <c r="M923" s="11">
        <v>20520500</v>
      </c>
      <c r="N923" s="8" t="s">
        <v>30</v>
      </c>
      <c r="O923" s="8" t="s">
        <v>17</v>
      </c>
      <c r="P923" s="8" t="s">
        <v>18</v>
      </c>
      <c r="Q923" s="8" t="s">
        <v>18</v>
      </c>
      <c r="R923" s="8" t="s">
        <v>2115</v>
      </c>
      <c r="S923" s="8" t="s">
        <v>2465</v>
      </c>
      <c r="T923" s="8" t="s">
        <v>2466</v>
      </c>
      <c r="U923" s="8" t="s">
        <v>2702</v>
      </c>
      <c r="V923" s="8" t="s">
        <v>828</v>
      </c>
      <c r="W923" s="8">
        <f t="shared" si="26"/>
        <v>2</v>
      </c>
      <c r="X923" s="8">
        <f>K923*L923*N923</f>
        <v>2052050</v>
      </c>
    </row>
    <row r="924" spans="1:24" s="8" customFormat="1" ht="41.5" customHeight="1">
      <c r="A924" s="8" t="s">
        <v>2463</v>
      </c>
      <c r="B924" s="8" t="s">
        <v>2703</v>
      </c>
      <c r="C924" s="9">
        <v>45838.610044201399</v>
      </c>
      <c r="D924" s="8" t="s">
        <v>2056</v>
      </c>
      <c r="E924" s="8" t="s">
        <v>2057</v>
      </c>
      <c r="F924" s="8">
        <v>6</v>
      </c>
      <c r="G924" s="22" t="s">
        <v>1327</v>
      </c>
      <c r="H924" s="8" t="s">
        <v>555</v>
      </c>
      <c r="I924" s="2" t="str">
        <f t="shared" si="27"/>
        <v>Dây điện SIK 2Cx2.5 HVCTFK</v>
      </c>
      <c r="J924" s="8" t="s">
        <v>549</v>
      </c>
      <c r="K924" s="10">
        <v>5</v>
      </c>
      <c r="L924" s="10">
        <v>6506500</v>
      </c>
      <c r="M924" s="11">
        <v>32532500</v>
      </c>
      <c r="N924" s="8" t="s">
        <v>30</v>
      </c>
      <c r="O924" s="8" t="s">
        <v>17</v>
      </c>
      <c r="P924" s="8" t="s">
        <v>18</v>
      </c>
      <c r="Q924" s="8" t="s">
        <v>18</v>
      </c>
      <c r="R924" s="8" t="s">
        <v>2115</v>
      </c>
      <c r="S924" s="8" t="s">
        <v>2465</v>
      </c>
      <c r="T924" s="8" t="s">
        <v>2466</v>
      </c>
      <c r="U924" s="8" t="s">
        <v>2702</v>
      </c>
      <c r="V924" s="8" t="s">
        <v>828</v>
      </c>
      <c r="W924" s="8">
        <f t="shared" si="26"/>
        <v>2</v>
      </c>
      <c r="X924" s="8">
        <f>K924*L924*N924</f>
        <v>3253250</v>
      </c>
    </row>
    <row r="925" spans="1:24" s="8" customFormat="1" ht="41.5" customHeight="1">
      <c r="A925" s="8" t="s">
        <v>2463</v>
      </c>
      <c r="B925" s="8" t="s">
        <v>2703</v>
      </c>
      <c r="C925" s="9">
        <v>45838.610044201399</v>
      </c>
      <c r="D925" s="8" t="s">
        <v>2056</v>
      </c>
      <c r="E925" s="8" t="s">
        <v>2057</v>
      </c>
      <c r="F925" s="8">
        <v>7</v>
      </c>
      <c r="G925" s="22" t="s">
        <v>1595</v>
      </c>
      <c r="H925" s="8" t="s">
        <v>831</v>
      </c>
      <c r="I925" s="2" t="str">
        <f t="shared" si="27"/>
        <v>Dây điện SIK 2Cx4.0 HVCTFK</v>
      </c>
      <c r="J925" s="8" t="s">
        <v>549</v>
      </c>
      <c r="K925" s="10">
        <v>2</v>
      </c>
      <c r="L925" s="10">
        <v>10210200</v>
      </c>
      <c r="M925" s="11">
        <v>20420400</v>
      </c>
      <c r="N925" s="8" t="s">
        <v>30</v>
      </c>
      <c r="O925" s="8" t="s">
        <v>17</v>
      </c>
      <c r="P925" s="8" t="s">
        <v>18</v>
      </c>
      <c r="Q925" s="8" t="s">
        <v>18</v>
      </c>
      <c r="R925" s="8" t="s">
        <v>2115</v>
      </c>
      <c r="S925" s="8" t="s">
        <v>2465</v>
      </c>
      <c r="T925" s="8" t="s">
        <v>2466</v>
      </c>
      <c r="U925" s="8" t="s">
        <v>2702</v>
      </c>
      <c r="V925" s="8" t="s">
        <v>828</v>
      </c>
      <c r="W925" s="8">
        <f t="shared" ref="W925:W988" si="28">ROUNDUP(MONTH(V925)/3,0)</f>
        <v>2</v>
      </c>
      <c r="X925" s="8">
        <f>K925*L925*N925</f>
        <v>2042040</v>
      </c>
    </row>
    <row r="926" spans="1:24" s="8" customFormat="1" ht="41.5" customHeight="1">
      <c r="A926" s="8" t="s">
        <v>2704</v>
      </c>
      <c r="B926" s="8" t="s">
        <v>2705</v>
      </c>
      <c r="C926" s="9">
        <v>45834.622966909701</v>
      </c>
      <c r="D926" s="8" t="s">
        <v>2056</v>
      </c>
      <c r="E926" s="8" t="s">
        <v>2057</v>
      </c>
      <c r="F926" s="8">
        <v>1</v>
      </c>
      <c r="G926" s="22" t="s">
        <v>832</v>
      </c>
      <c r="H926" s="8" t="s">
        <v>832</v>
      </c>
      <c r="I926" s="2" t="str">
        <f t="shared" si="27"/>
        <v>Que hàn sắt Kim Tín KT421 D3.2 20kg/thùng</v>
      </c>
      <c r="J926" s="8" t="s">
        <v>833</v>
      </c>
      <c r="K926" s="10">
        <v>500</v>
      </c>
      <c r="L926" s="10">
        <v>23000</v>
      </c>
      <c r="M926" s="11">
        <v>11500000</v>
      </c>
      <c r="N926" s="8" t="s">
        <v>30</v>
      </c>
      <c r="O926" s="8" t="s">
        <v>17</v>
      </c>
      <c r="P926" s="8" t="s">
        <v>18</v>
      </c>
      <c r="Q926" s="8" t="s">
        <v>18</v>
      </c>
      <c r="R926" s="8" t="s">
        <v>2145</v>
      </c>
      <c r="S926" s="8" t="s">
        <v>2257</v>
      </c>
      <c r="T926" s="8" t="s">
        <v>2258</v>
      </c>
      <c r="U926" s="8" t="s">
        <v>2706</v>
      </c>
      <c r="V926" s="8" t="s">
        <v>834</v>
      </c>
      <c r="W926" s="8">
        <f t="shared" si="28"/>
        <v>2</v>
      </c>
      <c r="X926" s="8">
        <f>K926*L926*N926</f>
        <v>1150000</v>
      </c>
    </row>
    <row r="927" spans="1:24" s="8" customFormat="1" ht="41.5" customHeight="1">
      <c r="A927" s="8" t="s">
        <v>2704</v>
      </c>
      <c r="B927" s="8" t="s">
        <v>2705</v>
      </c>
      <c r="C927" s="9">
        <v>45834.622966909701</v>
      </c>
      <c r="D927" s="8" t="s">
        <v>2056</v>
      </c>
      <c r="E927" s="8" t="s">
        <v>2057</v>
      </c>
      <c r="F927" s="8">
        <v>2</v>
      </c>
      <c r="G927" s="22" t="s">
        <v>776</v>
      </c>
      <c r="H927" s="8" t="s">
        <v>776</v>
      </c>
      <c r="I927" s="2" t="str">
        <f t="shared" si="27"/>
        <v>Que hàn sắt Kim Tín KT421 D2.5 20kg/thùng</v>
      </c>
      <c r="J927" s="8" t="s">
        <v>833</v>
      </c>
      <c r="K927" s="10">
        <v>1500</v>
      </c>
      <c r="L927" s="10">
        <v>24500</v>
      </c>
      <c r="M927" s="11">
        <v>36750000</v>
      </c>
      <c r="N927" s="8" t="s">
        <v>30</v>
      </c>
      <c r="O927" s="8" t="s">
        <v>17</v>
      </c>
      <c r="P927" s="8" t="s">
        <v>18</v>
      </c>
      <c r="Q927" s="8" t="s">
        <v>18</v>
      </c>
      <c r="R927" s="8" t="s">
        <v>2145</v>
      </c>
      <c r="S927" s="8" t="s">
        <v>2257</v>
      </c>
      <c r="T927" s="8" t="s">
        <v>2258</v>
      </c>
      <c r="U927" s="8" t="s">
        <v>2706</v>
      </c>
      <c r="V927" s="8" t="s">
        <v>834</v>
      </c>
      <c r="W927" s="8">
        <f t="shared" si="28"/>
        <v>2</v>
      </c>
      <c r="X927" s="8">
        <f>K927*L927*N927</f>
        <v>3675000</v>
      </c>
    </row>
    <row r="928" spans="1:24" s="8" customFormat="1" ht="41.5" customHeight="1">
      <c r="A928" s="8" t="s">
        <v>2704</v>
      </c>
      <c r="B928" s="8" t="s">
        <v>2705</v>
      </c>
      <c r="C928" s="9">
        <v>45834.622966909701</v>
      </c>
      <c r="D928" s="8" t="s">
        <v>2056</v>
      </c>
      <c r="E928" s="8" t="s">
        <v>2057</v>
      </c>
      <c r="F928" s="8">
        <v>3</v>
      </c>
      <c r="G928" s="22" t="s">
        <v>835</v>
      </c>
      <c r="H928" s="8" t="s">
        <v>835</v>
      </c>
      <c r="I928" s="2" t="str">
        <f t="shared" si="27"/>
        <v>Sơn xịt 400 ml TV 300</v>
      </c>
      <c r="J928" s="8" t="s">
        <v>55</v>
      </c>
      <c r="K928" s="10">
        <v>30</v>
      </c>
      <c r="L928" s="10">
        <v>315000</v>
      </c>
      <c r="M928" s="11">
        <v>9450000</v>
      </c>
      <c r="N928" s="8" t="s">
        <v>30</v>
      </c>
      <c r="O928" s="8" t="s">
        <v>17</v>
      </c>
      <c r="P928" s="8" t="s">
        <v>18</v>
      </c>
      <c r="Q928" s="8" t="s">
        <v>18</v>
      </c>
      <c r="R928" s="8" t="s">
        <v>2145</v>
      </c>
      <c r="S928" s="8" t="s">
        <v>2257</v>
      </c>
      <c r="T928" s="8" t="s">
        <v>2258</v>
      </c>
      <c r="U928" s="8" t="s">
        <v>2706</v>
      </c>
      <c r="V928" s="8" t="s">
        <v>834</v>
      </c>
      <c r="W928" s="8">
        <f t="shared" si="28"/>
        <v>2</v>
      </c>
      <c r="X928" s="8">
        <f>K928*L928*N928</f>
        <v>945000</v>
      </c>
    </row>
    <row r="929" spans="1:24" s="8" customFormat="1" ht="41.5" customHeight="1">
      <c r="A929" s="8" t="s">
        <v>2704</v>
      </c>
      <c r="B929" s="8" t="s">
        <v>2705</v>
      </c>
      <c r="C929" s="9">
        <v>45834.622966909701</v>
      </c>
      <c r="D929" s="8" t="s">
        <v>2056</v>
      </c>
      <c r="E929" s="8" t="s">
        <v>2057</v>
      </c>
      <c r="F929" s="8">
        <v>4</v>
      </c>
      <c r="G929" s="22" t="s">
        <v>836</v>
      </c>
      <c r="H929" s="8" t="s">
        <v>836</v>
      </c>
      <c r="I929" s="2" t="str">
        <f t="shared" si="27"/>
        <v>Sơn xịt 400 ml TV 200</v>
      </c>
      <c r="J929" s="8" t="s">
        <v>55</v>
      </c>
      <c r="K929" s="10">
        <v>20</v>
      </c>
      <c r="L929" s="10">
        <v>305000</v>
      </c>
      <c r="M929" s="11">
        <v>6100000</v>
      </c>
      <c r="N929" s="8" t="s">
        <v>30</v>
      </c>
      <c r="O929" s="8" t="s">
        <v>17</v>
      </c>
      <c r="P929" s="8" t="s">
        <v>18</v>
      </c>
      <c r="Q929" s="8" t="s">
        <v>18</v>
      </c>
      <c r="R929" s="8" t="s">
        <v>2145</v>
      </c>
      <c r="S929" s="8" t="s">
        <v>2257</v>
      </c>
      <c r="T929" s="8" t="s">
        <v>2258</v>
      </c>
      <c r="U929" s="8" t="s">
        <v>2706</v>
      </c>
      <c r="V929" s="8" t="s">
        <v>834</v>
      </c>
      <c r="W929" s="8">
        <f t="shared" si="28"/>
        <v>2</v>
      </c>
      <c r="X929" s="8">
        <f>K929*L929*N929</f>
        <v>610000</v>
      </c>
    </row>
    <row r="930" spans="1:24" s="8" customFormat="1" ht="41.5" customHeight="1">
      <c r="A930" s="8" t="s">
        <v>2704</v>
      </c>
      <c r="B930" s="8" t="s">
        <v>2705</v>
      </c>
      <c r="C930" s="9">
        <v>45834.622966909701</v>
      </c>
      <c r="D930" s="8" t="s">
        <v>2056</v>
      </c>
      <c r="E930" s="8" t="s">
        <v>2057</v>
      </c>
      <c r="F930" s="8">
        <v>5</v>
      </c>
      <c r="G930" s="22" t="s">
        <v>2707</v>
      </c>
      <c r="H930" s="8" t="s">
        <v>837</v>
      </c>
      <c r="I930" s="2" t="str">
        <f t="shared" si="27"/>
        <v>Sơn xịt 400 ml TV A210</v>
      </c>
      <c r="J930" s="8" t="s">
        <v>55</v>
      </c>
      <c r="K930" s="10">
        <v>20</v>
      </c>
      <c r="L930" s="10">
        <v>305000</v>
      </c>
      <c r="M930" s="11">
        <v>6100000</v>
      </c>
      <c r="N930" s="8" t="s">
        <v>30</v>
      </c>
      <c r="O930" s="8" t="s">
        <v>17</v>
      </c>
      <c r="P930" s="8" t="s">
        <v>18</v>
      </c>
      <c r="Q930" s="8" t="s">
        <v>18</v>
      </c>
      <c r="R930" s="8" t="s">
        <v>2145</v>
      </c>
      <c r="S930" s="8" t="s">
        <v>2257</v>
      </c>
      <c r="T930" s="8" t="s">
        <v>2258</v>
      </c>
      <c r="U930" s="8" t="s">
        <v>2706</v>
      </c>
      <c r="V930" s="8" t="s">
        <v>834</v>
      </c>
      <c r="W930" s="8">
        <f t="shared" si="28"/>
        <v>2</v>
      </c>
      <c r="X930" s="8">
        <f>K930*L930*N930</f>
        <v>610000</v>
      </c>
    </row>
    <row r="931" spans="1:24" s="8" customFormat="1" ht="41.5" customHeight="1">
      <c r="A931" s="8" t="s">
        <v>2704</v>
      </c>
      <c r="B931" s="8" t="s">
        <v>2705</v>
      </c>
      <c r="C931" s="9">
        <v>45834.622966909701</v>
      </c>
      <c r="D931" s="8" t="s">
        <v>2056</v>
      </c>
      <c r="E931" s="8" t="s">
        <v>2057</v>
      </c>
      <c r="F931" s="8">
        <v>6</v>
      </c>
      <c r="G931" s="22" t="s">
        <v>838</v>
      </c>
      <c r="H931" s="8" t="s">
        <v>838</v>
      </c>
      <c r="I931" s="2" t="str">
        <f t="shared" si="27"/>
        <v>Sơn xịt 400 ml TV A10</v>
      </c>
      <c r="J931" s="8" t="s">
        <v>55</v>
      </c>
      <c r="K931" s="10">
        <v>20</v>
      </c>
      <c r="L931" s="10">
        <v>305000</v>
      </c>
      <c r="M931" s="11">
        <v>6100000</v>
      </c>
      <c r="N931" s="8" t="s">
        <v>30</v>
      </c>
      <c r="O931" s="8" t="s">
        <v>17</v>
      </c>
      <c r="P931" s="8" t="s">
        <v>18</v>
      </c>
      <c r="Q931" s="8" t="s">
        <v>18</v>
      </c>
      <c r="R931" s="8" t="s">
        <v>2145</v>
      </c>
      <c r="S931" s="8" t="s">
        <v>2257</v>
      </c>
      <c r="T931" s="8" t="s">
        <v>2258</v>
      </c>
      <c r="U931" s="8" t="s">
        <v>2706</v>
      </c>
      <c r="V931" s="8" t="s">
        <v>834</v>
      </c>
      <c r="W931" s="8">
        <f t="shared" si="28"/>
        <v>2</v>
      </c>
      <c r="X931" s="8">
        <f>K931*L931*N931</f>
        <v>610000</v>
      </c>
    </row>
    <row r="932" spans="1:24" s="8" customFormat="1" ht="41.5" customHeight="1">
      <c r="A932" s="8" t="s">
        <v>2704</v>
      </c>
      <c r="B932" s="8" t="s">
        <v>2705</v>
      </c>
      <c r="C932" s="9">
        <v>45834.622966909701</v>
      </c>
      <c r="D932" s="8" t="s">
        <v>2056</v>
      </c>
      <c r="E932" s="8" t="s">
        <v>2057</v>
      </c>
      <c r="F932" s="8">
        <v>7</v>
      </c>
      <c r="G932" s="22" t="s">
        <v>839</v>
      </c>
      <c r="H932" s="8" t="s">
        <v>839</v>
      </c>
      <c r="I932" s="2" t="str">
        <f t="shared" si="27"/>
        <v>Chất tẩy sơn ATM 875ml</v>
      </c>
      <c r="J932" s="8" t="s">
        <v>55</v>
      </c>
      <c r="K932" s="10">
        <v>20</v>
      </c>
      <c r="L932" s="10">
        <v>930000</v>
      </c>
      <c r="M932" s="11">
        <v>18600000</v>
      </c>
      <c r="N932" s="8" t="s">
        <v>30</v>
      </c>
      <c r="O932" s="8" t="s">
        <v>17</v>
      </c>
      <c r="P932" s="8" t="s">
        <v>18</v>
      </c>
      <c r="Q932" s="8" t="s">
        <v>18</v>
      </c>
      <c r="R932" s="8" t="s">
        <v>2145</v>
      </c>
      <c r="S932" s="8" t="s">
        <v>2257</v>
      </c>
      <c r="T932" s="8" t="s">
        <v>2258</v>
      </c>
      <c r="U932" s="8" t="s">
        <v>2706</v>
      </c>
      <c r="V932" s="8" t="s">
        <v>834</v>
      </c>
      <c r="W932" s="8">
        <f t="shared" si="28"/>
        <v>2</v>
      </c>
      <c r="X932" s="8">
        <f>K932*L932*N932</f>
        <v>1860000</v>
      </c>
    </row>
    <row r="933" spans="1:24" s="8" customFormat="1" ht="41.5" customHeight="1">
      <c r="A933" s="8" t="s">
        <v>2704</v>
      </c>
      <c r="B933" s="8" t="s">
        <v>2094</v>
      </c>
      <c r="C933" s="9">
        <v>45834.622168807902</v>
      </c>
      <c r="D933" s="8" t="s">
        <v>2056</v>
      </c>
      <c r="E933" s="8" t="s">
        <v>2057</v>
      </c>
      <c r="F933" s="8">
        <v>1</v>
      </c>
      <c r="G933" s="22" t="s">
        <v>1350</v>
      </c>
      <c r="H933" s="8" t="s">
        <v>840</v>
      </c>
      <c r="I933" s="2" t="str">
        <f t="shared" si="27"/>
        <v>Đá cắt 355.32.5, 4 xanh</v>
      </c>
      <c r="J933" s="8" t="s">
        <v>99</v>
      </c>
      <c r="K933" s="10">
        <v>500</v>
      </c>
      <c r="L933" s="10">
        <v>25000</v>
      </c>
      <c r="M933" s="11">
        <v>12500000</v>
      </c>
      <c r="N933" s="8" t="s">
        <v>16</v>
      </c>
      <c r="O933" s="8" t="s">
        <v>17</v>
      </c>
      <c r="P933" s="8" t="s">
        <v>18</v>
      </c>
      <c r="Q933" s="8" t="s">
        <v>18</v>
      </c>
      <c r="R933" s="8" t="s">
        <v>2145</v>
      </c>
      <c r="S933" s="8" t="s">
        <v>2257</v>
      </c>
      <c r="T933" s="8" t="s">
        <v>2258</v>
      </c>
      <c r="U933" s="8" t="s">
        <v>2706</v>
      </c>
      <c r="V933" s="8" t="s">
        <v>834</v>
      </c>
      <c r="W933" s="8">
        <f t="shared" si="28"/>
        <v>2</v>
      </c>
      <c r="X933" s="8">
        <f>K933*L933*N933</f>
        <v>1000000</v>
      </c>
    </row>
    <row r="934" spans="1:24" s="8" customFormat="1" ht="41.5" customHeight="1">
      <c r="A934" s="8" t="s">
        <v>2704</v>
      </c>
      <c r="B934" s="8" t="s">
        <v>2094</v>
      </c>
      <c r="C934" s="9">
        <v>45834.622168807902</v>
      </c>
      <c r="D934" s="8" t="s">
        <v>2056</v>
      </c>
      <c r="E934" s="8" t="s">
        <v>2057</v>
      </c>
      <c r="F934" s="8">
        <v>2</v>
      </c>
      <c r="G934" s="22" t="s">
        <v>841</v>
      </c>
      <c r="H934" s="8" t="s">
        <v>841</v>
      </c>
      <c r="I934" s="2" t="str">
        <f t="shared" si="27"/>
        <v>Đá mài Cn 60 TB1 v3 125.8.16</v>
      </c>
      <c r="J934" s="8" t="s">
        <v>99</v>
      </c>
      <c r="K934" s="10">
        <v>500</v>
      </c>
      <c r="L934" s="10">
        <v>8200</v>
      </c>
      <c r="M934" s="11">
        <v>4100000</v>
      </c>
      <c r="N934" s="8" t="s">
        <v>16</v>
      </c>
      <c r="O934" s="8" t="s">
        <v>17</v>
      </c>
      <c r="P934" s="8" t="s">
        <v>18</v>
      </c>
      <c r="Q934" s="8" t="s">
        <v>18</v>
      </c>
      <c r="R934" s="8" t="s">
        <v>2145</v>
      </c>
      <c r="S934" s="8" t="s">
        <v>2257</v>
      </c>
      <c r="T934" s="8" t="s">
        <v>2258</v>
      </c>
      <c r="U934" s="8" t="s">
        <v>2706</v>
      </c>
      <c r="V934" s="8" t="s">
        <v>834</v>
      </c>
      <c r="W934" s="8">
        <f t="shared" si="28"/>
        <v>2</v>
      </c>
      <c r="X934" s="8">
        <f>K934*L934*N934</f>
        <v>328000</v>
      </c>
    </row>
    <row r="935" spans="1:24" s="8" customFormat="1" ht="41.5" customHeight="1">
      <c r="A935" s="8" t="s">
        <v>2704</v>
      </c>
      <c r="B935" s="8" t="s">
        <v>2094</v>
      </c>
      <c r="C935" s="9">
        <v>45834.622168807902</v>
      </c>
      <c r="D935" s="8" t="s">
        <v>2056</v>
      </c>
      <c r="E935" s="8" t="s">
        <v>2057</v>
      </c>
      <c r="F935" s="8">
        <v>3</v>
      </c>
      <c r="G935" s="22" t="s">
        <v>842</v>
      </c>
      <c r="H935" s="8" t="s">
        <v>842</v>
      </c>
      <c r="I935" s="2" t="str">
        <f t="shared" si="27"/>
        <v>Đá mài ba via Cn 125.6.22</v>
      </c>
      <c r="J935" s="8" t="s">
        <v>99</v>
      </c>
      <c r="K935" s="10">
        <v>150</v>
      </c>
      <c r="L935" s="10">
        <v>13000</v>
      </c>
      <c r="M935" s="11">
        <v>1950000</v>
      </c>
      <c r="N935" s="8" t="s">
        <v>16</v>
      </c>
      <c r="O935" s="8" t="s">
        <v>17</v>
      </c>
      <c r="P935" s="8" t="s">
        <v>18</v>
      </c>
      <c r="Q935" s="8" t="s">
        <v>18</v>
      </c>
      <c r="R935" s="8" t="s">
        <v>2145</v>
      </c>
      <c r="S935" s="8" t="s">
        <v>2257</v>
      </c>
      <c r="T935" s="8" t="s">
        <v>2258</v>
      </c>
      <c r="U935" s="8" t="s">
        <v>2706</v>
      </c>
      <c r="V935" s="8" t="s">
        <v>834</v>
      </c>
      <c r="W935" s="8">
        <f t="shared" si="28"/>
        <v>2</v>
      </c>
      <c r="X935" s="8">
        <f>K935*L935*N935</f>
        <v>156000</v>
      </c>
    </row>
    <row r="936" spans="1:24" s="8" customFormat="1" ht="41.5" customHeight="1">
      <c r="A936" s="8" t="s">
        <v>2704</v>
      </c>
      <c r="B936" s="8" t="s">
        <v>2094</v>
      </c>
      <c r="C936" s="9">
        <v>45834.622168807902</v>
      </c>
      <c r="D936" s="8" t="s">
        <v>2056</v>
      </c>
      <c r="E936" s="8" t="s">
        <v>2057</v>
      </c>
      <c r="F936" s="8">
        <v>4</v>
      </c>
      <c r="G936" s="22" t="s">
        <v>843</v>
      </c>
      <c r="H936" s="8" t="s">
        <v>843</v>
      </c>
      <c r="I936" s="2" t="str">
        <f t="shared" si="27"/>
        <v>Đá mài Cn 60 TB1 v3 150.8.32</v>
      </c>
      <c r="J936" s="8" t="s">
        <v>99</v>
      </c>
      <c r="K936" s="10">
        <v>75</v>
      </c>
      <c r="L936" s="10">
        <v>18000</v>
      </c>
      <c r="M936" s="11">
        <v>1350000</v>
      </c>
      <c r="N936" s="8" t="s">
        <v>16</v>
      </c>
      <c r="O936" s="8" t="s">
        <v>17</v>
      </c>
      <c r="P936" s="8" t="s">
        <v>18</v>
      </c>
      <c r="Q936" s="8" t="s">
        <v>18</v>
      </c>
      <c r="R936" s="8" t="s">
        <v>2145</v>
      </c>
      <c r="S936" s="8" t="s">
        <v>2257</v>
      </c>
      <c r="T936" s="8" t="s">
        <v>2258</v>
      </c>
      <c r="U936" s="8" t="s">
        <v>2706</v>
      </c>
      <c r="V936" s="8" t="s">
        <v>834</v>
      </c>
      <c r="W936" s="8">
        <f t="shared" si="28"/>
        <v>2</v>
      </c>
      <c r="X936" s="8">
        <f>K936*L936*N936</f>
        <v>108000</v>
      </c>
    </row>
    <row r="937" spans="1:24" s="8" customFormat="1" ht="41.5" customHeight="1">
      <c r="A937" s="8" t="s">
        <v>2704</v>
      </c>
      <c r="B937" s="8" t="s">
        <v>2094</v>
      </c>
      <c r="C937" s="9">
        <v>45834.622168807902</v>
      </c>
      <c r="D937" s="8" t="s">
        <v>2056</v>
      </c>
      <c r="E937" s="8" t="s">
        <v>2057</v>
      </c>
      <c r="F937" s="8">
        <v>5</v>
      </c>
      <c r="G937" s="22" t="s">
        <v>1493</v>
      </c>
      <c r="H937" s="8" t="s">
        <v>844</v>
      </c>
      <c r="I937" s="2" t="str">
        <f t="shared" si="27"/>
        <v>Đá mài Cn 100 MV1/M3 200.100.50</v>
      </c>
      <c r="J937" s="8" t="s">
        <v>99</v>
      </c>
      <c r="K937" s="10">
        <v>60</v>
      </c>
      <c r="L937" s="10">
        <v>55000</v>
      </c>
      <c r="M937" s="11">
        <v>3300000</v>
      </c>
      <c r="N937" s="8" t="s">
        <v>16</v>
      </c>
      <c r="O937" s="8" t="s">
        <v>17</v>
      </c>
      <c r="P937" s="8" t="s">
        <v>18</v>
      </c>
      <c r="Q937" s="8" t="s">
        <v>18</v>
      </c>
      <c r="R937" s="8" t="s">
        <v>2145</v>
      </c>
      <c r="S937" s="8" t="s">
        <v>2257</v>
      </c>
      <c r="T937" s="8" t="s">
        <v>2258</v>
      </c>
      <c r="U937" s="8" t="s">
        <v>2706</v>
      </c>
      <c r="V937" s="8" t="s">
        <v>834</v>
      </c>
      <c r="W937" s="8">
        <f t="shared" si="28"/>
        <v>2</v>
      </c>
      <c r="X937" s="8">
        <f>K937*L937*N937</f>
        <v>264000</v>
      </c>
    </row>
    <row r="938" spans="1:24" s="8" customFormat="1" ht="41.5" customHeight="1">
      <c r="A938" s="8" t="s">
        <v>2281</v>
      </c>
      <c r="B938" s="8" t="s">
        <v>2708</v>
      </c>
      <c r="C938" s="9">
        <v>45836.811664178204</v>
      </c>
      <c r="D938" s="8" t="s">
        <v>2056</v>
      </c>
      <c r="E938" s="8" t="s">
        <v>2057</v>
      </c>
      <c r="F938" s="8">
        <v>1</v>
      </c>
      <c r="G938" s="22" t="s">
        <v>24</v>
      </c>
      <c r="H938" s="8" t="s">
        <v>24</v>
      </c>
      <c r="I938" s="2" t="str">
        <f t="shared" si="27"/>
        <v>Găng tay sợi phủ lòng cao su</v>
      </c>
      <c r="J938" s="8" t="s">
        <v>22</v>
      </c>
      <c r="K938" s="10">
        <v>1500</v>
      </c>
      <c r="L938" s="10">
        <v>2400</v>
      </c>
      <c r="M938" s="11">
        <v>3600000</v>
      </c>
      <c r="N938" s="8" t="s">
        <v>16</v>
      </c>
      <c r="O938" s="8" t="s">
        <v>17</v>
      </c>
      <c r="P938" s="8" t="s">
        <v>18</v>
      </c>
      <c r="Q938" s="8" t="s">
        <v>18</v>
      </c>
      <c r="R938" s="8" t="s">
        <v>2283</v>
      </c>
      <c r="S938" s="8" t="s">
        <v>2058</v>
      </c>
      <c r="T938" s="8" t="s">
        <v>2059</v>
      </c>
      <c r="U938" s="8" t="s">
        <v>2709</v>
      </c>
      <c r="V938" s="8" t="s">
        <v>845</v>
      </c>
      <c r="W938" s="8">
        <f t="shared" si="28"/>
        <v>2</v>
      </c>
      <c r="X938" s="8">
        <f>K938*L938*N938</f>
        <v>288000</v>
      </c>
    </row>
    <row r="939" spans="1:24" s="8" customFormat="1" ht="41.5" customHeight="1">
      <c r="A939" s="8" t="s">
        <v>2280</v>
      </c>
      <c r="B939" s="8" t="s">
        <v>846</v>
      </c>
      <c r="C939" s="9">
        <v>45822.321160208303</v>
      </c>
      <c r="D939" s="8" t="s">
        <v>2056</v>
      </c>
      <c r="E939" s="8" t="s">
        <v>2057</v>
      </c>
      <c r="F939" s="8">
        <v>1</v>
      </c>
      <c r="G939" s="22" t="s">
        <v>847</v>
      </c>
      <c r="H939" s="8" t="s">
        <v>847</v>
      </c>
      <c r="I939" s="2" t="str">
        <f t="shared" si="27"/>
        <v>Đá cắt dạng hình tròn, kích thước 107*1.2mm</v>
      </c>
      <c r="J939" s="8" t="s">
        <v>99</v>
      </c>
      <c r="K939" s="10">
        <v>15000</v>
      </c>
      <c r="L939" s="10">
        <v>650</v>
      </c>
      <c r="M939" s="11">
        <v>9750000</v>
      </c>
      <c r="N939" s="8" t="s">
        <v>16</v>
      </c>
      <c r="O939" s="8" t="s">
        <v>17</v>
      </c>
      <c r="P939" s="8" t="s">
        <v>18</v>
      </c>
      <c r="Q939" s="8" t="s">
        <v>18</v>
      </c>
      <c r="R939" s="8" t="s">
        <v>2110</v>
      </c>
      <c r="S939" s="8" t="s">
        <v>2292</v>
      </c>
      <c r="T939" s="8" t="s">
        <v>2293</v>
      </c>
      <c r="U939" s="8" t="s">
        <v>2710</v>
      </c>
      <c r="V939" s="8" t="s">
        <v>848</v>
      </c>
      <c r="W939" s="8">
        <f t="shared" si="28"/>
        <v>2</v>
      </c>
      <c r="X939" s="8">
        <f>K939*L939*N939</f>
        <v>780000</v>
      </c>
    </row>
    <row r="940" spans="1:24" s="8" customFormat="1" ht="41.5" customHeight="1">
      <c r="A940" s="8" t="s">
        <v>2280</v>
      </c>
      <c r="B940" s="8" t="s">
        <v>846</v>
      </c>
      <c r="C940" s="9">
        <v>45822.321160208303</v>
      </c>
      <c r="D940" s="8" t="s">
        <v>2056</v>
      </c>
      <c r="E940" s="8" t="s">
        <v>2057</v>
      </c>
      <c r="F940" s="8">
        <v>2</v>
      </c>
      <c r="G940" s="22" t="s">
        <v>849</v>
      </c>
      <c r="H940" s="8" t="s">
        <v>849</v>
      </c>
      <c r="I940" s="2" t="str">
        <f t="shared" si="27"/>
        <v>Đá cắt dạng hình tròn, kích thước 355*2.5mm</v>
      </c>
      <c r="J940" s="8" t="s">
        <v>99</v>
      </c>
      <c r="K940" s="10">
        <v>600</v>
      </c>
      <c r="L940" s="10">
        <v>7000</v>
      </c>
      <c r="M940" s="11">
        <v>4200000</v>
      </c>
      <c r="N940" s="8" t="s">
        <v>16</v>
      </c>
      <c r="O940" s="8" t="s">
        <v>17</v>
      </c>
      <c r="P940" s="8" t="s">
        <v>18</v>
      </c>
      <c r="Q940" s="8" t="s">
        <v>18</v>
      </c>
      <c r="R940" s="8" t="s">
        <v>2110</v>
      </c>
      <c r="S940" s="8" t="s">
        <v>2292</v>
      </c>
      <c r="T940" s="8" t="s">
        <v>2293</v>
      </c>
      <c r="U940" s="8" t="s">
        <v>2710</v>
      </c>
      <c r="V940" s="8" t="s">
        <v>848</v>
      </c>
      <c r="W940" s="8">
        <f t="shared" si="28"/>
        <v>2</v>
      </c>
      <c r="X940" s="8">
        <f>K940*L940*N940</f>
        <v>336000</v>
      </c>
    </row>
    <row r="941" spans="1:24" s="8" customFormat="1" ht="41.5" customHeight="1">
      <c r="A941" s="8" t="s">
        <v>2280</v>
      </c>
      <c r="B941" s="8" t="s">
        <v>846</v>
      </c>
      <c r="C941" s="9">
        <v>45822.321160208303</v>
      </c>
      <c r="D941" s="8" t="s">
        <v>2056</v>
      </c>
      <c r="E941" s="8" t="s">
        <v>2057</v>
      </c>
      <c r="F941" s="8">
        <v>3</v>
      </c>
      <c r="G941" s="22" t="s">
        <v>1264</v>
      </c>
      <c r="H941" s="8" t="s">
        <v>850</v>
      </c>
      <c r="I941" s="2" t="str">
        <f t="shared" si="27"/>
        <v>Đá mài dạng hình tròn, kích thước 100*6mm</v>
      </c>
      <c r="J941" s="8" t="s">
        <v>99</v>
      </c>
      <c r="K941" s="10">
        <v>3000</v>
      </c>
      <c r="L941" s="10">
        <v>1700</v>
      </c>
      <c r="M941" s="11">
        <v>5100000</v>
      </c>
      <c r="N941" s="8" t="s">
        <v>16</v>
      </c>
      <c r="O941" s="8" t="s">
        <v>17</v>
      </c>
      <c r="P941" s="8" t="s">
        <v>18</v>
      </c>
      <c r="Q941" s="8" t="s">
        <v>18</v>
      </c>
      <c r="R941" s="8" t="s">
        <v>2110</v>
      </c>
      <c r="S941" s="8" t="s">
        <v>2292</v>
      </c>
      <c r="T941" s="8" t="s">
        <v>2293</v>
      </c>
      <c r="U941" s="8" t="s">
        <v>2710</v>
      </c>
      <c r="V941" s="8" t="s">
        <v>848</v>
      </c>
      <c r="W941" s="8">
        <f t="shared" si="28"/>
        <v>2</v>
      </c>
      <c r="X941" s="8">
        <f>K941*L941*N941</f>
        <v>408000</v>
      </c>
    </row>
    <row r="942" spans="1:24" s="17" customFormat="1" ht="41.5" customHeight="1">
      <c r="A942" s="17" t="s">
        <v>2280</v>
      </c>
      <c r="B942" s="17" t="s">
        <v>442</v>
      </c>
      <c r="C942" s="18">
        <v>45822.320783113399</v>
      </c>
      <c r="D942" s="17" t="s">
        <v>2056</v>
      </c>
      <c r="E942" s="17" t="s">
        <v>2057</v>
      </c>
      <c r="F942" s="17">
        <v>1</v>
      </c>
      <c r="G942" s="19" t="s">
        <v>777</v>
      </c>
      <c r="H942" s="17" t="s">
        <v>2711</v>
      </c>
      <c r="I942" s="2" t="str">
        <f t="shared" si="27"/>
        <v>Cọ lăn Việt Mỹ Nano 9in (lông sợi)</v>
      </c>
      <c r="J942" s="17" t="s">
        <v>130</v>
      </c>
      <c r="K942" s="20">
        <v>700</v>
      </c>
      <c r="L942" s="20">
        <v>12800</v>
      </c>
      <c r="M942" s="21">
        <v>8960000</v>
      </c>
      <c r="N942" s="8" t="s">
        <v>16</v>
      </c>
      <c r="O942" s="17" t="s">
        <v>2425</v>
      </c>
      <c r="P942" s="17" t="s">
        <v>18</v>
      </c>
      <c r="Q942" s="17" t="s">
        <v>18</v>
      </c>
      <c r="R942" s="17" t="s">
        <v>2110</v>
      </c>
      <c r="S942" s="17" t="s">
        <v>2292</v>
      </c>
      <c r="T942" s="17" t="s">
        <v>2293</v>
      </c>
      <c r="U942" s="17" t="s">
        <v>2710</v>
      </c>
      <c r="V942" s="17" t="s">
        <v>848</v>
      </c>
      <c r="W942" s="17">
        <f t="shared" si="28"/>
        <v>2</v>
      </c>
      <c r="X942" s="8">
        <f>K942*L942*N942</f>
        <v>716800</v>
      </c>
    </row>
    <row r="943" spans="1:24" s="17" customFormat="1" ht="41.5" customHeight="1">
      <c r="A943" s="17" t="s">
        <v>2280</v>
      </c>
      <c r="B943" s="17" t="s">
        <v>442</v>
      </c>
      <c r="C943" s="18">
        <v>45822.320783113399</v>
      </c>
      <c r="D943" s="17" t="s">
        <v>2056</v>
      </c>
      <c r="E943" s="17" t="s">
        <v>2057</v>
      </c>
      <c r="F943" s="17">
        <v>2</v>
      </c>
      <c r="G943" s="22" t="s">
        <v>644</v>
      </c>
      <c r="H943" s="17" t="s">
        <v>644</v>
      </c>
      <c r="I943" s="2" t="str">
        <f t="shared" si="27"/>
        <v>TCA52 - Cọ lăn Đông Nam Á Epoxy 2T5</v>
      </c>
      <c r="J943" s="17" t="s">
        <v>130</v>
      </c>
      <c r="K943" s="20">
        <v>300</v>
      </c>
      <c r="L943" s="20">
        <v>26500</v>
      </c>
      <c r="M943" s="21">
        <v>7950000</v>
      </c>
      <c r="N943" s="8" t="s">
        <v>16</v>
      </c>
      <c r="O943" s="17" t="s">
        <v>2425</v>
      </c>
      <c r="P943" s="17" t="s">
        <v>18</v>
      </c>
      <c r="Q943" s="17" t="s">
        <v>18</v>
      </c>
      <c r="R943" s="17" t="s">
        <v>2110</v>
      </c>
      <c r="S943" s="17" t="s">
        <v>2292</v>
      </c>
      <c r="T943" s="17" t="s">
        <v>2293</v>
      </c>
      <c r="U943" s="17" t="s">
        <v>2710</v>
      </c>
      <c r="V943" s="17" t="s">
        <v>848</v>
      </c>
      <c r="W943" s="17">
        <f t="shared" si="28"/>
        <v>2</v>
      </c>
      <c r="X943" s="8">
        <f>K943*L943*N943</f>
        <v>636000</v>
      </c>
    </row>
    <row r="944" spans="1:24" s="17" customFormat="1" ht="41.5" customHeight="1">
      <c r="A944" s="17" t="s">
        <v>2280</v>
      </c>
      <c r="B944" s="17" t="s">
        <v>442</v>
      </c>
      <c r="C944" s="18">
        <v>45822.320783113399</v>
      </c>
      <c r="D944" s="17" t="s">
        <v>2056</v>
      </c>
      <c r="E944" s="17" t="s">
        <v>2057</v>
      </c>
      <c r="F944" s="17">
        <v>3</v>
      </c>
      <c r="G944" s="19" t="s">
        <v>1335</v>
      </c>
      <c r="H944" s="17" t="s">
        <v>779</v>
      </c>
      <c r="I944" s="2" t="str">
        <f t="shared" si="27"/>
        <v>Cọ lăn chỉ minni 10cm</v>
      </c>
      <c r="J944" s="17" t="s">
        <v>130</v>
      </c>
      <c r="K944" s="20">
        <v>500</v>
      </c>
      <c r="L944" s="20">
        <v>5000</v>
      </c>
      <c r="M944" s="21">
        <v>2500000</v>
      </c>
      <c r="N944" s="8" t="s">
        <v>16</v>
      </c>
      <c r="O944" s="17" t="s">
        <v>2425</v>
      </c>
      <c r="P944" s="17" t="s">
        <v>18</v>
      </c>
      <c r="Q944" s="17" t="s">
        <v>18</v>
      </c>
      <c r="R944" s="17" t="s">
        <v>2110</v>
      </c>
      <c r="S944" s="17" t="s">
        <v>2292</v>
      </c>
      <c r="T944" s="17" t="s">
        <v>2293</v>
      </c>
      <c r="U944" s="17" t="s">
        <v>2710</v>
      </c>
      <c r="V944" s="17" t="s">
        <v>848</v>
      </c>
      <c r="W944" s="17">
        <f t="shared" si="28"/>
        <v>2</v>
      </c>
      <c r="X944" s="8">
        <f>K944*L944*N944</f>
        <v>200000</v>
      </c>
    </row>
    <row r="945" spans="1:24" s="17" customFormat="1" ht="41.5" customHeight="1">
      <c r="A945" s="17" t="s">
        <v>2280</v>
      </c>
      <c r="B945" s="17" t="s">
        <v>442</v>
      </c>
      <c r="C945" s="18">
        <v>45822.320783113399</v>
      </c>
      <c r="D945" s="17" t="s">
        <v>2056</v>
      </c>
      <c r="E945" s="17" t="s">
        <v>2057</v>
      </c>
      <c r="F945" s="17">
        <v>4</v>
      </c>
      <c r="G945" s="17" t="s">
        <v>14</v>
      </c>
      <c r="H945" s="17" t="s">
        <v>2712</v>
      </c>
      <c r="I945" s="2" t="str">
        <f t="shared" si="27"/>
        <v>Hàng hóa dịch vụ</v>
      </c>
      <c r="J945" s="17" t="s">
        <v>35</v>
      </c>
      <c r="K945" s="20">
        <v>400</v>
      </c>
      <c r="L945" s="20">
        <v>23500</v>
      </c>
      <c r="M945" s="21">
        <v>9400000</v>
      </c>
      <c r="N945" s="17" t="s">
        <v>30</v>
      </c>
      <c r="O945" s="17" t="s">
        <v>2425</v>
      </c>
      <c r="P945" s="17" t="s">
        <v>18</v>
      </c>
      <c r="Q945" s="17" t="s">
        <v>18</v>
      </c>
      <c r="R945" s="17" t="s">
        <v>2110</v>
      </c>
      <c r="S945" s="17" t="s">
        <v>2292</v>
      </c>
      <c r="T945" s="17" t="s">
        <v>2293</v>
      </c>
      <c r="U945" s="17" t="s">
        <v>2710</v>
      </c>
      <c r="V945" s="17" t="s">
        <v>848</v>
      </c>
      <c r="W945" s="17">
        <f t="shared" si="28"/>
        <v>2</v>
      </c>
      <c r="X945" s="8">
        <f>K945*L945*N945</f>
        <v>940000</v>
      </c>
    </row>
    <row r="946" spans="1:24" s="17" customFormat="1" ht="41.5" customHeight="1">
      <c r="A946" s="17" t="s">
        <v>2280</v>
      </c>
      <c r="B946" s="17" t="s">
        <v>442</v>
      </c>
      <c r="C946" s="18">
        <v>45822.320783113399</v>
      </c>
      <c r="D946" s="17" t="s">
        <v>2056</v>
      </c>
      <c r="E946" s="17" t="s">
        <v>2057</v>
      </c>
      <c r="F946" s="17">
        <v>5</v>
      </c>
      <c r="G946" s="17" t="s">
        <v>14</v>
      </c>
      <c r="H946" s="17" t="s">
        <v>261</v>
      </c>
      <c r="I946" s="2" t="str">
        <f t="shared" si="27"/>
        <v>Hàng hóa dịch vụ</v>
      </c>
      <c r="J946" s="17" t="s">
        <v>35</v>
      </c>
      <c r="K946" s="20">
        <v>2570</v>
      </c>
      <c r="L946" s="20">
        <v>19500</v>
      </c>
      <c r="M946" s="21">
        <v>50115000</v>
      </c>
      <c r="N946" s="17" t="s">
        <v>30</v>
      </c>
      <c r="O946" s="17" t="s">
        <v>2425</v>
      </c>
      <c r="P946" s="17" t="s">
        <v>18</v>
      </c>
      <c r="Q946" s="17" t="s">
        <v>18</v>
      </c>
      <c r="R946" s="17" t="s">
        <v>2110</v>
      </c>
      <c r="S946" s="17" t="s">
        <v>2292</v>
      </c>
      <c r="T946" s="17" t="s">
        <v>2293</v>
      </c>
      <c r="U946" s="17" t="s">
        <v>2710</v>
      </c>
      <c r="V946" s="17" t="s">
        <v>848</v>
      </c>
      <c r="W946" s="17">
        <f t="shared" si="28"/>
        <v>2</v>
      </c>
      <c r="X946" s="8">
        <f>K946*L946*N946</f>
        <v>5011500</v>
      </c>
    </row>
    <row r="947" spans="1:24" s="17" customFormat="1" ht="41.5" customHeight="1">
      <c r="A947" s="17" t="s">
        <v>2280</v>
      </c>
      <c r="B947" s="17" t="s">
        <v>442</v>
      </c>
      <c r="C947" s="18">
        <v>45822.320783113399</v>
      </c>
      <c r="D947" s="17" t="s">
        <v>2056</v>
      </c>
      <c r="E947" s="17" t="s">
        <v>2057</v>
      </c>
      <c r="F947" s="17">
        <v>6</v>
      </c>
      <c r="G947" s="22" t="s">
        <v>851</v>
      </c>
      <c r="H947" s="17" t="s">
        <v>851</v>
      </c>
      <c r="I947" s="2" t="str">
        <f t="shared" si="27"/>
        <v>Đinh 5cm</v>
      </c>
      <c r="J947" s="17" t="s">
        <v>35</v>
      </c>
      <c r="K947" s="20">
        <v>1000</v>
      </c>
      <c r="L947" s="20">
        <v>16500</v>
      </c>
      <c r="M947" s="21">
        <v>16500000</v>
      </c>
      <c r="N947" s="17" t="s">
        <v>30</v>
      </c>
      <c r="O947" s="17" t="s">
        <v>2425</v>
      </c>
      <c r="P947" s="17" t="s">
        <v>18</v>
      </c>
      <c r="Q947" s="17" t="s">
        <v>18</v>
      </c>
      <c r="R947" s="17" t="s">
        <v>2110</v>
      </c>
      <c r="S947" s="17" t="s">
        <v>2292</v>
      </c>
      <c r="T947" s="17" t="s">
        <v>2293</v>
      </c>
      <c r="U947" s="17" t="s">
        <v>2710</v>
      </c>
      <c r="V947" s="17" t="s">
        <v>848</v>
      </c>
      <c r="W947" s="17">
        <f t="shared" si="28"/>
        <v>2</v>
      </c>
      <c r="X947" s="8">
        <f>K947*L947*N947</f>
        <v>1650000</v>
      </c>
    </row>
    <row r="948" spans="1:24" s="17" customFormat="1" ht="41.5" customHeight="1">
      <c r="A948" s="17" t="s">
        <v>2280</v>
      </c>
      <c r="B948" s="17" t="s">
        <v>442</v>
      </c>
      <c r="C948" s="18">
        <v>45822.320783113399</v>
      </c>
      <c r="D948" s="17" t="s">
        <v>2056</v>
      </c>
      <c r="E948" s="17" t="s">
        <v>2057</v>
      </c>
      <c r="F948" s="17">
        <v>7</v>
      </c>
      <c r="G948" s="22" t="s">
        <v>852</v>
      </c>
      <c r="H948" s="17" t="s">
        <v>852</v>
      </c>
      <c r="I948" s="2" t="str">
        <f t="shared" si="27"/>
        <v>Đinh vít sàn gỗ răng thưa 7#X15mm</v>
      </c>
      <c r="J948" s="17" t="s">
        <v>35</v>
      </c>
      <c r="K948" s="20">
        <v>450</v>
      </c>
      <c r="L948" s="20">
        <v>33000</v>
      </c>
      <c r="M948" s="21">
        <v>14850000</v>
      </c>
      <c r="N948" s="17" t="s">
        <v>30</v>
      </c>
      <c r="O948" s="17" t="s">
        <v>2425</v>
      </c>
      <c r="P948" s="17" t="s">
        <v>18</v>
      </c>
      <c r="Q948" s="17" t="s">
        <v>18</v>
      </c>
      <c r="R948" s="17" t="s">
        <v>2110</v>
      </c>
      <c r="S948" s="17" t="s">
        <v>2292</v>
      </c>
      <c r="T948" s="17" t="s">
        <v>2293</v>
      </c>
      <c r="U948" s="17" t="s">
        <v>2710</v>
      </c>
      <c r="V948" s="17" t="s">
        <v>848</v>
      </c>
      <c r="W948" s="17">
        <f t="shared" si="28"/>
        <v>2</v>
      </c>
      <c r="X948" s="8">
        <f>K948*L948*N948</f>
        <v>1485000</v>
      </c>
    </row>
    <row r="949" spans="1:24" s="17" customFormat="1" ht="41.5" customHeight="1">
      <c r="A949" s="17" t="s">
        <v>2280</v>
      </c>
      <c r="B949" s="17" t="s">
        <v>442</v>
      </c>
      <c r="C949" s="18">
        <v>45822.320783113399</v>
      </c>
      <c r="D949" s="17" t="s">
        <v>2056</v>
      </c>
      <c r="E949" s="17" t="s">
        <v>2057</v>
      </c>
      <c r="F949" s="17">
        <v>8</v>
      </c>
      <c r="G949" s="17" t="s">
        <v>14</v>
      </c>
      <c r="H949" s="17" t="s">
        <v>2713</v>
      </c>
      <c r="I949" s="2" t="str">
        <f t="shared" si="27"/>
        <v>Hàng hóa dịch vụ</v>
      </c>
      <c r="J949" s="17" t="s">
        <v>35</v>
      </c>
      <c r="K949" s="20">
        <v>500</v>
      </c>
      <c r="L949" s="20">
        <v>16500</v>
      </c>
      <c r="M949" s="21">
        <v>8250000</v>
      </c>
      <c r="N949" s="17" t="s">
        <v>30</v>
      </c>
      <c r="O949" s="17" t="s">
        <v>2425</v>
      </c>
      <c r="P949" s="17" t="s">
        <v>18</v>
      </c>
      <c r="Q949" s="17" t="s">
        <v>18</v>
      </c>
      <c r="R949" s="17" t="s">
        <v>2110</v>
      </c>
      <c r="S949" s="17" t="s">
        <v>2292</v>
      </c>
      <c r="T949" s="17" t="s">
        <v>2293</v>
      </c>
      <c r="U949" s="17" t="s">
        <v>2710</v>
      </c>
      <c r="V949" s="17" t="s">
        <v>848</v>
      </c>
      <c r="W949" s="17">
        <f t="shared" si="28"/>
        <v>2</v>
      </c>
      <c r="X949" s="8">
        <f>K949*L949*N949</f>
        <v>825000</v>
      </c>
    </row>
    <row r="950" spans="1:24" s="17" customFormat="1" ht="41.5" customHeight="1">
      <c r="A950" s="17" t="s">
        <v>2280</v>
      </c>
      <c r="B950" s="17" t="s">
        <v>442</v>
      </c>
      <c r="C950" s="18">
        <v>45822.320783113399</v>
      </c>
      <c r="D950" s="17" t="s">
        <v>2056</v>
      </c>
      <c r="E950" s="17" t="s">
        <v>2057</v>
      </c>
      <c r="F950" s="17">
        <v>9</v>
      </c>
      <c r="G950" s="22" t="s">
        <v>853</v>
      </c>
      <c r="H950" s="17" t="s">
        <v>853</v>
      </c>
      <c r="I950" s="2" t="str">
        <f t="shared" si="27"/>
        <v>Sơn phun I200</v>
      </c>
      <c r="J950" s="17" t="s">
        <v>173</v>
      </c>
      <c r="K950" s="20">
        <v>48</v>
      </c>
      <c r="L950" s="20">
        <v>18500</v>
      </c>
      <c r="M950" s="21">
        <v>888000</v>
      </c>
      <c r="N950" s="17" t="s">
        <v>30</v>
      </c>
      <c r="O950" s="17" t="s">
        <v>2425</v>
      </c>
      <c r="P950" s="17" t="s">
        <v>18</v>
      </c>
      <c r="Q950" s="17" t="s">
        <v>18</v>
      </c>
      <c r="R950" s="17" t="s">
        <v>2110</v>
      </c>
      <c r="S950" s="17" t="s">
        <v>2292</v>
      </c>
      <c r="T950" s="17" t="s">
        <v>2293</v>
      </c>
      <c r="U950" s="17" t="s">
        <v>2710</v>
      </c>
      <c r="V950" s="17" t="s">
        <v>848</v>
      </c>
      <c r="W950" s="17">
        <f t="shared" si="28"/>
        <v>2</v>
      </c>
      <c r="X950" s="8">
        <f>K950*L950*N950</f>
        <v>88800</v>
      </c>
    </row>
    <row r="951" spans="1:24" s="17" customFormat="1" ht="41.5" customHeight="1">
      <c r="A951" s="17" t="s">
        <v>2280</v>
      </c>
      <c r="B951" s="17" t="s">
        <v>442</v>
      </c>
      <c r="C951" s="18">
        <v>45822.320783113399</v>
      </c>
      <c r="D951" s="17" t="s">
        <v>2056</v>
      </c>
      <c r="E951" s="17" t="s">
        <v>2057</v>
      </c>
      <c r="F951" s="17">
        <v>10</v>
      </c>
      <c r="G951" s="17" t="s">
        <v>14</v>
      </c>
      <c r="H951" s="17" t="s">
        <v>854</v>
      </c>
      <c r="I951" s="2" t="str">
        <f t="shared" si="27"/>
        <v>Hàng hóa dịch vụ</v>
      </c>
      <c r="J951" s="17" t="s">
        <v>35</v>
      </c>
      <c r="K951" s="20">
        <v>15</v>
      </c>
      <c r="L951" s="20">
        <v>55500</v>
      </c>
      <c r="M951" s="21">
        <v>832500</v>
      </c>
      <c r="N951" s="17" t="s">
        <v>30</v>
      </c>
      <c r="O951" s="17" t="s">
        <v>2425</v>
      </c>
      <c r="P951" s="17" t="s">
        <v>18</v>
      </c>
      <c r="Q951" s="17" t="s">
        <v>18</v>
      </c>
      <c r="R951" s="17" t="s">
        <v>2110</v>
      </c>
      <c r="S951" s="17" t="s">
        <v>2292</v>
      </c>
      <c r="T951" s="17" t="s">
        <v>2293</v>
      </c>
      <c r="U951" s="17" t="s">
        <v>2710</v>
      </c>
      <c r="V951" s="17" t="s">
        <v>848</v>
      </c>
      <c r="W951" s="17">
        <f t="shared" si="28"/>
        <v>2</v>
      </c>
      <c r="X951" s="8">
        <f>K951*L951*N951</f>
        <v>83250</v>
      </c>
    </row>
    <row r="952" spans="1:24" s="17" customFormat="1" ht="41.5" customHeight="1">
      <c r="A952" s="17" t="s">
        <v>2280</v>
      </c>
      <c r="B952" s="17" t="s">
        <v>442</v>
      </c>
      <c r="C952" s="18">
        <v>45822.320783113399</v>
      </c>
      <c r="D952" s="17" t="s">
        <v>2056</v>
      </c>
      <c r="E952" s="17" t="s">
        <v>2057</v>
      </c>
      <c r="F952" s="17">
        <v>11</v>
      </c>
      <c r="G952" s="17" t="s">
        <v>14</v>
      </c>
      <c r="H952" s="17" t="s">
        <v>855</v>
      </c>
      <c r="I952" s="2" t="str">
        <f t="shared" si="27"/>
        <v>Hàng hóa dịch vụ</v>
      </c>
      <c r="J952" s="17" t="s">
        <v>35</v>
      </c>
      <c r="K952" s="20">
        <v>24</v>
      </c>
      <c r="L952" s="20">
        <v>50500</v>
      </c>
      <c r="M952" s="21">
        <v>1212000</v>
      </c>
      <c r="N952" s="17" t="s">
        <v>30</v>
      </c>
      <c r="O952" s="17" t="s">
        <v>2425</v>
      </c>
      <c r="P952" s="17" t="s">
        <v>18</v>
      </c>
      <c r="Q952" s="17" t="s">
        <v>18</v>
      </c>
      <c r="R952" s="17" t="s">
        <v>2110</v>
      </c>
      <c r="S952" s="17" t="s">
        <v>2292</v>
      </c>
      <c r="T952" s="17" t="s">
        <v>2293</v>
      </c>
      <c r="U952" s="17" t="s">
        <v>2710</v>
      </c>
      <c r="V952" s="17" t="s">
        <v>848</v>
      </c>
      <c r="W952" s="17">
        <f t="shared" si="28"/>
        <v>2</v>
      </c>
      <c r="X952" s="8">
        <f>K952*L952*N952</f>
        <v>121200</v>
      </c>
    </row>
    <row r="953" spans="1:24" s="17" customFormat="1" ht="41.5" customHeight="1">
      <c r="A953" s="17" t="s">
        <v>2280</v>
      </c>
      <c r="B953" s="17" t="s">
        <v>442</v>
      </c>
      <c r="C953" s="18">
        <v>45822.320783113399</v>
      </c>
      <c r="D953" s="17" t="s">
        <v>2056</v>
      </c>
      <c r="E953" s="17" t="s">
        <v>2057</v>
      </c>
      <c r="F953" s="17">
        <v>12</v>
      </c>
      <c r="G953" s="19" t="s">
        <v>2631</v>
      </c>
      <c r="H953" s="17" t="s">
        <v>2631</v>
      </c>
      <c r="I953" s="2" t="str">
        <f t="shared" si="27"/>
        <v>Cân 100 kg</v>
      </c>
      <c r="J953" s="17" t="s">
        <v>130</v>
      </c>
      <c r="K953" s="20">
        <v>2</v>
      </c>
      <c r="L953" s="20">
        <v>1065000</v>
      </c>
      <c r="M953" s="21">
        <v>2130000</v>
      </c>
      <c r="N953" s="8" t="s">
        <v>16</v>
      </c>
      <c r="O953" s="17" t="s">
        <v>2425</v>
      </c>
      <c r="P953" s="17" t="s">
        <v>18</v>
      </c>
      <c r="Q953" s="17" t="s">
        <v>18</v>
      </c>
      <c r="R953" s="17" t="s">
        <v>2110</v>
      </c>
      <c r="S953" s="17" t="s">
        <v>2292</v>
      </c>
      <c r="T953" s="17" t="s">
        <v>2293</v>
      </c>
      <c r="U953" s="17" t="s">
        <v>2710</v>
      </c>
      <c r="V953" s="17" t="s">
        <v>848</v>
      </c>
      <c r="W953" s="17">
        <f t="shared" si="28"/>
        <v>2</v>
      </c>
      <c r="X953" s="8">
        <f>K953*L953*N953</f>
        <v>170400</v>
      </c>
    </row>
    <row r="954" spans="1:24" s="17" customFormat="1" ht="41.5" customHeight="1">
      <c r="A954" s="17" t="s">
        <v>2280</v>
      </c>
      <c r="B954" s="17" t="s">
        <v>442</v>
      </c>
      <c r="C954" s="18">
        <v>45822.320783113399</v>
      </c>
      <c r="D954" s="17" t="s">
        <v>2056</v>
      </c>
      <c r="E954" s="17" t="s">
        <v>2057</v>
      </c>
      <c r="F954" s="17">
        <v>13</v>
      </c>
      <c r="G954" s="19" t="s">
        <v>780</v>
      </c>
      <c r="H954" s="17" t="s">
        <v>780</v>
      </c>
      <c r="I954" s="2" t="str">
        <f t="shared" si="27"/>
        <v>Cân 30</v>
      </c>
      <c r="J954" s="17" t="s">
        <v>130</v>
      </c>
      <c r="K954" s="20">
        <v>2</v>
      </c>
      <c r="L954" s="20">
        <v>445000</v>
      </c>
      <c r="M954" s="21">
        <v>890000</v>
      </c>
      <c r="N954" s="8" t="s">
        <v>16</v>
      </c>
      <c r="O954" s="17" t="s">
        <v>2425</v>
      </c>
      <c r="P954" s="17" t="s">
        <v>18</v>
      </c>
      <c r="Q954" s="17" t="s">
        <v>18</v>
      </c>
      <c r="R954" s="17" t="s">
        <v>2110</v>
      </c>
      <c r="S954" s="17" t="s">
        <v>2292</v>
      </c>
      <c r="T954" s="17" t="s">
        <v>2293</v>
      </c>
      <c r="U954" s="17" t="s">
        <v>2710</v>
      </c>
      <c r="V954" s="17" t="s">
        <v>848</v>
      </c>
      <c r="W954" s="17">
        <f t="shared" si="28"/>
        <v>2</v>
      </c>
      <c r="X954" s="8">
        <f>K954*L954*N954</f>
        <v>71200</v>
      </c>
    </row>
    <row r="955" spans="1:24" s="8" customFormat="1" ht="41.5" customHeight="1">
      <c r="A955" s="8" t="s">
        <v>2280</v>
      </c>
      <c r="B955" s="8" t="s">
        <v>2705</v>
      </c>
      <c r="C955" s="9">
        <v>45838.3555463542</v>
      </c>
      <c r="D955" s="8" t="s">
        <v>2056</v>
      </c>
      <c r="E955" s="8" t="s">
        <v>2057</v>
      </c>
      <c r="F955" s="8">
        <v>1</v>
      </c>
      <c r="G955" s="22" t="s">
        <v>155</v>
      </c>
      <c r="H955" s="8" t="s">
        <v>155</v>
      </c>
      <c r="I955" s="2" t="str">
        <f t="shared" si="27"/>
        <v>Chất biến đổi gỉ B05</v>
      </c>
      <c r="J955" s="8" t="s">
        <v>27</v>
      </c>
      <c r="K955" s="10">
        <v>20</v>
      </c>
      <c r="L955" s="10">
        <v>59090.91</v>
      </c>
      <c r="M955" s="11">
        <v>1181818.2</v>
      </c>
      <c r="N955" s="8" t="s">
        <v>30</v>
      </c>
      <c r="O955" s="8" t="s">
        <v>17</v>
      </c>
      <c r="P955" s="8" t="s">
        <v>18</v>
      </c>
      <c r="Q955" s="8" t="s">
        <v>18</v>
      </c>
      <c r="R955" s="8" t="s">
        <v>2110</v>
      </c>
      <c r="S955" s="8" t="s">
        <v>2123</v>
      </c>
      <c r="T955" s="8" t="s">
        <v>2124</v>
      </c>
      <c r="U955" s="8" t="s">
        <v>2635</v>
      </c>
      <c r="V955" s="8" t="s">
        <v>828</v>
      </c>
      <c r="W955" s="8">
        <f t="shared" si="28"/>
        <v>2</v>
      </c>
      <c r="X955" s="8">
        <f>K955*L955*N955</f>
        <v>118181.82000000002</v>
      </c>
    </row>
    <row r="956" spans="1:24" s="8" customFormat="1" ht="41.5" customHeight="1">
      <c r="A956" s="8" t="s">
        <v>2280</v>
      </c>
      <c r="B956" s="8" t="s">
        <v>2094</v>
      </c>
      <c r="C956" s="9">
        <v>45838.355460161998</v>
      </c>
      <c r="D956" s="8" t="s">
        <v>2056</v>
      </c>
      <c r="E956" s="8" t="s">
        <v>2057</v>
      </c>
      <c r="F956" s="8">
        <v>1</v>
      </c>
      <c r="G956" s="22" t="s">
        <v>2714</v>
      </c>
      <c r="H956" s="8" t="s">
        <v>856</v>
      </c>
      <c r="I956" s="2" t="str">
        <f t="shared" si="27"/>
        <v>Vữa chống thấm Sikatop 107 seal VN (AB) 25kg/se</v>
      </c>
      <c r="J956" s="8" t="s">
        <v>35</v>
      </c>
      <c r="K956" s="10">
        <v>25</v>
      </c>
      <c r="L956" s="10">
        <v>28148.15</v>
      </c>
      <c r="M956" s="11">
        <v>703703.75</v>
      </c>
      <c r="N956" s="8" t="s">
        <v>16</v>
      </c>
      <c r="O956" s="8" t="s">
        <v>17</v>
      </c>
      <c r="P956" s="8" t="s">
        <v>18</v>
      </c>
      <c r="Q956" s="8" t="s">
        <v>18</v>
      </c>
      <c r="R956" s="8" t="s">
        <v>2110</v>
      </c>
      <c r="S956" s="8" t="s">
        <v>2123</v>
      </c>
      <c r="T956" s="8" t="s">
        <v>2124</v>
      </c>
      <c r="U956" s="8" t="s">
        <v>2635</v>
      </c>
      <c r="V956" s="8" t="s">
        <v>828</v>
      </c>
      <c r="W956" s="8">
        <f t="shared" si="28"/>
        <v>2</v>
      </c>
      <c r="X956" s="8">
        <f>K956*L956*N956</f>
        <v>56296.3</v>
      </c>
    </row>
    <row r="957" spans="1:24" s="8" customFormat="1" ht="41.5" customHeight="1">
      <c r="A957" s="8" t="s">
        <v>2281</v>
      </c>
      <c r="B957" s="8" t="s">
        <v>2715</v>
      </c>
      <c r="C957" s="9">
        <v>45833.430272557896</v>
      </c>
      <c r="D957" s="8" t="s">
        <v>2056</v>
      </c>
      <c r="E957" s="8" t="s">
        <v>2057</v>
      </c>
      <c r="F957" s="8">
        <v>1</v>
      </c>
      <c r="G957" s="27" t="s">
        <v>2140</v>
      </c>
      <c r="H957" s="8" t="s">
        <v>399</v>
      </c>
      <c r="I957" s="2" t="str">
        <f t="shared" ref="I957:I1020" si="29">G957</f>
        <v>Thép ống hộp</v>
      </c>
      <c r="J957" s="8" t="s">
        <v>35</v>
      </c>
      <c r="K957" s="10">
        <v>11414.59</v>
      </c>
      <c r="L957" s="10">
        <v>17200</v>
      </c>
      <c r="M957" s="11">
        <v>196330948</v>
      </c>
      <c r="N957" s="8" t="s">
        <v>30</v>
      </c>
      <c r="O957" s="8" t="s">
        <v>17</v>
      </c>
      <c r="P957" s="8" t="s">
        <v>18</v>
      </c>
      <c r="Q957" s="8" t="s">
        <v>18</v>
      </c>
      <c r="R957" s="8" t="s">
        <v>2115</v>
      </c>
      <c r="S957" s="8" t="s">
        <v>2126</v>
      </c>
      <c r="T957" s="8" t="s">
        <v>2127</v>
      </c>
      <c r="U957" s="8" t="s">
        <v>2645</v>
      </c>
      <c r="V957" s="8" t="s">
        <v>857</v>
      </c>
      <c r="W957" s="8">
        <f t="shared" si="28"/>
        <v>2</v>
      </c>
      <c r="X957" s="8">
        <f>K957*L957*N957</f>
        <v>19633094.800000001</v>
      </c>
    </row>
    <row r="958" spans="1:24" s="8" customFormat="1" ht="41.5" customHeight="1">
      <c r="A958" s="8" t="s">
        <v>2281</v>
      </c>
      <c r="B958" s="8" t="s">
        <v>2716</v>
      </c>
      <c r="C958" s="9">
        <v>45824.7649425579</v>
      </c>
      <c r="D958" s="8" t="s">
        <v>2056</v>
      </c>
      <c r="E958" s="8" t="s">
        <v>2057</v>
      </c>
      <c r="F958" s="8">
        <v>1</v>
      </c>
      <c r="G958" s="27" t="s">
        <v>2140</v>
      </c>
      <c r="H958" s="8" t="s">
        <v>399</v>
      </c>
      <c r="I958" s="2" t="str">
        <f t="shared" si="29"/>
        <v>Thép ống hộp</v>
      </c>
      <c r="J958" s="8" t="s">
        <v>35</v>
      </c>
      <c r="K958" s="10">
        <v>27390</v>
      </c>
      <c r="L958" s="10">
        <v>16600</v>
      </c>
      <c r="M958" s="11">
        <v>454674000</v>
      </c>
      <c r="N958" s="8" t="s">
        <v>30</v>
      </c>
      <c r="O958" s="8" t="s">
        <v>17</v>
      </c>
      <c r="P958" s="8" t="s">
        <v>18</v>
      </c>
      <c r="Q958" s="8" t="s">
        <v>18</v>
      </c>
      <c r="R958" s="8" t="s">
        <v>2115</v>
      </c>
      <c r="S958" s="8" t="s">
        <v>2126</v>
      </c>
      <c r="T958" s="8" t="s">
        <v>2127</v>
      </c>
      <c r="U958" s="8" t="s">
        <v>2645</v>
      </c>
      <c r="V958" s="8" t="s">
        <v>858</v>
      </c>
      <c r="W958" s="8">
        <f t="shared" si="28"/>
        <v>2</v>
      </c>
      <c r="X958" s="8">
        <f>K958*L958*N958</f>
        <v>45467400</v>
      </c>
    </row>
    <row r="959" spans="1:24" s="8" customFormat="1" ht="41.5" customHeight="1">
      <c r="A959" s="8" t="s">
        <v>2281</v>
      </c>
      <c r="B959" s="8" t="s">
        <v>2717</v>
      </c>
      <c r="C959" s="9">
        <v>45819.7539017245</v>
      </c>
      <c r="D959" s="8" t="s">
        <v>2056</v>
      </c>
      <c r="E959" s="8" t="s">
        <v>2057</v>
      </c>
      <c r="F959" s="8">
        <v>1</v>
      </c>
      <c r="G959" s="22" t="s">
        <v>1382</v>
      </c>
      <c r="H959" s="8" t="s">
        <v>859</v>
      </c>
      <c r="I959" s="2" t="str">
        <f t="shared" si="29"/>
        <v>Vít tole các loại</v>
      </c>
      <c r="J959" s="8" t="s">
        <v>35</v>
      </c>
      <c r="K959" s="10">
        <v>253</v>
      </c>
      <c r="L959" s="10">
        <v>36000</v>
      </c>
      <c r="M959" s="11">
        <v>9108000</v>
      </c>
      <c r="N959" s="8" t="s">
        <v>30</v>
      </c>
      <c r="O959" s="8" t="s">
        <v>17</v>
      </c>
      <c r="P959" s="8" t="s">
        <v>18</v>
      </c>
      <c r="Q959" s="8" t="s">
        <v>18</v>
      </c>
      <c r="R959" s="8" t="s">
        <v>2115</v>
      </c>
      <c r="S959" s="8" t="s">
        <v>2126</v>
      </c>
      <c r="T959" s="8" t="s">
        <v>2127</v>
      </c>
      <c r="U959" s="8" t="s">
        <v>2645</v>
      </c>
      <c r="V959" s="8" t="s">
        <v>860</v>
      </c>
      <c r="W959" s="8">
        <f t="shared" si="28"/>
        <v>2</v>
      </c>
      <c r="X959" s="8">
        <f>K959*L959*N959</f>
        <v>910800</v>
      </c>
    </row>
    <row r="960" spans="1:24" s="8" customFormat="1" ht="41.5" customHeight="1">
      <c r="A960" s="8" t="s">
        <v>2280</v>
      </c>
      <c r="B960" s="8" t="s">
        <v>861</v>
      </c>
      <c r="C960" s="9">
        <v>45820.332609687503</v>
      </c>
      <c r="D960" s="8" t="s">
        <v>2056</v>
      </c>
      <c r="E960" s="8" t="s">
        <v>2057</v>
      </c>
      <c r="F960" s="8">
        <v>1</v>
      </c>
      <c r="G960" s="22" t="s">
        <v>34</v>
      </c>
      <c r="H960" s="8" t="s">
        <v>34</v>
      </c>
      <c r="I960" s="2" t="str">
        <f t="shared" si="29"/>
        <v>Bạt PP</v>
      </c>
      <c r="J960" s="8" t="s">
        <v>35</v>
      </c>
      <c r="K960" s="10">
        <v>200</v>
      </c>
      <c r="L960" s="10">
        <v>37700</v>
      </c>
      <c r="M960" s="11">
        <v>7540000</v>
      </c>
      <c r="N960" s="8" t="s">
        <v>16</v>
      </c>
      <c r="O960" s="8" t="s">
        <v>17</v>
      </c>
      <c r="P960" s="8" t="s">
        <v>18</v>
      </c>
      <c r="Q960" s="8" t="s">
        <v>18</v>
      </c>
      <c r="R960" s="8" t="s">
        <v>2110</v>
      </c>
      <c r="S960" s="8" t="s">
        <v>2073</v>
      </c>
      <c r="T960" s="8" t="s">
        <v>2074</v>
      </c>
      <c r="U960" s="8" t="s">
        <v>2075</v>
      </c>
      <c r="V960" s="8" t="s">
        <v>31</v>
      </c>
      <c r="W960" s="8">
        <f t="shared" si="28"/>
        <v>2</v>
      </c>
      <c r="X960" s="8">
        <f>K960*L960*N960</f>
        <v>603200</v>
      </c>
    </row>
    <row r="961" spans="1:24" s="8" customFormat="1" ht="41.5" customHeight="1">
      <c r="A961" s="8" t="s">
        <v>2557</v>
      </c>
      <c r="B961" s="8" t="s">
        <v>2718</v>
      </c>
      <c r="C961" s="9">
        <v>45826.638616944401</v>
      </c>
      <c r="D961" s="8" t="s">
        <v>2056</v>
      </c>
      <c r="E961" s="8" t="s">
        <v>2057</v>
      </c>
      <c r="F961" s="8">
        <v>1</v>
      </c>
      <c r="G961" s="22" t="s">
        <v>862</v>
      </c>
      <c r="H961" s="8" t="s">
        <v>862</v>
      </c>
      <c r="I961" s="2" t="str">
        <f t="shared" si="29"/>
        <v>Bình VH120N (20L ngang)</v>
      </c>
      <c r="J961" s="8" t="s">
        <v>53</v>
      </c>
      <c r="K961" s="10">
        <v>8</v>
      </c>
      <c r="L961" s="10">
        <v>1650000</v>
      </c>
      <c r="M961" s="11">
        <v>13200000</v>
      </c>
      <c r="N961" s="8" t="s">
        <v>30</v>
      </c>
      <c r="O961" s="8" t="s">
        <v>17</v>
      </c>
      <c r="P961" s="8" t="s">
        <v>18</v>
      </c>
      <c r="Q961" s="8" t="s">
        <v>18</v>
      </c>
      <c r="R961" s="8" t="s">
        <v>2115</v>
      </c>
      <c r="S961" s="8" t="s">
        <v>2559</v>
      </c>
      <c r="T961" s="8" t="s">
        <v>2560</v>
      </c>
      <c r="U961" s="8" t="s">
        <v>2719</v>
      </c>
      <c r="V961" s="8" t="s">
        <v>863</v>
      </c>
      <c r="W961" s="8">
        <f t="shared" si="28"/>
        <v>2</v>
      </c>
      <c r="X961" s="8">
        <f>K961*L961*N961</f>
        <v>1320000</v>
      </c>
    </row>
    <row r="962" spans="1:24" s="8" customFormat="1" ht="41.5" customHeight="1">
      <c r="A962" s="8" t="s">
        <v>2557</v>
      </c>
      <c r="B962" s="8" t="s">
        <v>2718</v>
      </c>
      <c r="C962" s="9">
        <v>45826.638616944401</v>
      </c>
      <c r="D962" s="8" t="s">
        <v>2056</v>
      </c>
      <c r="E962" s="8" t="s">
        <v>2057</v>
      </c>
      <c r="F962" s="8">
        <v>2</v>
      </c>
      <c r="G962" s="22" t="s">
        <v>2720</v>
      </c>
      <c r="H962" s="8" t="s">
        <v>864</v>
      </c>
      <c r="I962" s="2" t="str">
        <f t="shared" si="29"/>
        <v>phụ kiện vệ sinh VG98</v>
      </c>
      <c r="J962" s="8" t="s">
        <v>53</v>
      </c>
      <c r="K962" s="10">
        <v>8</v>
      </c>
      <c r="L962" s="10">
        <v>520000</v>
      </c>
      <c r="M962" s="11">
        <v>4160000</v>
      </c>
      <c r="N962" s="8" t="s">
        <v>30</v>
      </c>
      <c r="O962" s="8" t="s">
        <v>17</v>
      </c>
      <c r="P962" s="8" t="s">
        <v>18</v>
      </c>
      <c r="Q962" s="8" t="s">
        <v>18</v>
      </c>
      <c r="R962" s="8" t="s">
        <v>2115</v>
      </c>
      <c r="S962" s="8" t="s">
        <v>2559</v>
      </c>
      <c r="T962" s="8" t="s">
        <v>2560</v>
      </c>
      <c r="U962" s="8" t="s">
        <v>2719</v>
      </c>
      <c r="V962" s="8" t="s">
        <v>863</v>
      </c>
      <c r="W962" s="8">
        <f t="shared" si="28"/>
        <v>2</v>
      </c>
      <c r="X962" s="8">
        <f>K962*L962*N962</f>
        <v>416000</v>
      </c>
    </row>
    <row r="963" spans="1:24" s="8" customFormat="1" ht="41.5" customHeight="1">
      <c r="A963" s="8" t="s">
        <v>2557</v>
      </c>
      <c r="B963" s="8" t="s">
        <v>2721</v>
      </c>
      <c r="C963" s="9">
        <v>45823.365524432898</v>
      </c>
      <c r="D963" s="8" t="s">
        <v>2056</v>
      </c>
      <c r="E963" s="8" t="s">
        <v>2057</v>
      </c>
      <c r="F963" s="8">
        <v>1</v>
      </c>
      <c r="G963" s="22" t="s">
        <v>865</v>
      </c>
      <c r="H963" s="8" t="s">
        <v>865</v>
      </c>
      <c r="I963" s="2" t="str">
        <f t="shared" si="29"/>
        <v>Sen tắm VG 515 (CĐ)</v>
      </c>
      <c r="J963" s="8" t="s">
        <v>53</v>
      </c>
      <c r="K963" s="10">
        <v>5</v>
      </c>
      <c r="L963" s="10">
        <v>1350000</v>
      </c>
      <c r="M963" s="11">
        <v>6750000</v>
      </c>
      <c r="N963" s="8" t="s">
        <v>30</v>
      </c>
      <c r="O963" s="8" t="s">
        <v>17</v>
      </c>
      <c r="P963" s="8" t="s">
        <v>18</v>
      </c>
      <c r="Q963" s="8" t="s">
        <v>18</v>
      </c>
      <c r="R963" s="8" t="s">
        <v>2115</v>
      </c>
      <c r="S963" s="8" t="s">
        <v>2559</v>
      </c>
      <c r="T963" s="8" t="s">
        <v>2560</v>
      </c>
      <c r="U963" s="8" t="s">
        <v>2719</v>
      </c>
      <c r="V963" s="8" t="s">
        <v>866</v>
      </c>
      <c r="W963" s="8">
        <f t="shared" si="28"/>
        <v>2</v>
      </c>
      <c r="X963" s="8">
        <f>K963*L963*N963</f>
        <v>675000</v>
      </c>
    </row>
    <row r="964" spans="1:24" s="8" customFormat="1" ht="41.5" customHeight="1">
      <c r="A964" s="8" t="s">
        <v>2557</v>
      </c>
      <c r="B964" s="8" t="s">
        <v>2721</v>
      </c>
      <c r="C964" s="9">
        <v>45823.365524432898</v>
      </c>
      <c r="D964" s="8" t="s">
        <v>2056</v>
      </c>
      <c r="E964" s="8" t="s">
        <v>2057</v>
      </c>
      <c r="F964" s="8">
        <v>2</v>
      </c>
      <c r="G964" s="22" t="s">
        <v>867</v>
      </c>
      <c r="H964" s="8" t="s">
        <v>867</v>
      </c>
      <c r="I964" s="2" t="str">
        <f t="shared" si="29"/>
        <v>Sen tắm VG 568 (CĐ)</v>
      </c>
      <c r="J964" s="8" t="s">
        <v>53</v>
      </c>
      <c r="K964" s="10">
        <v>3</v>
      </c>
      <c r="L964" s="10">
        <v>1350000</v>
      </c>
      <c r="M964" s="11">
        <v>4050000</v>
      </c>
      <c r="N964" s="8" t="s">
        <v>30</v>
      </c>
      <c r="O964" s="8" t="s">
        <v>17</v>
      </c>
      <c r="P964" s="8" t="s">
        <v>18</v>
      </c>
      <c r="Q964" s="8" t="s">
        <v>18</v>
      </c>
      <c r="R964" s="8" t="s">
        <v>2115</v>
      </c>
      <c r="S964" s="8" t="s">
        <v>2559</v>
      </c>
      <c r="T964" s="8" t="s">
        <v>2560</v>
      </c>
      <c r="U964" s="8" t="s">
        <v>2719</v>
      </c>
      <c r="V964" s="8" t="s">
        <v>866</v>
      </c>
      <c r="W964" s="8">
        <f t="shared" si="28"/>
        <v>2</v>
      </c>
      <c r="X964" s="8">
        <f>K964*L964*N964</f>
        <v>405000</v>
      </c>
    </row>
    <row r="965" spans="1:24" s="8" customFormat="1" ht="41.5" customHeight="1">
      <c r="A965" s="8" t="s">
        <v>2557</v>
      </c>
      <c r="B965" s="8" t="s">
        <v>2721</v>
      </c>
      <c r="C965" s="9">
        <v>45823.365524432898</v>
      </c>
      <c r="D965" s="8" t="s">
        <v>2056</v>
      </c>
      <c r="E965" s="8" t="s">
        <v>2057</v>
      </c>
      <c r="F965" s="8">
        <v>3</v>
      </c>
      <c r="G965" s="22" t="s">
        <v>663</v>
      </c>
      <c r="H965" s="8" t="s">
        <v>663</v>
      </c>
      <c r="I965" s="2" t="str">
        <f t="shared" si="29"/>
        <v>Vòi chậu VG168 (CĐ)</v>
      </c>
      <c r="J965" s="8" t="s">
        <v>53</v>
      </c>
      <c r="K965" s="10">
        <v>8</v>
      </c>
      <c r="L965" s="10">
        <v>800000</v>
      </c>
      <c r="M965" s="11">
        <v>6400000</v>
      </c>
      <c r="N965" s="8" t="s">
        <v>30</v>
      </c>
      <c r="O965" s="8" t="s">
        <v>17</v>
      </c>
      <c r="P965" s="8" t="s">
        <v>18</v>
      </c>
      <c r="Q965" s="8" t="s">
        <v>18</v>
      </c>
      <c r="R965" s="8" t="s">
        <v>2115</v>
      </c>
      <c r="S965" s="8" t="s">
        <v>2559</v>
      </c>
      <c r="T965" s="8" t="s">
        <v>2560</v>
      </c>
      <c r="U965" s="8" t="s">
        <v>2719</v>
      </c>
      <c r="V965" s="8" t="s">
        <v>866</v>
      </c>
      <c r="W965" s="8">
        <f t="shared" si="28"/>
        <v>2</v>
      </c>
      <c r="X965" s="8">
        <f>K965*L965*N965</f>
        <v>640000</v>
      </c>
    </row>
    <row r="966" spans="1:24" s="8" customFormat="1" ht="41.5" customHeight="1">
      <c r="A966" s="8" t="s">
        <v>2557</v>
      </c>
      <c r="B966" s="8" t="s">
        <v>2722</v>
      </c>
      <c r="C966" s="9">
        <v>45819.7509180903</v>
      </c>
      <c r="D966" s="8" t="s">
        <v>2056</v>
      </c>
      <c r="E966" s="8" t="s">
        <v>2057</v>
      </c>
      <c r="F966" s="8">
        <v>1</v>
      </c>
      <c r="G966" s="22" t="s">
        <v>1466</v>
      </c>
      <c r="H966" s="8" t="s">
        <v>868</v>
      </c>
      <c r="I966" s="2" t="str">
        <f t="shared" si="29"/>
        <v>Bệt V819 trắng (NN, PK đồng bộ, V687) + xịt VG</v>
      </c>
      <c r="J966" s="8" t="s">
        <v>53</v>
      </c>
      <c r="K966" s="10">
        <v>8</v>
      </c>
      <c r="L966" s="10">
        <v>2200000</v>
      </c>
      <c r="M966" s="11">
        <v>17600000</v>
      </c>
      <c r="N966" s="8" t="s">
        <v>16</v>
      </c>
      <c r="O966" s="8" t="s">
        <v>17</v>
      </c>
      <c r="P966" s="8" t="s">
        <v>18</v>
      </c>
      <c r="Q966" s="8" t="s">
        <v>18</v>
      </c>
      <c r="R966" s="8" t="s">
        <v>2115</v>
      </c>
      <c r="S966" s="8" t="s">
        <v>2559</v>
      </c>
      <c r="T966" s="8" t="s">
        <v>2560</v>
      </c>
      <c r="U966" s="8" t="s">
        <v>2719</v>
      </c>
      <c r="V966" s="8" t="s">
        <v>860</v>
      </c>
      <c r="W966" s="8">
        <f t="shared" si="28"/>
        <v>2</v>
      </c>
      <c r="X966" s="8">
        <f>K966*L966*N966</f>
        <v>1408000</v>
      </c>
    </row>
    <row r="967" spans="1:24" s="8" customFormat="1" ht="41.5" customHeight="1">
      <c r="A967" s="8" t="s">
        <v>2557</v>
      </c>
      <c r="B967" s="8" t="s">
        <v>2722</v>
      </c>
      <c r="C967" s="9">
        <v>45819.7509180903</v>
      </c>
      <c r="D967" s="8" t="s">
        <v>2056</v>
      </c>
      <c r="E967" s="8" t="s">
        <v>2057</v>
      </c>
      <c r="F967" s="8">
        <v>2</v>
      </c>
      <c r="G967" s="22" t="s">
        <v>665</v>
      </c>
      <c r="H967" s="8" t="s">
        <v>665</v>
      </c>
      <c r="I967" s="2" t="str">
        <f t="shared" si="29"/>
        <v>Gương vuông 50*70 VG833</v>
      </c>
      <c r="J967" s="8" t="s">
        <v>15</v>
      </c>
      <c r="K967" s="10">
        <v>3</v>
      </c>
      <c r="L967" s="10">
        <v>300000</v>
      </c>
      <c r="M967" s="11">
        <v>900000</v>
      </c>
      <c r="N967" s="8" t="s">
        <v>16</v>
      </c>
      <c r="O967" s="8" t="s">
        <v>17</v>
      </c>
      <c r="P967" s="8" t="s">
        <v>18</v>
      </c>
      <c r="Q967" s="8" t="s">
        <v>18</v>
      </c>
      <c r="R967" s="8" t="s">
        <v>2115</v>
      </c>
      <c r="S967" s="8" t="s">
        <v>2559</v>
      </c>
      <c r="T967" s="8" t="s">
        <v>2560</v>
      </c>
      <c r="U967" s="8" t="s">
        <v>2719</v>
      </c>
      <c r="V967" s="8" t="s">
        <v>860</v>
      </c>
      <c r="W967" s="8">
        <f t="shared" si="28"/>
        <v>2</v>
      </c>
      <c r="X967" s="8">
        <f>K967*L967*N967</f>
        <v>72000</v>
      </c>
    </row>
    <row r="968" spans="1:24" s="8" customFormat="1" ht="41.5" customHeight="1">
      <c r="A968" s="8" t="s">
        <v>2316</v>
      </c>
      <c r="B968" s="8" t="s">
        <v>2723</v>
      </c>
      <c r="C968" s="9">
        <v>45816.708846793998</v>
      </c>
      <c r="D968" s="8" t="s">
        <v>2056</v>
      </c>
      <c r="E968" s="8" t="s">
        <v>2057</v>
      </c>
      <c r="F968" s="8">
        <v>1</v>
      </c>
      <c r="G968" s="27" t="s">
        <v>2140</v>
      </c>
      <c r="H968" s="8" t="s">
        <v>110</v>
      </c>
      <c r="I968" s="2" t="str">
        <f t="shared" si="29"/>
        <v>Thép ống hộp</v>
      </c>
      <c r="J968" s="8" t="s">
        <v>62</v>
      </c>
      <c r="K968" s="10">
        <v>2540</v>
      </c>
      <c r="L968" s="10">
        <v>16094.94</v>
      </c>
      <c r="M968" s="11">
        <v>40881158</v>
      </c>
      <c r="N968" s="8" t="s">
        <v>30</v>
      </c>
      <c r="O968" s="8" t="s">
        <v>17</v>
      </c>
      <c r="P968" s="8" t="s">
        <v>18</v>
      </c>
      <c r="Q968" s="8" t="s">
        <v>18</v>
      </c>
      <c r="R968" s="8" t="s">
        <v>2115</v>
      </c>
      <c r="S968" s="8" t="s">
        <v>2137</v>
      </c>
      <c r="T968" s="8" t="s">
        <v>2138</v>
      </c>
      <c r="U968" s="8" t="s">
        <v>2724</v>
      </c>
      <c r="V968" s="8" t="s">
        <v>869</v>
      </c>
      <c r="W968" s="8">
        <f t="shared" si="28"/>
        <v>2</v>
      </c>
      <c r="X968" s="8">
        <f>K968*L968*N968</f>
        <v>4088114.7600000002</v>
      </c>
    </row>
    <row r="969" spans="1:24" s="8" customFormat="1" ht="41.5" customHeight="1">
      <c r="A969" s="8" t="s">
        <v>2280</v>
      </c>
      <c r="B969" s="8" t="s">
        <v>870</v>
      </c>
      <c r="C969" s="9">
        <v>45838.438096099497</v>
      </c>
      <c r="D969" s="8" t="s">
        <v>2056</v>
      </c>
      <c r="E969" s="8" t="s">
        <v>2057</v>
      </c>
      <c r="F969" s="8">
        <v>1</v>
      </c>
      <c r="G969" s="22" t="s">
        <v>1554</v>
      </c>
      <c r="H969" s="8" t="s">
        <v>803</v>
      </c>
      <c r="I969" s="2" t="str">
        <f t="shared" si="29"/>
        <v>Máy khoan động lực 2470x5 HR2470</v>
      </c>
      <c r="J969" s="8" t="s">
        <v>15</v>
      </c>
      <c r="K969" s="10">
        <v>1</v>
      </c>
      <c r="L969" s="10">
        <v>2954545</v>
      </c>
      <c r="M969" s="11">
        <v>2954545</v>
      </c>
      <c r="N969" s="8" t="s">
        <v>30</v>
      </c>
      <c r="O969" s="8" t="s">
        <v>17</v>
      </c>
      <c r="P969" s="8" t="s">
        <v>18</v>
      </c>
      <c r="Q969" s="8" t="s">
        <v>18</v>
      </c>
      <c r="R969" s="8" t="s">
        <v>2110</v>
      </c>
      <c r="S969" s="8" t="s">
        <v>2205</v>
      </c>
      <c r="T969" s="8" t="s">
        <v>2206</v>
      </c>
      <c r="U969" s="8" t="s">
        <v>2725</v>
      </c>
      <c r="V969" s="8" t="s">
        <v>828</v>
      </c>
      <c r="W969" s="8">
        <f t="shared" si="28"/>
        <v>2</v>
      </c>
      <c r="X969" s="8">
        <f>K969*L969*N969</f>
        <v>295454.5</v>
      </c>
    </row>
    <row r="970" spans="1:24" s="8" customFormat="1" ht="41.5" customHeight="1">
      <c r="A970" s="8" t="s">
        <v>2280</v>
      </c>
      <c r="B970" s="8" t="s">
        <v>871</v>
      </c>
      <c r="C970" s="9">
        <v>45833.367696562498</v>
      </c>
      <c r="D970" s="8" t="s">
        <v>2056</v>
      </c>
      <c r="E970" s="8" t="s">
        <v>2057</v>
      </c>
      <c r="F970" s="8">
        <v>1</v>
      </c>
      <c r="G970" s="22" t="s">
        <v>1837</v>
      </c>
      <c r="H970" s="8" t="s">
        <v>872</v>
      </c>
      <c r="I970" s="2" t="str">
        <f t="shared" si="29"/>
        <v>Tổ máy phát điện dùng động cơ Diesel KDE10ST</v>
      </c>
      <c r="J970" s="8" t="s">
        <v>53</v>
      </c>
      <c r="K970" s="10">
        <v>1</v>
      </c>
      <c r="L970" s="10">
        <v>21296297</v>
      </c>
      <c r="M970" s="11">
        <v>21296297</v>
      </c>
      <c r="N970" s="8" t="s">
        <v>16</v>
      </c>
      <c r="O970" s="8" t="s">
        <v>17</v>
      </c>
      <c r="P970" s="8" t="s">
        <v>18</v>
      </c>
      <c r="Q970" s="8" t="s">
        <v>18</v>
      </c>
      <c r="R970" s="8" t="s">
        <v>2110</v>
      </c>
      <c r="S970" s="8" t="s">
        <v>2205</v>
      </c>
      <c r="T970" s="8" t="s">
        <v>2206</v>
      </c>
      <c r="U970" s="8" t="s">
        <v>2725</v>
      </c>
      <c r="V970" s="8" t="s">
        <v>857</v>
      </c>
      <c r="W970" s="8">
        <f t="shared" si="28"/>
        <v>2</v>
      </c>
      <c r="X970" s="8">
        <f>K970*L970*N970</f>
        <v>1703703.76</v>
      </c>
    </row>
    <row r="971" spans="1:24" s="8" customFormat="1" ht="41.5" customHeight="1">
      <c r="A971" s="8" t="s">
        <v>2280</v>
      </c>
      <c r="B971" s="8" t="s">
        <v>871</v>
      </c>
      <c r="C971" s="9">
        <v>45833.367696562498</v>
      </c>
      <c r="D971" s="8" t="s">
        <v>2056</v>
      </c>
      <c r="E971" s="8" t="s">
        <v>2057</v>
      </c>
      <c r="F971" s="8">
        <v>2</v>
      </c>
      <c r="G971" s="22" t="s">
        <v>873</v>
      </c>
      <c r="H971" s="8" t="s">
        <v>873</v>
      </c>
      <c r="I971" s="2" t="str">
        <f t="shared" si="29"/>
        <v>Máy mài (GA9060)</v>
      </c>
      <c r="J971" s="8" t="s">
        <v>15</v>
      </c>
      <c r="K971" s="10">
        <v>1</v>
      </c>
      <c r="L971" s="10">
        <v>2363636</v>
      </c>
      <c r="M971" s="11">
        <v>2363636</v>
      </c>
      <c r="N971" s="8" t="s">
        <v>30</v>
      </c>
      <c r="O971" s="8" t="s">
        <v>17</v>
      </c>
      <c r="P971" s="8" t="s">
        <v>18</v>
      </c>
      <c r="Q971" s="8" t="s">
        <v>18</v>
      </c>
      <c r="R971" s="8" t="s">
        <v>2110</v>
      </c>
      <c r="S971" s="8" t="s">
        <v>2205</v>
      </c>
      <c r="T971" s="8" t="s">
        <v>2206</v>
      </c>
      <c r="U971" s="8" t="s">
        <v>2725</v>
      </c>
      <c r="V971" s="8" t="s">
        <v>857</v>
      </c>
      <c r="W971" s="8">
        <f t="shared" si="28"/>
        <v>2</v>
      </c>
      <c r="X971" s="8">
        <f>K971*L971*N971</f>
        <v>236363.6</v>
      </c>
    </row>
    <row r="972" spans="1:24" s="8" customFormat="1" ht="41.5" customHeight="1">
      <c r="A972" s="8" t="s">
        <v>2312</v>
      </c>
      <c r="B972" s="8" t="s">
        <v>2726</v>
      </c>
      <c r="C972" s="9">
        <v>45836.409416701397</v>
      </c>
      <c r="D972" s="8" t="s">
        <v>2208</v>
      </c>
      <c r="E972" s="8" t="s">
        <v>2057</v>
      </c>
      <c r="F972" s="8">
        <v>1</v>
      </c>
      <c r="G972" s="2">
        <v>642</v>
      </c>
      <c r="H972" s="8" t="s">
        <v>805</v>
      </c>
      <c r="I972" s="2">
        <f t="shared" si="29"/>
        <v>642</v>
      </c>
      <c r="J972" s="8" t="s">
        <v>27</v>
      </c>
      <c r="K972" s="10">
        <v>9.1199999999999992</v>
      </c>
      <c r="L972" s="10">
        <v>19936.36</v>
      </c>
      <c r="M972" s="11">
        <v>181818</v>
      </c>
      <c r="N972" s="8" t="s">
        <v>30</v>
      </c>
      <c r="O972" s="8" t="s">
        <v>17</v>
      </c>
      <c r="P972" s="8" t="s">
        <v>18</v>
      </c>
      <c r="Q972" s="8" t="s">
        <v>18</v>
      </c>
      <c r="R972" s="8" t="s">
        <v>2110</v>
      </c>
      <c r="S972" s="8" t="s">
        <v>2209</v>
      </c>
      <c r="T972" s="8" t="s">
        <v>2566</v>
      </c>
      <c r="U972" s="8" t="s">
        <v>2727</v>
      </c>
      <c r="V972" s="8" t="s">
        <v>845</v>
      </c>
      <c r="W972" s="8">
        <f t="shared" si="28"/>
        <v>2</v>
      </c>
      <c r="X972" s="8">
        <f>K972*L972*N972</f>
        <v>18181.960319999998</v>
      </c>
    </row>
    <row r="973" spans="1:24" s="8" customFormat="1" ht="41.5" customHeight="1">
      <c r="A973" s="8" t="s">
        <v>2312</v>
      </c>
      <c r="B973" s="8" t="s">
        <v>2728</v>
      </c>
      <c r="C973" s="9">
        <v>45832.321851562498</v>
      </c>
      <c r="D973" s="8" t="s">
        <v>2208</v>
      </c>
      <c r="E973" s="8" t="s">
        <v>2057</v>
      </c>
      <c r="F973" s="8">
        <v>1</v>
      </c>
      <c r="G973" s="2">
        <v>642</v>
      </c>
      <c r="H973" s="8" t="s">
        <v>805</v>
      </c>
      <c r="I973" s="2">
        <f t="shared" si="29"/>
        <v>642</v>
      </c>
      <c r="J973" s="8" t="s">
        <v>27</v>
      </c>
      <c r="K973" s="10">
        <v>9.234</v>
      </c>
      <c r="L973" s="10">
        <v>19690.91</v>
      </c>
      <c r="M973" s="11">
        <v>181818</v>
      </c>
      <c r="N973" s="8" t="s">
        <v>30</v>
      </c>
      <c r="O973" s="8" t="s">
        <v>17</v>
      </c>
      <c r="P973" s="8" t="s">
        <v>18</v>
      </c>
      <c r="Q973" s="8" t="s">
        <v>18</v>
      </c>
      <c r="R973" s="8" t="s">
        <v>2110</v>
      </c>
      <c r="S973" s="8" t="s">
        <v>2209</v>
      </c>
      <c r="T973" s="8" t="s">
        <v>2566</v>
      </c>
      <c r="U973" s="8" t="s">
        <v>2727</v>
      </c>
      <c r="V973" s="8" t="s">
        <v>874</v>
      </c>
      <c r="W973" s="8">
        <f t="shared" si="28"/>
        <v>2</v>
      </c>
      <c r="X973" s="8">
        <f>K973*L973*N973</f>
        <v>18182.586294000001</v>
      </c>
    </row>
    <row r="974" spans="1:24" s="8" customFormat="1" ht="41.5" customHeight="1">
      <c r="A974" s="8" t="s">
        <v>2312</v>
      </c>
      <c r="B974" s="8" t="s">
        <v>2729</v>
      </c>
      <c r="C974" s="9">
        <v>45825.700666886602</v>
      </c>
      <c r="D974" s="8" t="s">
        <v>2208</v>
      </c>
      <c r="E974" s="8" t="s">
        <v>2057</v>
      </c>
      <c r="F974" s="8">
        <v>1</v>
      </c>
      <c r="G974" s="2">
        <v>642</v>
      </c>
      <c r="H974" s="8" t="s">
        <v>805</v>
      </c>
      <c r="I974" s="2">
        <f t="shared" si="29"/>
        <v>642</v>
      </c>
      <c r="J974" s="8" t="s">
        <v>27</v>
      </c>
      <c r="K974" s="10">
        <v>9.8279999999999994</v>
      </c>
      <c r="L974" s="10">
        <v>18500</v>
      </c>
      <c r="M974" s="11">
        <v>181818</v>
      </c>
      <c r="N974" s="8" t="s">
        <v>30</v>
      </c>
      <c r="O974" s="8" t="s">
        <v>17</v>
      </c>
      <c r="P974" s="8" t="s">
        <v>18</v>
      </c>
      <c r="Q974" s="8" t="s">
        <v>18</v>
      </c>
      <c r="R974" s="8" t="s">
        <v>2110</v>
      </c>
      <c r="S974" s="8" t="s">
        <v>2209</v>
      </c>
      <c r="T974" s="8" t="s">
        <v>2566</v>
      </c>
      <c r="U974" s="8" t="s">
        <v>2727</v>
      </c>
      <c r="V974" s="8" t="s">
        <v>875</v>
      </c>
      <c r="W974" s="8">
        <f t="shared" si="28"/>
        <v>2</v>
      </c>
      <c r="X974" s="8">
        <f>K974*L974*N974</f>
        <v>18181.8</v>
      </c>
    </row>
    <row r="975" spans="1:24" s="8" customFormat="1" ht="41.5" customHeight="1">
      <c r="A975" s="8" t="s">
        <v>2312</v>
      </c>
      <c r="B975" s="8" t="s">
        <v>2730</v>
      </c>
      <c r="C975" s="9">
        <v>45819.389972384299</v>
      </c>
      <c r="D975" s="8" t="s">
        <v>2208</v>
      </c>
      <c r="E975" s="8" t="s">
        <v>2057</v>
      </c>
      <c r="F975" s="8">
        <v>1</v>
      </c>
      <c r="G975" s="2">
        <v>642</v>
      </c>
      <c r="H975" s="8" t="s">
        <v>805</v>
      </c>
      <c r="I975" s="2">
        <f t="shared" si="29"/>
        <v>642</v>
      </c>
      <c r="J975" s="8" t="s">
        <v>27</v>
      </c>
      <c r="K975" s="10">
        <v>11.458</v>
      </c>
      <c r="L975" s="10">
        <v>18254.55</v>
      </c>
      <c r="M975" s="11">
        <v>209161</v>
      </c>
      <c r="N975" s="8" t="s">
        <v>30</v>
      </c>
      <c r="O975" s="8" t="s">
        <v>17</v>
      </c>
      <c r="P975" s="8" t="s">
        <v>18</v>
      </c>
      <c r="Q975" s="8" t="s">
        <v>18</v>
      </c>
      <c r="R975" s="8" t="s">
        <v>2110</v>
      </c>
      <c r="S975" s="8" t="s">
        <v>2209</v>
      </c>
      <c r="T975" s="8" t="s">
        <v>2566</v>
      </c>
      <c r="U975" s="8" t="s">
        <v>2727</v>
      </c>
      <c r="V975" s="8" t="s">
        <v>860</v>
      </c>
      <c r="W975" s="8">
        <f t="shared" si="28"/>
        <v>2</v>
      </c>
      <c r="X975" s="8">
        <f>K975*L975*N975</f>
        <v>20916.063389999999</v>
      </c>
    </row>
    <row r="976" spans="1:24" s="8" customFormat="1" ht="41.5" customHeight="1">
      <c r="A976" s="8" t="s">
        <v>2312</v>
      </c>
      <c r="B976" s="8" t="s">
        <v>2731</v>
      </c>
      <c r="C976" s="9">
        <v>45815.864724548599</v>
      </c>
      <c r="D976" s="8" t="s">
        <v>2208</v>
      </c>
      <c r="E976" s="8" t="s">
        <v>2057</v>
      </c>
      <c r="F976" s="8">
        <v>1</v>
      </c>
      <c r="G976" s="2">
        <v>642</v>
      </c>
      <c r="H976" s="8" t="s">
        <v>809</v>
      </c>
      <c r="I976" s="2">
        <f t="shared" si="29"/>
        <v>642</v>
      </c>
      <c r="J976" s="8" t="s">
        <v>27</v>
      </c>
      <c r="K976" s="10">
        <v>11.260999999999999</v>
      </c>
      <c r="L976" s="10">
        <v>16145.45</v>
      </c>
      <c r="M976" s="11">
        <v>181818</v>
      </c>
      <c r="N976" s="8" t="s">
        <v>30</v>
      </c>
      <c r="O976" s="8" t="s">
        <v>17</v>
      </c>
      <c r="P976" s="8" t="s">
        <v>18</v>
      </c>
      <c r="Q976" s="8" t="s">
        <v>18</v>
      </c>
      <c r="R976" s="8" t="s">
        <v>2110</v>
      </c>
      <c r="S976" s="8" t="s">
        <v>2209</v>
      </c>
      <c r="T976" s="8" t="s">
        <v>2566</v>
      </c>
      <c r="U976" s="8" t="s">
        <v>2727</v>
      </c>
      <c r="V976" s="8" t="s">
        <v>876</v>
      </c>
      <c r="W976" s="8">
        <f t="shared" si="28"/>
        <v>2</v>
      </c>
      <c r="X976" s="8">
        <f>K976*L976*N976</f>
        <v>18181.391245000003</v>
      </c>
    </row>
    <row r="977" spans="1:24" s="8" customFormat="1" ht="41.5" customHeight="1">
      <c r="A977" s="8" t="s">
        <v>2312</v>
      </c>
      <c r="B977" s="8" t="s">
        <v>2732</v>
      </c>
      <c r="C977" s="9">
        <v>45813.826721736099</v>
      </c>
      <c r="D977" s="8" t="s">
        <v>2208</v>
      </c>
      <c r="E977" s="8" t="s">
        <v>2057</v>
      </c>
      <c r="F977" s="8">
        <v>1</v>
      </c>
      <c r="G977" s="2">
        <v>642</v>
      </c>
      <c r="H977" s="8" t="s">
        <v>809</v>
      </c>
      <c r="I977" s="2">
        <f t="shared" si="29"/>
        <v>642</v>
      </c>
      <c r="J977" s="8" t="s">
        <v>27</v>
      </c>
      <c r="K977" s="10">
        <v>28.16</v>
      </c>
      <c r="L977" s="10">
        <v>16145.45</v>
      </c>
      <c r="M977" s="11">
        <v>454656</v>
      </c>
      <c r="N977" s="8" t="s">
        <v>30</v>
      </c>
      <c r="O977" s="8" t="s">
        <v>17</v>
      </c>
      <c r="P977" s="8" t="s">
        <v>18</v>
      </c>
      <c r="Q977" s="8" t="s">
        <v>18</v>
      </c>
      <c r="R977" s="8" t="s">
        <v>2110</v>
      </c>
      <c r="S977" s="8" t="s">
        <v>2209</v>
      </c>
      <c r="T977" s="8" t="s">
        <v>2566</v>
      </c>
      <c r="U977" s="8" t="s">
        <v>2727</v>
      </c>
      <c r="V977" s="8" t="s">
        <v>877</v>
      </c>
      <c r="W977" s="8">
        <f t="shared" si="28"/>
        <v>2</v>
      </c>
      <c r="X977" s="8">
        <f>K977*L977*N977</f>
        <v>45465.587200000009</v>
      </c>
    </row>
    <row r="978" spans="1:24" s="8" customFormat="1" ht="41.5" customHeight="1">
      <c r="A978" s="8" t="s">
        <v>2316</v>
      </c>
      <c r="B978" s="8" t="s">
        <v>878</v>
      </c>
      <c r="C978" s="9">
        <v>45815.6139820139</v>
      </c>
      <c r="D978" s="8" t="s">
        <v>2056</v>
      </c>
      <c r="E978" s="8" t="s">
        <v>2057</v>
      </c>
      <c r="F978" s="8">
        <v>1</v>
      </c>
      <c r="G978" s="22" t="s">
        <v>2160</v>
      </c>
      <c r="H978" s="8" t="s">
        <v>113</v>
      </c>
      <c r="I978" s="2" t="str">
        <f t="shared" si="29"/>
        <v>Ván ép phủ phim 2 mặt Kt 2440x1220*15 mm</v>
      </c>
      <c r="J978" s="8" t="s">
        <v>114</v>
      </c>
      <c r="K978" s="10">
        <v>300</v>
      </c>
      <c r="L978" s="10">
        <v>280000</v>
      </c>
      <c r="M978" s="11">
        <v>84000000</v>
      </c>
      <c r="N978" s="8" t="s">
        <v>16</v>
      </c>
      <c r="O978" s="8" t="s">
        <v>17</v>
      </c>
      <c r="P978" s="8" t="s">
        <v>18</v>
      </c>
      <c r="Q978" s="8" t="s">
        <v>18</v>
      </c>
      <c r="R978" s="8" t="s">
        <v>2115</v>
      </c>
      <c r="S978" s="8" t="s">
        <v>2211</v>
      </c>
      <c r="T978" s="8" t="s">
        <v>2212</v>
      </c>
      <c r="U978" s="8" t="s">
        <v>2733</v>
      </c>
      <c r="V978" s="8" t="s">
        <v>876</v>
      </c>
      <c r="W978" s="8">
        <f t="shared" si="28"/>
        <v>2</v>
      </c>
      <c r="X978" s="8">
        <f>K978*L978*N978</f>
        <v>6720000</v>
      </c>
    </row>
    <row r="979" spans="1:24" s="8" customFormat="1" ht="41.5" customHeight="1">
      <c r="A979" s="8" t="s">
        <v>2316</v>
      </c>
      <c r="B979" s="8" t="s">
        <v>878</v>
      </c>
      <c r="C979" s="9">
        <v>45815.6139820139</v>
      </c>
      <c r="D979" s="8" t="s">
        <v>2056</v>
      </c>
      <c r="E979" s="8" t="s">
        <v>2057</v>
      </c>
      <c r="F979" s="8">
        <v>2</v>
      </c>
      <c r="G979" s="22" t="s">
        <v>1443</v>
      </c>
      <c r="H979" s="8" t="s">
        <v>138</v>
      </c>
      <c r="I979" s="2" t="str">
        <f t="shared" si="29"/>
        <v>Ván ép phủ phim 2 mặt Kt 2240x1200*18 mm</v>
      </c>
      <c r="J979" s="8" t="s">
        <v>114</v>
      </c>
      <c r="K979" s="10">
        <v>300</v>
      </c>
      <c r="L979" s="10">
        <v>340000</v>
      </c>
      <c r="M979" s="11">
        <v>102000000</v>
      </c>
      <c r="N979" s="8" t="s">
        <v>16</v>
      </c>
      <c r="O979" s="8" t="s">
        <v>17</v>
      </c>
      <c r="P979" s="8" t="s">
        <v>18</v>
      </c>
      <c r="Q979" s="8" t="s">
        <v>18</v>
      </c>
      <c r="R979" s="8" t="s">
        <v>2115</v>
      </c>
      <c r="S979" s="8" t="s">
        <v>2211</v>
      </c>
      <c r="T979" s="8" t="s">
        <v>2212</v>
      </c>
      <c r="U979" s="8" t="s">
        <v>2733</v>
      </c>
      <c r="V979" s="8" t="s">
        <v>876</v>
      </c>
      <c r="W979" s="8">
        <f t="shared" si="28"/>
        <v>2</v>
      </c>
      <c r="X979" s="8">
        <f>K979*L979*N979</f>
        <v>8160000</v>
      </c>
    </row>
    <row r="980" spans="1:24" s="8" customFormat="1" ht="41.5" customHeight="1">
      <c r="A980" s="8" t="s">
        <v>2316</v>
      </c>
      <c r="B980" s="8" t="s">
        <v>879</v>
      </c>
      <c r="C980" s="9">
        <v>45814.491557708301</v>
      </c>
      <c r="D980" s="8" t="s">
        <v>2056</v>
      </c>
      <c r="E980" s="8" t="s">
        <v>2057</v>
      </c>
      <c r="F980" s="8">
        <v>1</v>
      </c>
      <c r="G980" s="22" t="s">
        <v>2160</v>
      </c>
      <c r="H980" s="8" t="s">
        <v>113</v>
      </c>
      <c r="I980" s="2" t="str">
        <f t="shared" si="29"/>
        <v>Ván ép phủ phim 2 mặt Kt 2440x1220*15 mm</v>
      </c>
      <c r="J980" s="8" t="s">
        <v>114</v>
      </c>
      <c r="K980" s="10">
        <v>360</v>
      </c>
      <c r="L980" s="10">
        <v>280000</v>
      </c>
      <c r="M980" s="11">
        <v>100800000</v>
      </c>
      <c r="N980" s="8" t="s">
        <v>16</v>
      </c>
      <c r="O980" s="8" t="s">
        <v>17</v>
      </c>
      <c r="P980" s="8" t="s">
        <v>18</v>
      </c>
      <c r="Q980" s="8" t="s">
        <v>18</v>
      </c>
      <c r="R980" s="8" t="s">
        <v>2115</v>
      </c>
      <c r="S980" s="8" t="s">
        <v>2211</v>
      </c>
      <c r="T980" s="8" t="s">
        <v>2212</v>
      </c>
      <c r="U980" s="8" t="s">
        <v>2733</v>
      </c>
      <c r="V980" s="8" t="s">
        <v>32</v>
      </c>
      <c r="W980" s="8">
        <f t="shared" si="28"/>
        <v>2</v>
      </c>
      <c r="X980" s="8">
        <f>K980*L980*N980</f>
        <v>8064000</v>
      </c>
    </row>
    <row r="981" spans="1:24" s="8" customFormat="1" ht="41.5" customHeight="1">
      <c r="A981" s="8" t="s">
        <v>2316</v>
      </c>
      <c r="B981" s="8" t="s">
        <v>879</v>
      </c>
      <c r="C981" s="9">
        <v>45814.491557708301</v>
      </c>
      <c r="D981" s="8" t="s">
        <v>2056</v>
      </c>
      <c r="E981" s="8" t="s">
        <v>2057</v>
      </c>
      <c r="F981" s="8">
        <v>2</v>
      </c>
      <c r="G981" s="2">
        <v>642</v>
      </c>
      <c r="H981" s="8" t="s">
        <v>880</v>
      </c>
      <c r="I981" s="2">
        <f t="shared" si="29"/>
        <v>642</v>
      </c>
      <c r="J981" s="8" t="s">
        <v>164</v>
      </c>
      <c r="K981" s="10">
        <v>1</v>
      </c>
      <c r="L981" s="10">
        <v>6000000</v>
      </c>
      <c r="M981" s="11">
        <v>6000000</v>
      </c>
      <c r="N981" s="8" t="s">
        <v>16</v>
      </c>
      <c r="O981" s="8" t="s">
        <v>17</v>
      </c>
      <c r="P981" s="8" t="s">
        <v>18</v>
      </c>
      <c r="Q981" s="8" t="s">
        <v>18</v>
      </c>
      <c r="R981" s="8" t="s">
        <v>2115</v>
      </c>
      <c r="S981" s="8" t="s">
        <v>2211</v>
      </c>
      <c r="T981" s="8" t="s">
        <v>2212</v>
      </c>
      <c r="U981" s="8" t="s">
        <v>2733</v>
      </c>
      <c r="V981" s="8" t="s">
        <v>32</v>
      </c>
      <c r="W981" s="8">
        <f t="shared" si="28"/>
        <v>2</v>
      </c>
      <c r="X981" s="8">
        <f>K981*L981*N981</f>
        <v>480000</v>
      </c>
    </row>
    <row r="982" spans="1:24" s="8" customFormat="1" ht="41.5" customHeight="1">
      <c r="A982" s="8" t="s">
        <v>2316</v>
      </c>
      <c r="B982" s="8" t="s">
        <v>861</v>
      </c>
      <c r="C982" s="9">
        <v>45814.427456273203</v>
      </c>
      <c r="D982" s="8" t="s">
        <v>2056</v>
      </c>
      <c r="E982" s="8" t="s">
        <v>2057</v>
      </c>
      <c r="F982" s="8">
        <v>1</v>
      </c>
      <c r="G982" s="22" t="s">
        <v>2160</v>
      </c>
      <c r="H982" s="8" t="s">
        <v>113</v>
      </c>
      <c r="I982" s="2" t="str">
        <f t="shared" si="29"/>
        <v>Ván ép phủ phim 2 mặt Kt 2440x1220*15 mm</v>
      </c>
      <c r="J982" s="8" t="s">
        <v>114</v>
      </c>
      <c r="K982" s="10">
        <v>200</v>
      </c>
      <c r="L982" s="10">
        <v>280000</v>
      </c>
      <c r="M982" s="11">
        <v>56000000</v>
      </c>
      <c r="N982" s="8" t="s">
        <v>16</v>
      </c>
      <c r="O982" s="8" t="s">
        <v>17</v>
      </c>
      <c r="P982" s="8" t="s">
        <v>18</v>
      </c>
      <c r="Q982" s="8" t="s">
        <v>18</v>
      </c>
      <c r="R982" s="8" t="s">
        <v>2115</v>
      </c>
      <c r="S982" s="8" t="s">
        <v>2211</v>
      </c>
      <c r="T982" s="8" t="s">
        <v>2212</v>
      </c>
      <c r="U982" s="8" t="s">
        <v>2733</v>
      </c>
      <c r="V982" s="8" t="s">
        <v>32</v>
      </c>
      <c r="W982" s="8">
        <f t="shared" si="28"/>
        <v>2</v>
      </c>
      <c r="X982" s="8">
        <f>K982*L982*N982</f>
        <v>4480000</v>
      </c>
    </row>
    <row r="983" spans="1:24" s="8" customFormat="1" ht="41.5" customHeight="1">
      <c r="A983" s="8" t="s">
        <v>2316</v>
      </c>
      <c r="B983" s="8" t="s">
        <v>861</v>
      </c>
      <c r="C983" s="9">
        <v>45814.427456273203</v>
      </c>
      <c r="D983" s="8" t="s">
        <v>2056</v>
      </c>
      <c r="E983" s="8" t="s">
        <v>2057</v>
      </c>
      <c r="F983" s="8">
        <v>2</v>
      </c>
      <c r="G983" s="2">
        <v>642</v>
      </c>
      <c r="H983" s="8" t="s">
        <v>881</v>
      </c>
      <c r="I983" s="2">
        <f t="shared" si="29"/>
        <v>642</v>
      </c>
      <c r="J983" s="8" t="s">
        <v>164</v>
      </c>
      <c r="K983" s="10">
        <v>1</v>
      </c>
      <c r="L983" s="10">
        <v>2300000</v>
      </c>
      <c r="M983" s="11">
        <v>2300000</v>
      </c>
      <c r="N983" s="8" t="s">
        <v>16</v>
      </c>
      <c r="O983" s="8" t="s">
        <v>17</v>
      </c>
      <c r="P983" s="8" t="s">
        <v>18</v>
      </c>
      <c r="Q983" s="8" t="s">
        <v>18</v>
      </c>
      <c r="R983" s="8" t="s">
        <v>2115</v>
      </c>
      <c r="S983" s="8" t="s">
        <v>2211</v>
      </c>
      <c r="T983" s="8" t="s">
        <v>2212</v>
      </c>
      <c r="U983" s="8" t="s">
        <v>2733</v>
      </c>
      <c r="V983" s="8" t="s">
        <v>32</v>
      </c>
      <c r="W983" s="8">
        <f t="shared" si="28"/>
        <v>2</v>
      </c>
      <c r="X983" s="8">
        <f>K983*L983*N983</f>
        <v>184000</v>
      </c>
    </row>
    <row r="984" spans="1:24" s="8" customFormat="1" ht="41.5" customHeight="1">
      <c r="A984" s="8" t="s">
        <v>2281</v>
      </c>
      <c r="B984" s="8" t="s">
        <v>882</v>
      </c>
      <c r="C984" s="9">
        <v>45818.642755659697</v>
      </c>
      <c r="D984" s="8" t="s">
        <v>2056</v>
      </c>
      <c r="E984" s="8" t="s">
        <v>2057</v>
      </c>
      <c r="F984" s="8">
        <v>1</v>
      </c>
      <c r="G984" s="27" t="s">
        <v>1375</v>
      </c>
      <c r="H984" s="8" t="s">
        <v>883</v>
      </c>
      <c r="I984" s="2" t="str">
        <f t="shared" si="29"/>
        <v>Sơn công nghiệp đa năng - SK 1kg</v>
      </c>
      <c r="J984" s="8" t="s">
        <v>53</v>
      </c>
      <c r="K984" s="10">
        <v>28</v>
      </c>
      <c r="L984" s="10">
        <v>168520</v>
      </c>
      <c r="M984" s="11">
        <v>4718560</v>
      </c>
      <c r="N984" s="8" t="s">
        <v>30</v>
      </c>
      <c r="O984" s="8" t="s">
        <v>17</v>
      </c>
      <c r="P984" s="8" t="s">
        <v>18</v>
      </c>
      <c r="Q984" s="8" t="s">
        <v>18</v>
      </c>
      <c r="R984" s="8" t="s">
        <v>2115</v>
      </c>
      <c r="S984" s="8" t="s">
        <v>2734</v>
      </c>
      <c r="T984" s="8" t="s">
        <v>2735</v>
      </c>
      <c r="U984" s="8" t="s">
        <v>2736</v>
      </c>
      <c r="V984" s="8" t="s">
        <v>884</v>
      </c>
      <c r="W984" s="8">
        <f t="shared" si="28"/>
        <v>2</v>
      </c>
      <c r="X984" s="8">
        <f>K984*L984*N984</f>
        <v>471856</v>
      </c>
    </row>
    <row r="985" spans="1:24" s="8" customFormat="1" ht="41.5" customHeight="1">
      <c r="A985" s="8" t="s">
        <v>2427</v>
      </c>
      <c r="B985" s="8" t="s">
        <v>2737</v>
      </c>
      <c r="C985" s="9">
        <v>45838.369471388898</v>
      </c>
      <c r="D985" s="8" t="s">
        <v>2056</v>
      </c>
      <c r="E985" s="8" t="s">
        <v>2057</v>
      </c>
      <c r="F985" s="8">
        <v>1</v>
      </c>
      <c r="G985" s="22" t="s">
        <v>885</v>
      </c>
      <c r="H985" s="8" t="s">
        <v>885</v>
      </c>
      <c r="I985" s="2" t="str">
        <f t="shared" si="29"/>
        <v>Dây cảo chằng hàng 3Tx6M</v>
      </c>
      <c r="J985" s="8" t="s">
        <v>15</v>
      </c>
      <c r="K985" s="10">
        <v>100</v>
      </c>
      <c r="L985" s="10">
        <v>92000</v>
      </c>
      <c r="M985" s="11">
        <v>9200000</v>
      </c>
      <c r="N985" s="8" t="s">
        <v>30</v>
      </c>
      <c r="O985" s="8" t="s">
        <v>17</v>
      </c>
      <c r="P985" s="8" t="s">
        <v>18</v>
      </c>
      <c r="Q985" s="8" t="s">
        <v>18</v>
      </c>
      <c r="R985" s="8" t="s">
        <v>2115</v>
      </c>
      <c r="S985" s="8" t="s">
        <v>2248</v>
      </c>
      <c r="T985" s="8" t="s">
        <v>2249</v>
      </c>
      <c r="U985" s="8" t="s">
        <v>2738</v>
      </c>
      <c r="V985" s="8" t="s">
        <v>828</v>
      </c>
      <c r="W985" s="8">
        <f t="shared" si="28"/>
        <v>2</v>
      </c>
      <c r="X985" s="8">
        <f>K985*L985*N985</f>
        <v>920000</v>
      </c>
    </row>
    <row r="986" spans="1:24" s="8" customFormat="1" ht="41.5" customHeight="1">
      <c r="A986" s="8" t="s">
        <v>2427</v>
      </c>
      <c r="B986" s="8" t="s">
        <v>2737</v>
      </c>
      <c r="C986" s="9">
        <v>45838.369471388898</v>
      </c>
      <c r="D986" s="8" t="s">
        <v>2056</v>
      </c>
      <c r="E986" s="8" t="s">
        <v>2057</v>
      </c>
      <c r="F986" s="8">
        <v>2</v>
      </c>
      <c r="G986" s="22" t="s">
        <v>886</v>
      </c>
      <c r="H986" s="8" t="s">
        <v>886</v>
      </c>
      <c r="I986" s="2" t="str">
        <f t="shared" si="29"/>
        <v>Bát ren D17 đen</v>
      </c>
      <c r="J986" s="8" t="s">
        <v>15</v>
      </c>
      <c r="K986" s="10">
        <v>12</v>
      </c>
      <c r="L986" s="10">
        <v>12500</v>
      </c>
      <c r="M986" s="11">
        <v>150000</v>
      </c>
      <c r="N986" s="8" t="s">
        <v>30</v>
      </c>
      <c r="O986" s="8" t="s">
        <v>17</v>
      </c>
      <c r="P986" s="8" t="s">
        <v>18</v>
      </c>
      <c r="Q986" s="8" t="s">
        <v>18</v>
      </c>
      <c r="R986" s="8" t="s">
        <v>2115</v>
      </c>
      <c r="S986" s="8" t="s">
        <v>2248</v>
      </c>
      <c r="T986" s="8" t="s">
        <v>2249</v>
      </c>
      <c r="U986" s="8" t="s">
        <v>2738</v>
      </c>
      <c r="V986" s="8" t="s">
        <v>828</v>
      </c>
      <c r="W986" s="8">
        <f t="shared" si="28"/>
        <v>2</v>
      </c>
      <c r="X986" s="8">
        <f>K986*L986*N986</f>
        <v>15000</v>
      </c>
    </row>
    <row r="987" spans="1:24" s="8" customFormat="1" ht="41.5" customHeight="1">
      <c r="A987" s="8" t="s">
        <v>2427</v>
      </c>
      <c r="B987" s="8" t="s">
        <v>2739</v>
      </c>
      <c r="C987" s="9">
        <v>45829.413173344903</v>
      </c>
      <c r="D987" s="8" t="s">
        <v>2056</v>
      </c>
      <c r="E987" s="8" t="s">
        <v>2057</v>
      </c>
      <c r="F987" s="8">
        <v>1</v>
      </c>
      <c r="G987" s="27" t="s">
        <v>1194</v>
      </c>
      <c r="H987" s="8" t="s">
        <v>203</v>
      </c>
      <c r="I987" s="2" t="str">
        <f t="shared" si="29"/>
        <v>Bát ren D16</v>
      </c>
      <c r="J987" s="8" t="s">
        <v>15</v>
      </c>
      <c r="K987" s="10">
        <v>1000</v>
      </c>
      <c r="L987" s="10">
        <v>14700</v>
      </c>
      <c r="M987" s="11">
        <v>14700000</v>
      </c>
      <c r="N987" s="8" t="s">
        <v>30</v>
      </c>
      <c r="O987" s="8" t="s">
        <v>17</v>
      </c>
      <c r="P987" s="8" t="s">
        <v>18</v>
      </c>
      <c r="Q987" s="8" t="s">
        <v>18</v>
      </c>
      <c r="R987" s="8" t="s">
        <v>2115</v>
      </c>
      <c r="S987" s="8" t="s">
        <v>2248</v>
      </c>
      <c r="T987" s="8" t="s">
        <v>2249</v>
      </c>
      <c r="U987" s="8" t="s">
        <v>2738</v>
      </c>
      <c r="V987" s="8" t="s">
        <v>887</v>
      </c>
      <c r="W987" s="8">
        <f t="shared" si="28"/>
        <v>2</v>
      </c>
      <c r="X987" s="8">
        <f>K987*L987*N987</f>
        <v>1470000</v>
      </c>
    </row>
    <row r="988" spans="1:24" s="8" customFormat="1" ht="41.5" customHeight="1">
      <c r="A988" s="8" t="s">
        <v>2427</v>
      </c>
      <c r="B988" s="8" t="s">
        <v>2739</v>
      </c>
      <c r="C988" s="9">
        <v>45829.413173344903</v>
      </c>
      <c r="D988" s="8" t="s">
        <v>2056</v>
      </c>
      <c r="E988" s="8" t="s">
        <v>2057</v>
      </c>
      <c r="F988" s="8">
        <v>2</v>
      </c>
      <c r="G988" s="22" t="s">
        <v>820</v>
      </c>
      <c r="H988" s="8" t="s">
        <v>820</v>
      </c>
      <c r="I988" s="2" t="str">
        <f t="shared" si="29"/>
        <v>Tyren D16</v>
      </c>
      <c r="J988" s="8" t="s">
        <v>71</v>
      </c>
      <c r="K988" s="10">
        <v>750</v>
      </c>
      <c r="L988" s="10">
        <v>20000</v>
      </c>
      <c r="M988" s="11">
        <v>15000000</v>
      </c>
      <c r="N988" s="8" t="s">
        <v>30</v>
      </c>
      <c r="O988" s="8" t="s">
        <v>17</v>
      </c>
      <c r="P988" s="8" t="s">
        <v>18</v>
      </c>
      <c r="Q988" s="8" t="s">
        <v>18</v>
      </c>
      <c r="R988" s="8" t="s">
        <v>2115</v>
      </c>
      <c r="S988" s="8" t="s">
        <v>2248</v>
      </c>
      <c r="T988" s="8" t="s">
        <v>2249</v>
      </c>
      <c r="U988" s="8" t="s">
        <v>2738</v>
      </c>
      <c r="V988" s="8" t="s">
        <v>887</v>
      </c>
      <c r="W988" s="8">
        <f t="shared" si="28"/>
        <v>2</v>
      </c>
      <c r="X988" s="8">
        <f>K988*L988*N988</f>
        <v>1500000</v>
      </c>
    </row>
    <row r="989" spans="1:24" s="8" customFormat="1" ht="41.5" customHeight="1">
      <c r="A989" s="8" t="s">
        <v>2427</v>
      </c>
      <c r="B989" s="8" t="s">
        <v>2740</v>
      </c>
      <c r="C989" s="9">
        <v>45815.375070763897</v>
      </c>
      <c r="D989" s="8" t="s">
        <v>2056</v>
      </c>
      <c r="E989" s="8" t="s">
        <v>2057</v>
      </c>
      <c r="F989" s="8">
        <v>1</v>
      </c>
      <c r="G989" s="27" t="s">
        <v>1194</v>
      </c>
      <c r="H989" s="8" t="s">
        <v>203</v>
      </c>
      <c r="I989" s="2" t="str">
        <f t="shared" si="29"/>
        <v>Bát ren D16</v>
      </c>
      <c r="J989" s="8" t="s">
        <v>15</v>
      </c>
      <c r="K989" s="10">
        <v>3000</v>
      </c>
      <c r="L989" s="10">
        <v>14700</v>
      </c>
      <c r="M989" s="11">
        <v>44100000</v>
      </c>
      <c r="N989" s="8" t="s">
        <v>30</v>
      </c>
      <c r="O989" s="8" t="s">
        <v>17</v>
      </c>
      <c r="P989" s="8" t="s">
        <v>18</v>
      </c>
      <c r="Q989" s="8" t="s">
        <v>18</v>
      </c>
      <c r="R989" s="8" t="s">
        <v>2115</v>
      </c>
      <c r="S989" s="8" t="s">
        <v>2248</v>
      </c>
      <c r="T989" s="8" t="s">
        <v>2249</v>
      </c>
      <c r="U989" s="8" t="s">
        <v>2738</v>
      </c>
      <c r="V989" s="8" t="s">
        <v>876</v>
      </c>
      <c r="W989" s="8">
        <f t="shared" ref="W989:W1052" si="30">ROUNDUP(MONTH(V989)/3,0)</f>
        <v>2</v>
      </c>
      <c r="X989" s="8">
        <f>K989*L989*N989</f>
        <v>4410000</v>
      </c>
    </row>
    <row r="990" spans="1:24" s="8" customFormat="1" ht="41.5" customHeight="1">
      <c r="A990" s="8" t="s">
        <v>2427</v>
      </c>
      <c r="B990" s="8" t="s">
        <v>2740</v>
      </c>
      <c r="C990" s="9">
        <v>45815.375070763897</v>
      </c>
      <c r="D990" s="8" t="s">
        <v>2056</v>
      </c>
      <c r="E990" s="8" t="s">
        <v>2057</v>
      </c>
      <c r="F990" s="8">
        <v>2</v>
      </c>
      <c r="G990" s="22" t="s">
        <v>820</v>
      </c>
      <c r="H990" s="8" t="s">
        <v>820</v>
      </c>
      <c r="I990" s="2" t="str">
        <f t="shared" si="29"/>
        <v>Tyren D16</v>
      </c>
      <c r="J990" s="8" t="s">
        <v>71</v>
      </c>
      <c r="K990" s="10">
        <v>210</v>
      </c>
      <c r="L990" s="10">
        <v>20000</v>
      </c>
      <c r="M990" s="11">
        <v>4200000</v>
      </c>
      <c r="N990" s="8" t="s">
        <v>30</v>
      </c>
      <c r="O990" s="8" t="s">
        <v>17</v>
      </c>
      <c r="P990" s="8" t="s">
        <v>18</v>
      </c>
      <c r="Q990" s="8" t="s">
        <v>18</v>
      </c>
      <c r="R990" s="8" t="s">
        <v>2115</v>
      </c>
      <c r="S990" s="8" t="s">
        <v>2248</v>
      </c>
      <c r="T990" s="8" t="s">
        <v>2249</v>
      </c>
      <c r="U990" s="8" t="s">
        <v>2738</v>
      </c>
      <c r="V990" s="8" t="s">
        <v>876</v>
      </c>
      <c r="W990" s="8">
        <f t="shared" si="30"/>
        <v>2</v>
      </c>
      <c r="X990" s="8">
        <f>K990*L990*N990</f>
        <v>420000</v>
      </c>
    </row>
    <row r="991" spans="1:24" s="8" customFormat="1" ht="41.5" customHeight="1">
      <c r="A991" s="8" t="s">
        <v>2427</v>
      </c>
      <c r="B991" s="8" t="s">
        <v>2740</v>
      </c>
      <c r="C991" s="9">
        <v>45815.375070763897</v>
      </c>
      <c r="D991" s="8" t="s">
        <v>2056</v>
      </c>
      <c r="E991" s="8" t="s">
        <v>2057</v>
      </c>
      <c r="F991" s="8">
        <v>3</v>
      </c>
      <c r="G991" s="22" t="s">
        <v>300</v>
      </c>
      <c r="H991" s="8" t="s">
        <v>300</v>
      </c>
      <c r="I991" s="2" t="str">
        <f t="shared" si="29"/>
        <v>Côn sắt D16</v>
      </c>
      <c r="J991" s="8" t="s">
        <v>15</v>
      </c>
      <c r="K991" s="10">
        <v>3000</v>
      </c>
      <c r="L991" s="10">
        <v>10755</v>
      </c>
      <c r="M991" s="11">
        <v>32265000</v>
      </c>
      <c r="N991" s="8" t="s">
        <v>30</v>
      </c>
      <c r="O991" s="8" t="s">
        <v>17</v>
      </c>
      <c r="P991" s="8" t="s">
        <v>18</v>
      </c>
      <c r="Q991" s="8" t="s">
        <v>18</v>
      </c>
      <c r="R991" s="8" t="s">
        <v>2115</v>
      </c>
      <c r="S991" s="8" t="s">
        <v>2248</v>
      </c>
      <c r="T991" s="8" t="s">
        <v>2249</v>
      </c>
      <c r="U991" s="8" t="s">
        <v>2738</v>
      </c>
      <c r="V991" s="8" t="s">
        <v>876</v>
      </c>
      <c r="W991" s="8">
        <f t="shared" si="30"/>
        <v>2</v>
      </c>
      <c r="X991" s="8">
        <f>K991*L991*N991</f>
        <v>3226500</v>
      </c>
    </row>
    <row r="992" spans="1:24" s="8" customFormat="1" ht="41.5" customHeight="1">
      <c r="A992" s="8" t="s">
        <v>2280</v>
      </c>
      <c r="B992" s="8" t="s">
        <v>2741</v>
      </c>
      <c r="C992" s="9">
        <v>45814.720776990704</v>
      </c>
      <c r="D992" s="8" t="s">
        <v>2056</v>
      </c>
      <c r="E992" s="8" t="s">
        <v>2057</v>
      </c>
      <c r="F992" s="8">
        <v>1</v>
      </c>
      <c r="G992" s="22" t="s">
        <v>2742</v>
      </c>
      <c r="H992" s="8" t="s">
        <v>888</v>
      </c>
      <c r="I992" s="2" t="str">
        <f t="shared" si="29"/>
        <v>máy đục phá GSH 500</v>
      </c>
      <c r="J992" s="8" t="s">
        <v>15</v>
      </c>
      <c r="K992" s="10">
        <v>2</v>
      </c>
      <c r="L992" s="10">
        <v>4136363.63</v>
      </c>
      <c r="M992" s="11">
        <v>8272727</v>
      </c>
      <c r="N992" s="8" t="s">
        <v>30</v>
      </c>
      <c r="O992" s="8" t="s">
        <v>17</v>
      </c>
      <c r="P992" s="8" t="s">
        <v>18</v>
      </c>
      <c r="Q992" s="8" t="s">
        <v>18</v>
      </c>
      <c r="R992" s="8" t="s">
        <v>2155</v>
      </c>
      <c r="S992" s="8" t="s">
        <v>2743</v>
      </c>
      <c r="T992" s="8" t="s">
        <v>2744</v>
      </c>
      <c r="U992" s="8" t="s">
        <v>2745</v>
      </c>
      <c r="V992" s="8" t="s">
        <v>32</v>
      </c>
      <c r="W992" s="8">
        <f t="shared" si="30"/>
        <v>2</v>
      </c>
      <c r="X992" s="8">
        <f>K992*L992*N992</f>
        <v>827272.72600000002</v>
      </c>
    </row>
    <row r="993" spans="1:24" s="8" customFormat="1" ht="41.5" customHeight="1">
      <c r="A993" s="8" t="s">
        <v>2519</v>
      </c>
      <c r="B993" s="8" t="s">
        <v>2746</v>
      </c>
      <c r="C993" s="9">
        <v>45833.635006863398</v>
      </c>
      <c r="D993" s="8" t="s">
        <v>2056</v>
      </c>
      <c r="E993" s="8" t="s">
        <v>2057</v>
      </c>
      <c r="F993" s="8">
        <v>1</v>
      </c>
      <c r="G993" s="22" t="s">
        <v>2261</v>
      </c>
      <c r="H993" s="8" t="s">
        <v>634</v>
      </c>
      <c r="I993" s="2" t="str">
        <f t="shared" si="29"/>
        <v>Áp to mát chống rò điện và quá tải LB63N1</v>
      </c>
      <c r="J993" s="8" t="s">
        <v>15</v>
      </c>
      <c r="K993" s="10">
        <v>10</v>
      </c>
      <c r="L993" s="10">
        <v>280800</v>
      </c>
      <c r="M993" s="11">
        <v>2808000</v>
      </c>
      <c r="N993" s="8" t="s">
        <v>16</v>
      </c>
      <c r="O993" s="8" t="s">
        <v>17</v>
      </c>
      <c r="P993" s="8" t="s">
        <v>18</v>
      </c>
      <c r="Q993" s="8" t="s">
        <v>18</v>
      </c>
      <c r="R993" s="8" t="s">
        <v>2115</v>
      </c>
      <c r="S993" s="8" t="s">
        <v>2521</v>
      </c>
      <c r="T993" s="8" t="s">
        <v>2522</v>
      </c>
      <c r="U993" s="8" t="s">
        <v>2747</v>
      </c>
      <c r="V993" s="8" t="s">
        <v>857</v>
      </c>
      <c r="W993" s="8">
        <f t="shared" si="30"/>
        <v>2</v>
      </c>
      <c r="X993" s="8">
        <f>K993*L993*N993</f>
        <v>224640</v>
      </c>
    </row>
    <row r="994" spans="1:24" s="8" customFormat="1" ht="41.5" customHeight="1">
      <c r="A994" s="8" t="s">
        <v>2519</v>
      </c>
      <c r="B994" s="8" t="s">
        <v>2748</v>
      </c>
      <c r="C994" s="9">
        <v>45827.4150368634</v>
      </c>
      <c r="D994" s="8" t="s">
        <v>2056</v>
      </c>
      <c r="E994" s="8" t="s">
        <v>2057</v>
      </c>
      <c r="F994" s="8">
        <v>1</v>
      </c>
      <c r="G994" s="22" t="s">
        <v>1535</v>
      </c>
      <c r="H994" s="8" t="s">
        <v>889</v>
      </c>
      <c r="I994" s="2" t="str">
        <f t="shared" si="29"/>
        <v>Dây Cu/PVC/PVC/VCTF 2x2.5</v>
      </c>
      <c r="J994" s="8" t="s">
        <v>47</v>
      </c>
      <c r="K994" s="10">
        <v>200</v>
      </c>
      <c r="L994" s="10">
        <v>16187.2</v>
      </c>
      <c r="M994" s="11">
        <v>3237440</v>
      </c>
      <c r="N994" s="8" t="s">
        <v>30</v>
      </c>
      <c r="O994" s="8" t="s">
        <v>17</v>
      </c>
      <c r="P994" s="8" t="s">
        <v>18</v>
      </c>
      <c r="Q994" s="8" t="s">
        <v>18</v>
      </c>
      <c r="R994" s="8" t="s">
        <v>2115</v>
      </c>
      <c r="S994" s="8" t="s">
        <v>2521</v>
      </c>
      <c r="T994" s="8" t="s">
        <v>2522</v>
      </c>
      <c r="U994" s="8" t="s">
        <v>2747</v>
      </c>
      <c r="V994" s="8" t="s">
        <v>890</v>
      </c>
      <c r="W994" s="8">
        <f t="shared" si="30"/>
        <v>2</v>
      </c>
      <c r="X994" s="8">
        <f>K994*L994*N994</f>
        <v>323744</v>
      </c>
    </row>
    <row r="995" spans="1:24" s="8" customFormat="1" ht="41.5" customHeight="1">
      <c r="A995" s="8" t="s">
        <v>2519</v>
      </c>
      <c r="B995" s="8" t="s">
        <v>2749</v>
      </c>
      <c r="C995" s="9">
        <v>45822.350830833297</v>
      </c>
      <c r="D995" s="8" t="s">
        <v>2056</v>
      </c>
      <c r="E995" s="8" t="s">
        <v>2057</v>
      </c>
      <c r="F995" s="8">
        <v>1</v>
      </c>
      <c r="G995" s="22" t="s">
        <v>1535</v>
      </c>
      <c r="H995" s="8" t="s">
        <v>891</v>
      </c>
      <c r="I995" s="2" t="str">
        <f t="shared" si="29"/>
        <v>Dây Cu/PVC/PVC/VCTF 2x2.5</v>
      </c>
      <c r="J995" s="8" t="s">
        <v>47</v>
      </c>
      <c r="K995" s="10">
        <v>400</v>
      </c>
      <c r="L995" s="10">
        <v>22807.200000000001</v>
      </c>
      <c r="M995" s="11">
        <v>9122880</v>
      </c>
      <c r="N995" s="8" t="s">
        <v>30</v>
      </c>
      <c r="O995" s="8" t="s">
        <v>17</v>
      </c>
      <c r="P995" s="8" t="s">
        <v>18</v>
      </c>
      <c r="Q995" s="8" t="s">
        <v>18</v>
      </c>
      <c r="R995" s="8" t="s">
        <v>2115</v>
      </c>
      <c r="S995" s="8" t="s">
        <v>2521</v>
      </c>
      <c r="T995" s="8" t="s">
        <v>2522</v>
      </c>
      <c r="U995" s="8" t="s">
        <v>2747</v>
      </c>
      <c r="V995" s="8" t="s">
        <v>848</v>
      </c>
      <c r="W995" s="8">
        <f t="shared" si="30"/>
        <v>2</v>
      </c>
      <c r="X995" s="8">
        <f>K995*L995*N995</f>
        <v>912288</v>
      </c>
    </row>
    <row r="996" spans="1:24" s="8" customFormat="1" ht="41.5" customHeight="1">
      <c r="A996" s="8" t="s">
        <v>2519</v>
      </c>
      <c r="B996" s="8" t="s">
        <v>2750</v>
      </c>
      <c r="C996" s="9">
        <v>45819.342768159702</v>
      </c>
      <c r="D996" s="8" t="s">
        <v>2056</v>
      </c>
      <c r="E996" s="8" t="s">
        <v>2057</v>
      </c>
      <c r="F996" s="8">
        <v>1</v>
      </c>
      <c r="G996" s="22" t="s">
        <v>2261</v>
      </c>
      <c r="H996" s="8" t="s">
        <v>892</v>
      </c>
      <c r="I996" s="2" t="str">
        <f t="shared" si="29"/>
        <v>Áp to mát chống rò điện và quá tải LB63N1</v>
      </c>
      <c r="J996" s="8" t="s">
        <v>15</v>
      </c>
      <c r="K996" s="10">
        <v>5</v>
      </c>
      <c r="L996" s="10">
        <v>286200</v>
      </c>
      <c r="M996" s="11">
        <v>1431000</v>
      </c>
      <c r="N996" s="8" t="s">
        <v>16</v>
      </c>
      <c r="O996" s="8" t="s">
        <v>17</v>
      </c>
      <c r="P996" s="8" t="s">
        <v>18</v>
      </c>
      <c r="Q996" s="8" t="s">
        <v>18</v>
      </c>
      <c r="R996" s="8" t="s">
        <v>2115</v>
      </c>
      <c r="S996" s="8" t="s">
        <v>2521</v>
      </c>
      <c r="T996" s="8" t="s">
        <v>2522</v>
      </c>
      <c r="U996" s="8" t="s">
        <v>2747</v>
      </c>
      <c r="V996" s="8" t="s">
        <v>860</v>
      </c>
      <c r="W996" s="8">
        <f t="shared" si="30"/>
        <v>2</v>
      </c>
      <c r="X996" s="8">
        <f>K996*L996*N996</f>
        <v>114480</v>
      </c>
    </row>
    <row r="997" spans="1:24" s="8" customFormat="1" ht="41.5" customHeight="1">
      <c r="A997" s="8" t="s">
        <v>2336</v>
      </c>
      <c r="B997" s="8" t="s">
        <v>2751</v>
      </c>
      <c r="C997" s="9">
        <v>45856.765146794001</v>
      </c>
      <c r="D997" s="8" t="s">
        <v>2062</v>
      </c>
      <c r="E997" s="8" t="s">
        <v>2057</v>
      </c>
      <c r="F997" s="8">
        <v>1</v>
      </c>
      <c r="G997" s="2">
        <v>635</v>
      </c>
      <c r="H997" s="8" t="s">
        <v>116</v>
      </c>
      <c r="I997" s="2">
        <f t="shared" si="29"/>
        <v>635</v>
      </c>
      <c r="M997" s="11">
        <v>20000</v>
      </c>
      <c r="N997" s="8" t="s">
        <v>30</v>
      </c>
      <c r="O997" s="8" t="s">
        <v>17</v>
      </c>
      <c r="P997" s="8" t="s">
        <v>18</v>
      </c>
      <c r="Q997" s="8" t="s">
        <v>18</v>
      </c>
      <c r="S997" s="8" t="s">
        <v>2216</v>
      </c>
      <c r="T997" s="8" t="s">
        <v>2217</v>
      </c>
      <c r="V997" s="8" t="s">
        <v>778</v>
      </c>
      <c r="W997" s="8">
        <f t="shared" si="30"/>
        <v>3</v>
      </c>
      <c r="X997" s="8">
        <f>K997*L997*N997</f>
        <v>0</v>
      </c>
    </row>
    <row r="998" spans="1:24" s="8" customFormat="1" ht="41.5" customHeight="1">
      <c r="A998" s="8" t="s">
        <v>2336</v>
      </c>
      <c r="B998" s="8" t="s">
        <v>2752</v>
      </c>
      <c r="C998" s="9">
        <v>45856.765022384301</v>
      </c>
      <c r="D998" s="8" t="s">
        <v>2062</v>
      </c>
      <c r="E998" s="8" t="s">
        <v>2057</v>
      </c>
      <c r="F998" s="8">
        <v>1</v>
      </c>
      <c r="G998" s="2">
        <v>635</v>
      </c>
      <c r="H998" s="8" t="s">
        <v>723</v>
      </c>
      <c r="I998" s="2">
        <f t="shared" si="29"/>
        <v>635</v>
      </c>
      <c r="M998" s="11">
        <v>42600</v>
      </c>
      <c r="N998" s="8" t="s">
        <v>30</v>
      </c>
      <c r="O998" s="8" t="s">
        <v>17</v>
      </c>
      <c r="P998" s="8" t="s">
        <v>18</v>
      </c>
      <c r="Q998" s="8" t="s">
        <v>18</v>
      </c>
      <c r="S998" s="8" t="s">
        <v>2216</v>
      </c>
      <c r="T998" s="8" t="s">
        <v>2217</v>
      </c>
      <c r="V998" s="8" t="s">
        <v>778</v>
      </c>
      <c r="W998" s="8">
        <f t="shared" si="30"/>
        <v>3</v>
      </c>
      <c r="X998" s="8">
        <f>K998*L998*N998</f>
        <v>0</v>
      </c>
    </row>
    <row r="999" spans="1:24" s="8" customFormat="1" ht="41.5" customHeight="1">
      <c r="A999" s="8" t="s">
        <v>2336</v>
      </c>
      <c r="B999" s="8" t="s">
        <v>2753</v>
      </c>
      <c r="C999" s="9">
        <v>45856.765022372703</v>
      </c>
      <c r="D999" s="8" t="s">
        <v>2062</v>
      </c>
      <c r="E999" s="8" t="s">
        <v>2057</v>
      </c>
      <c r="F999" s="8">
        <v>1</v>
      </c>
      <c r="G999" s="2">
        <v>635</v>
      </c>
      <c r="H999" s="8" t="s">
        <v>143</v>
      </c>
      <c r="I999" s="2">
        <f t="shared" si="29"/>
        <v>635</v>
      </c>
      <c r="M999" s="11">
        <v>64789</v>
      </c>
      <c r="N999" s="8" t="s">
        <v>30</v>
      </c>
      <c r="O999" s="8" t="s">
        <v>17</v>
      </c>
      <c r="P999" s="8" t="s">
        <v>18</v>
      </c>
      <c r="Q999" s="8" t="s">
        <v>18</v>
      </c>
      <c r="S999" s="8" t="s">
        <v>2216</v>
      </c>
      <c r="T999" s="8" t="s">
        <v>2217</v>
      </c>
      <c r="V999" s="8" t="s">
        <v>778</v>
      </c>
      <c r="W999" s="8">
        <f t="shared" si="30"/>
        <v>3</v>
      </c>
      <c r="X999" s="8">
        <f>K999*L999*N999</f>
        <v>0</v>
      </c>
    </row>
    <row r="1000" spans="1:24" s="8" customFormat="1" ht="41.5" customHeight="1">
      <c r="A1000" s="8" t="s">
        <v>2336</v>
      </c>
      <c r="B1000" s="8" t="s">
        <v>2754</v>
      </c>
      <c r="C1000" s="9">
        <v>45856.765022245403</v>
      </c>
      <c r="D1000" s="8" t="s">
        <v>2062</v>
      </c>
      <c r="E1000" s="8" t="s">
        <v>2057</v>
      </c>
      <c r="F1000" s="8">
        <v>1</v>
      </c>
      <c r="G1000" s="2">
        <v>635</v>
      </c>
      <c r="H1000" s="8" t="s">
        <v>143</v>
      </c>
      <c r="I1000" s="2">
        <f t="shared" si="29"/>
        <v>635</v>
      </c>
      <c r="M1000" s="11">
        <v>30000</v>
      </c>
      <c r="N1000" s="8" t="s">
        <v>30</v>
      </c>
      <c r="O1000" s="8" t="s">
        <v>17</v>
      </c>
      <c r="P1000" s="8" t="s">
        <v>18</v>
      </c>
      <c r="Q1000" s="8" t="s">
        <v>18</v>
      </c>
      <c r="S1000" s="8" t="s">
        <v>2216</v>
      </c>
      <c r="T1000" s="8" t="s">
        <v>2217</v>
      </c>
      <c r="V1000" s="8" t="s">
        <v>778</v>
      </c>
      <c r="W1000" s="8">
        <f t="shared" si="30"/>
        <v>3</v>
      </c>
      <c r="X1000" s="8">
        <f>K1000*L1000*N1000</f>
        <v>0</v>
      </c>
    </row>
    <row r="1001" spans="1:24" s="8" customFormat="1" ht="41.5" customHeight="1">
      <c r="A1001" s="8" t="s">
        <v>2336</v>
      </c>
      <c r="B1001" s="8" t="s">
        <v>2755</v>
      </c>
      <c r="C1001" s="9">
        <v>45856.765022245403</v>
      </c>
      <c r="D1001" s="8" t="s">
        <v>2062</v>
      </c>
      <c r="E1001" s="8" t="s">
        <v>2057</v>
      </c>
      <c r="F1001" s="8">
        <v>1</v>
      </c>
      <c r="G1001" s="2">
        <v>635</v>
      </c>
      <c r="H1001" s="8" t="s">
        <v>723</v>
      </c>
      <c r="I1001" s="2">
        <f t="shared" si="29"/>
        <v>635</v>
      </c>
      <c r="M1001" s="11">
        <v>19200</v>
      </c>
      <c r="N1001" s="8" t="s">
        <v>30</v>
      </c>
      <c r="O1001" s="8" t="s">
        <v>17</v>
      </c>
      <c r="P1001" s="8" t="s">
        <v>18</v>
      </c>
      <c r="Q1001" s="8" t="s">
        <v>18</v>
      </c>
      <c r="S1001" s="8" t="s">
        <v>2216</v>
      </c>
      <c r="T1001" s="8" t="s">
        <v>2217</v>
      </c>
      <c r="V1001" s="8" t="s">
        <v>778</v>
      </c>
      <c r="W1001" s="8">
        <f t="shared" si="30"/>
        <v>3</v>
      </c>
      <c r="X1001" s="8">
        <f>K1001*L1001*N1001</f>
        <v>0</v>
      </c>
    </row>
    <row r="1002" spans="1:24" s="8" customFormat="1" ht="41.5" customHeight="1">
      <c r="A1002" s="8" t="s">
        <v>2336</v>
      </c>
      <c r="B1002" s="8" t="s">
        <v>2756</v>
      </c>
      <c r="C1002" s="9">
        <v>45856.7649597454</v>
      </c>
      <c r="D1002" s="8" t="s">
        <v>2062</v>
      </c>
      <c r="E1002" s="8" t="s">
        <v>2057</v>
      </c>
      <c r="F1002" s="8">
        <v>1</v>
      </c>
      <c r="G1002" s="2">
        <v>635</v>
      </c>
      <c r="H1002" s="8" t="s">
        <v>893</v>
      </c>
      <c r="I1002" s="2">
        <f t="shared" si="29"/>
        <v>635</v>
      </c>
      <c r="M1002" s="11">
        <v>59100</v>
      </c>
      <c r="N1002" s="8" t="s">
        <v>30</v>
      </c>
      <c r="O1002" s="8" t="s">
        <v>17</v>
      </c>
      <c r="P1002" s="8" t="s">
        <v>18</v>
      </c>
      <c r="Q1002" s="8" t="s">
        <v>18</v>
      </c>
      <c r="S1002" s="8" t="s">
        <v>2216</v>
      </c>
      <c r="T1002" s="8" t="s">
        <v>2217</v>
      </c>
      <c r="V1002" s="8" t="s">
        <v>778</v>
      </c>
      <c r="W1002" s="8">
        <f t="shared" si="30"/>
        <v>3</v>
      </c>
      <c r="X1002" s="8">
        <f>K1002*L1002*N1002</f>
        <v>0</v>
      </c>
    </row>
    <row r="1003" spans="1:24" s="8" customFormat="1" ht="41.5" customHeight="1">
      <c r="A1003" s="8" t="s">
        <v>2336</v>
      </c>
      <c r="B1003" s="8" t="s">
        <v>2757</v>
      </c>
      <c r="C1003" s="9">
        <v>45856.764959641201</v>
      </c>
      <c r="D1003" s="8" t="s">
        <v>2062</v>
      </c>
      <c r="E1003" s="8" t="s">
        <v>2057</v>
      </c>
      <c r="F1003" s="8">
        <v>1</v>
      </c>
      <c r="G1003" s="2">
        <v>635</v>
      </c>
      <c r="H1003" s="8" t="s">
        <v>117</v>
      </c>
      <c r="I1003" s="2">
        <f t="shared" si="29"/>
        <v>635</v>
      </c>
      <c r="M1003" s="11">
        <v>50000</v>
      </c>
      <c r="N1003" s="8" t="s">
        <v>30</v>
      </c>
      <c r="O1003" s="8" t="s">
        <v>17</v>
      </c>
      <c r="P1003" s="8" t="s">
        <v>18</v>
      </c>
      <c r="Q1003" s="8" t="s">
        <v>18</v>
      </c>
      <c r="S1003" s="8" t="s">
        <v>2216</v>
      </c>
      <c r="T1003" s="8" t="s">
        <v>2217</v>
      </c>
      <c r="V1003" s="8" t="s">
        <v>778</v>
      </c>
      <c r="W1003" s="8">
        <f t="shared" si="30"/>
        <v>3</v>
      </c>
      <c r="X1003" s="8">
        <f>K1003*L1003*N1003</f>
        <v>0</v>
      </c>
    </row>
    <row r="1004" spans="1:24" s="8" customFormat="1" ht="41.5" customHeight="1">
      <c r="A1004" s="8" t="s">
        <v>2339</v>
      </c>
      <c r="B1004" s="8" t="s">
        <v>2758</v>
      </c>
      <c r="C1004" s="9">
        <v>45859.948694050901</v>
      </c>
      <c r="D1004" s="8" t="s">
        <v>2218</v>
      </c>
      <c r="E1004" s="8" t="s">
        <v>2057</v>
      </c>
      <c r="F1004" s="8">
        <v>1</v>
      </c>
      <c r="G1004" s="2">
        <v>635</v>
      </c>
      <c r="H1004" s="8" t="s">
        <v>118</v>
      </c>
      <c r="I1004" s="2">
        <f t="shared" si="29"/>
        <v>635</v>
      </c>
      <c r="M1004" s="11">
        <v>50000</v>
      </c>
      <c r="N1004" s="8" t="s">
        <v>30</v>
      </c>
      <c r="O1004" s="8" t="s">
        <v>17</v>
      </c>
      <c r="P1004" s="8" t="s">
        <v>18</v>
      </c>
      <c r="Q1004" s="8" t="s">
        <v>18</v>
      </c>
      <c r="S1004" s="8" t="s">
        <v>2340</v>
      </c>
      <c r="T1004" s="8" t="s">
        <v>2341</v>
      </c>
      <c r="V1004" s="8" t="s">
        <v>894</v>
      </c>
      <c r="W1004" s="8">
        <f t="shared" si="30"/>
        <v>3</v>
      </c>
      <c r="X1004" s="8">
        <f>K1004*L1004*N1004</f>
        <v>0</v>
      </c>
    </row>
    <row r="1005" spans="1:24" s="8" customFormat="1" ht="41.5" customHeight="1">
      <c r="A1005" s="8" t="s">
        <v>2339</v>
      </c>
      <c r="B1005" s="8" t="s">
        <v>2759</v>
      </c>
      <c r="C1005" s="9">
        <v>45854.757095532397</v>
      </c>
      <c r="D1005" s="8" t="s">
        <v>2218</v>
      </c>
      <c r="E1005" s="8" t="s">
        <v>2057</v>
      </c>
      <c r="F1005" s="8">
        <v>1</v>
      </c>
      <c r="G1005" s="2">
        <v>635</v>
      </c>
      <c r="H1005" s="8" t="s">
        <v>118</v>
      </c>
      <c r="I1005" s="2">
        <f t="shared" si="29"/>
        <v>635</v>
      </c>
      <c r="M1005" s="11">
        <v>20000</v>
      </c>
      <c r="N1005" s="8" t="s">
        <v>30</v>
      </c>
      <c r="O1005" s="8" t="s">
        <v>17</v>
      </c>
      <c r="P1005" s="8" t="s">
        <v>18</v>
      </c>
      <c r="Q1005" s="8" t="s">
        <v>18</v>
      </c>
      <c r="S1005" s="8" t="s">
        <v>2219</v>
      </c>
      <c r="T1005" s="8" t="s">
        <v>2220</v>
      </c>
      <c r="V1005" s="8" t="s">
        <v>813</v>
      </c>
      <c r="W1005" s="8">
        <f t="shared" si="30"/>
        <v>3</v>
      </c>
      <c r="X1005" s="8">
        <f>K1005*L1005*N1005</f>
        <v>0</v>
      </c>
    </row>
    <row r="1006" spans="1:24" s="8" customFormat="1" ht="41.5" customHeight="1">
      <c r="A1006" s="8" t="s">
        <v>2339</v>
      </c>
      <c r="B1006" s="8" t="s">
        <v>2760</v>
      </c>
      <c r="C1006" s="9">
        <v>45854.7556047338</v>
      </c>
      <c r="D1006" s="8" t="s">
        <v>2218</v>
      </c>
      <c r="E1006" s="8" t="s">
        <v>2057</v>
      </c>
      <c r="F1006" s="8">
        <v>1</v>
      </c>
      <c r="G1006" s="2">
        <v>635</v>
      </c>
      <c r="H1006" s="8" t="s">
        <v>118</v>
      </c>
      <c r="I1006" s="2">
        <f t="shared" si="29"/>
        <v>635</v>
      </c>
      <c r="M1006" s="11">
        <v>20000</v>
      </c>
      <c r="N1006" s="8" t="s">
        <v>30</v>
      </c>
      <c r="O1006" s="8" t="s">
        <v>17</v>
      </c>
      <c r="P1006" s="8" t="s">
        <v>18</v>
      </c>
      <c r="Q1006" s="8" t="s">
        <v>18</v>
      </c>
      <c r="S1006" s="8" t="s">
        <v>2219</v>
      </c>
      <c r="T1006" s="8" t="s">
        <v>2220</v>
      </c>
      <c r="V1006" s="8" t="s">
        <v>813</v>
      </c>
      <c r="W1006" s="8">
        <f t="shared" si="30"/>
        <v>3</v>
      </c>
      <c r="X1006" s="8">
        <f>K1006*L1006*N1006</f>
        <v>0</v>
      </c>
    </row>
    <row r="1007" spans="1:24" s="8" customFormat="1" ht="41.5" customHeight="1">
      <c r="A1007" s="8" t="s">
        <v>2339</v>
      </c>
      <c r="B1007" s="8" t="s">
        <v>2761</v>
      </c>
      <c r="C1007" s="9">
        <v>45854.751894456</v>
      </c>
      <c r="D1007" s="8" t="s">
        <v>2218</v>
      </c>
      <c r="E1007" s="8" t="s">
        <v>2057</v>
      </c>
      <c r="F1007" s="8">
        <v>1</v>
      </c>
      <c r="G1007" s="2">
        <v>635</v>
      </c>
      <c r="H1007" s="8" t="s">
        <v>118</v>
      </c>
      <c r="I1007" s="2">
        <f t="shared" si="29"/>
        <v>635</v>
      </c>
      <c r="M1007" s="11">
        <v>20000</v>
      </c>
      <c r="N1007" s="8" t="s">
        <v>30</v>
      </c>
      <c r="O1007" s="8" t="s">
        <v>17</v>
      </c>
      <c r="P1007" s="8" t="s">
        <v>18</v>
      </c>
      <c r="Q1007" s="8" t="s">
        <v>18</v>
      </c>
      <c r="S1007" s="8" t="s">
        <v>2219</v>
      </c>
      <c r="T1007" s="8" t="s">
        <v>2220</v>
      </c>
      <c r="V1007" s="8" t="s">
        <v>813</v>
      </c>
      <c r="W1007" s="8">
        <f t="shared" si="30"/>
        <v>3</v>
      </c>
      <c r="X1007" s="8">
        <f>K1007*L1007*N1007</f>
        <v>0</v>
      </c>
    </row>
    <row r="1008" spans="1:24" s="8" customFormat="1" ht="41.5" customHeight="1">
      <c r="A1008" s="8" t="s">
        <v>2339</v>
      </c>
      <c r="B1008" s="8" t="s">
        <v>2762</v>
      </c>
      <c r="C1008" s="9">
        <v>45854.742452893501</v>
      </c>
      <c r="D1008" s="8" t="s">
        <v>2218</v>
      </c>
      <c r="E1008" s="8" t="s">
        <v>2057</v>
      </c>
      <c r="F1008" s="8">
        <v>1</v>
      </c>
      <c r="G1008" s="2">
        <v>635</v>
      </c>
      <c r="H1008" s="8" t="s">
        <v>118</v>
      </c>
      <c r="I1008" s="2">
        <f t="shared" si="29"/>
        <v>635</v>
      </c>
      <c r="M1008" s="11">
        <v>20000</v>
      </c>
      <c r="N1008" s="8" t="s">
        <v>30</v>
      </c>
      <c r="O1008" s="8" t="s">
        <v>17</v>
      </c>
      <c r="P1008" s="8" t="s">
        <v>18</v>
      </c>
      <c r="Q1008" s="8" t="s">
        <v>18</v>
      </c>
      <c r="S1008" s="8" t="s">
        <v>2219</v>
      </c>
      <c r="T1008" s="8" t="s">
        <v>2220</v>
      </c>
      <c r="V1008" s="8" t="s">
        <v>813</v>
      </c>
      <c r="W1008" s="8">
        <f t="shared" si="30"/>
        <v>3</v>
      </c>
      <c r="X1008" s="8">
        <f>K1008*L1008*N1008</f>
        <v>0</v>
      </c>
    </row>
    <row r="1009" spans="1:24" s="8" customFormat="1" ht="41.5" customHeight="1">
      <c r="A1009" s="8" t="s">
        <v>2339</v>
      </c>
      <c r="B1009" s="8" t="s">
        <v>2763</v>
      </c>
      <c r="C1009" s="9">
        <v>45854.742452812498</v>
      </c>
      <c r="D1009" s="8" t="s">
        <v>2218</v>
      </c>
      <c r="E1009" s="8" t="s">
        <v>2057</v>
      </c>
      <c r="F1009" s="8">
        <v>1</v>
      </c>
      <c r="G1009" s="2">
        <v>635</v>
      </c>
      <c r="H1009" s="8" t="s">
        <v>118</v>
      </c>
      <c r="I1009" s="2">
        <f t="shared" si="29"/>
        <v>635</v>
      </c>
      <c r="M1009" s="11">
        <v>20000</v>
      </c>
      <c r="N1009" s="8" t="s">
        <v>30</v>
      </c>
      <c r="O1009" s="8" t="s">
        <v>17</v>
      </c>
      <c r="P1009" s="8" t="s">
        <v>18</v>
      </c>
      <c r="Q1009" s="8" t="s">
        <v>18</v>
      </c>
      <c r="S1009" s="8" t="s">
        <v>2219</v>
      </c>
      <c r="T1009" s="8" t="s">
        <v>2220</v>
      </c>
      <c r="V1009" s="8" t="s">
        <v>813</v>
      </c>
      <c r="W1009" s="8">
        <f t="shared" si="30"/>
        <v>3</v>
      </c>
      <c r="X1009" s="8">
        <f>K1009*L1009*N1009</f>
        <v>0</v>
      </c>
    </row>
    <row r="1010" spans="1:24" s="8" customFormat="1" ht="41.5" customHeight="1">
      <c r="A1010" s="8" t="s">
        <v>2339</v>
      </c>
      <c r="B1010" s="8" t="s">
        <v>2764</v>
      </c>
      <c r="C1010" s="9">
        <v>45854.740060393502</v>
      </c>
      <c r="D1010" s="8" t="s">
        <v>2218</v>
      </c>
      <c r="E1010" s="8" t="s">
        <v>2057</v>
      </c>
      <c r="F1010" s="8">
        <v>1</v>
      </c>
      <c r="G1010" s="2">
        <v>635</v>
      </c>
      <c r="H1010" s="8" t="s">
        <v>118</v>
      </c>
      <c r="I1010" s="2">
        <f t="shared" si="29"/>
        <v>635</v>
      </c>
      <c r="M1010" s="11">
        <v>20000</v>
      </c>
      <c r="N1010" s="8" t="s">
        <v>30</v>
      </c>
      <c r="O1010" s="8" t="s">
        <v>17</v>
      </c>
      <c r="P1010" s="8" t="s">
        <v>18</v>
      </c>
      <c r="Q1010" s="8" t="s">
        <v>18</v>
      </c>
      <c r="S1010" s="8" t="s">
        <v>2219</v>
      </c>
      <c r="T1010" s="8" t="s">
        <v>2220</v>
      </c>
      <c r="V1010" s="8" t="s">
        <v>813</v>
      </c>
      <c r="W1010" s="8">
        <f t="shared" si="30"/>
        <v>3</v>
      </c>
      <c r="X1010" s="8">
        <f>K1010*L1010*N1010</f>
        <v>0</v>
      </c>
    </row>
    <row r="1011" spans="1:24" s="8" customFormat="1" ht="41.5" customHeight="1">
      <c r="A1011" s="8" t="s">
        <v>2339</v>
      </c>
      <c r="B1011" s="8" t="s">
        <v>2765</v>
      </c>
      <c r="C1011" s="9">
        <v>45854.734004085702</v>
      </c>
      <c r="D1011" s="8" t="s">
        <v>2218</v>
      </c>
      <c r="E1011" s="8" t="s">
        <v>2057</v>
      </c>
      <c r="F1011" s="8">
        <v>1</v>
      </c>
      <c r="G1011" s="2">
        <v>635</v>
      </c>
      <c r="H1011" s="8" t="s">
        <v>118</v>
      </c>
      <c r="I1011" s="2">
        <f t="shared" si="29"/>
        <v>635</v>
      </c>
      <c r="M1011" s="11">
        <v>21400</v>
      </c>
      <c r="N1011" s="8" t="s">
        <v>30</v>
      </c>
      <c r="O1011" s="8" t="s">
        <v>17</v>
      </c>
      <c r="P1011" s="8" t="s">
        <v>18</v>
      </c>
      <c r="Q1011" s="8" t="s">
        <v>18</v>
      </c>
      <c r="S1011" s="8" t="s">
        <v>2219</v>
      </c>
      <c r="T1011" s="8" t="s">
        <v>2220</v>
      </c>
      <c r="V1011" s="8" t="s">
        <v>813</v>
      </c>
      <c r="W1011" s="8">
        <f t="shared" si="30"/>
        <v>3</v>
      </c>
      <c r="X1011" s="8">
        <f>K1011*L1011*N1011</f>
        <v>0</v>
      </c>
    </row>
    <row r="1012" spans="1:24" s="8" customFormat="1" ht="41.5" customHeight="1">
      <c r="A1012" s="8" t="s">
        <v>2339</v>
      </c>
      <c r="B1012" s="8" t="s">
        <v>2766</v>
      </c>
      <c r="C1012" s="9">
        <v>45854.732871620399</v>
      </c>
      <c r="D1012" s="8" t="s">
        <v>2218</v>
      </c>
      <c r="E1012" s="8" t="s">
        <v>2057</v>
      </c>
      <c r="F1012" s="8">
        <v>1</v>
      </c>
      <c r="G1012" s="2">
        <v>635</v>
      </c>
      <c r="H1012" s="8" t="s">
        <v>118</v>
      </c>
      <c r="I1012" s="2">
        <f t="shared" si="29"/>
        <v>635</v>
      </c>
      <c r="M1012" s="11">
        <v>49991</v>
      </c>
      <c r="N1012" s="8" t="s">
        <v>30</v>
      </c>
      <c r="O1012" s="8" t="s">
        <v>17</v>
      </c>
      <c r="P1012" s="8" t="s">
        <v>18</v>
      </c>
      <c r="Q1012" s="8" t="s">
        <v>18</v>
      </c>
      <c r="S1012" s="8" t="s">
        <v>2219</v>
      </c>
      <c r="T1012" s="8" t="s">
        <v>2220</v>
      </c>
      <c r="V1012" s="8" t="s">
        <v>813</v>
      </c>
      <c r="W1012" s="8">
        <f t="shared" si="30"/>
        <v>3</v>
      </c>
      <c r="X1012" s="8">
        <f>K1012*L1012*N1012</f>
        <v>0</v>
      </c>
    </row>
    <row r="1013" spans="1:24" s="8" customFormat="1" ht="41.5" customHeight="1">
      <c r="A1013" s="8" t="s">
        <v>2339</v>
      </c>
      <c r="B1013" s="8" t="s">
        <v>2767</v>
      </c>
      <c r="C1013" s="9">
        <v>45854.719840451398</v>
      </c>
      <c r="D1013" s="8" t="s">
        <v>2218</v>
      </c>
      <c r="E1013" s="8" t="s">
        <v>2057</v>
      </c>
      <c r="F1013" s="8">
        <v>1</v>
      </c>
      <c r="G1013" s="2">
        <v>635</v>
      </c>
      <c r="H1013" s="8" t="s">
        <v>118</v>
      </c>
      <c r="I1013" s="2">
        <f t="shared" si="29"/>
        <v>635</v>
      </c>
      <c r="M1013" s="11">
        <v>20000</v>
      </c>
      <c r="N1013" s="8" t="s">
        <v>30</v>
      </c>
      <c r="O1013" s="8" t="s">
        <v>17</v>
      </c>
      <c r="P1013" s="8" t="s">
        <v>18</v>
      </c>
      <c r="Q1013" s="8" t="s">
        <v>18</v>
      </c>
      <c r="S1013" s="8" t="s">
        <v>2219</v>
      </c>
      <c r="T1013" s="8" t="s">
        <v>2220</v>
      </c>
      <c r="V1013" s="8" t="s">
        <v>813</v>
      </c>
      <c r="W1013" s="8">
        <f t="shared" si="30"/>
        <v>3</v>
      </c>
      <c r="X1013" s="8">
        <f>K1013*L1013*N1013</f>
        <v>0</v>
      </c>
    </row>
    <row r="1014" spans="1:24" s="8" customFormat="1" ht="41.5" customHeight="1">
      <c r="A1014" s="8" t="s">
        <v>2339</v>
      </c>
      <c r="B1014" s="8" t="s">
        <v>2768</v>
      </c>
      <c r="C1014" s="9">
        <v>45854.711611400497</v>
      </c>
      <c r="D1014" s="8" t="s">
        <v>2218</v>
      </c>
      <c r="E1014" s="8" t="s">
        <v>2057</v>
      </c>
      <c r="F1014" s="8">
        <v>1</v>
      </c>
      <c r="G1014" s="2">
        <v>635</v>
      </c>
      <c r="H1014" s="8" t="s">
        <v>118</v>
      </c>
      <c r="I1014" s="2">
        <f t="shared" si="29"/>
        <v>635</v>
      </c>
      <c r="M1014" s="11">
        <v>20000</v>
      </c>
      <c r="N1014" s="8" t="s">
        <v>30</v>
      </c>
      <c r="O1014" s="8" t="s">
        <v>17</v>
      </c>
      <c r="P1014" s="8" t="s">
        <v>18</v>
      </c>
      <c r="Q1014" s="8" t="s">
        <v>18</v>
      </c>
      <c r="S1014" s="8" t="s">
        <v>2219</v>
      </c>
      <c r="T1014" s="8" t="s">
        <v>2220</v>
      </c>
      <c r="V1014" s="8" t="s">
        <v>813</v>
      </c>
      <c r="W1014" s="8">
        <f t="shared" si="30"/>
        <v>3</v>
      </c>
      <c r="X1014" s="8">
        <f>K1014*L1014*N1014</f>
        <v>0</v>
      </c>
    </row>
    <row r="1015" spans="1:24" s="8" customFormat="1" ht="41.5" customHeight="1">
      <c r="A1015" s="8" t="s">
        <v>2339</v>
      </c>
      <c r="B1015" s="8" t="s">
        <v>2769</v>
      </c>
      <c r="C1015" s="9">
        <v>45854.688855254601</v>
      </c>
      <c r="D1015" s="8" t="s">
        <v>2218</v>
      </c>
      <c r="E1015" s="8" t="s">
        <v>2057</v>
      </c>
      <c r="F1015" s="8">
        <v>1</v>
      </c>
      <c r="G1015" s="2">
        <v>635</v>
      </c>
      <c r="H1015" s="8" t="s">
        <v>118</v>
      </c>
      <c r="I1015" s="2">
        <f t="shared" si="29"/>
        <v>635</v>
      </c>
      <c r="M1015" s="11">
        <v>20000</v>
      </c>
      <c r="N1015" s="8" t="s">
        <v>30</v>
      </c>
      <c r="O1015" s="8" t="s">
        <v>17</v>
      </c>
      <c r="P1015" s="8" t="s">
        <v>18</v>
      </c>
      <c r="Q1015" s="8" t="s">
        <v>18</v>
      </c>
      <c r="S1015" s="8" t="s">
        <v>2219</v>
      </c>
      <c r="T1015" s="8" t="s">
        <v>2220</v>
      </c>
      <c r="V1015" s="8" t="s">
        <v>813</v>
      </c>
      <c r="W1015" s="8">
        <f t="shared" si="30"/>
        <v>3</v>
      </c>
      <c r="X1015" s="8">
        <f>K1015*L1015*N1015</f>
        <v>0</v>
      </c>
    </row>
    <row r="1016" spans="1:24" s="8" customFormat="1" ht="41.5" customHeight="1">
      <c r="A1016" s="8" t="s">
        <v>2339</v>
      </c>
      <c r="B1016" s="8" t="s">
        <v>2770</v>
      </c>
      <c r="C1016" s="9">
        <v>45854.677656238397</v>
      </c>
      <c r="D1016" s="8" t="s">
        <v>2218</v>
      </c>
      <c r="E1016" s="8" t="s">
        <v>2057</v>
      </c>
      <c r="F1016" s="8">
        <v>1</v>
      </c>
      <c r="G1016" s="2">
        <v>635</v>
      </c>
      <c r="H1016" s="8" t="s">
        <v>118</v>
      </c>
      <c r="I1016" s="2">
        <f t="shared" si="29"/>
        <v>635</v>
      </c>
      <c r="M1016" s="11">
        <v>26000</v>
      </c>
      <c r="N1016" s="8" t="s">
        <v>30</v>
      </c>
      <c r="O1016" s="8" t="s">
        <v>17</v>
      </c>
      <c r="P1016" s="8" t="s">
        <v>18</v>
      </c>
      <c r="Q1016" s="8" t="s">
        <v>18</v>
      </c>
      <c r="S1016" s="8" t="s">
        <v>2219</v>
      </c>
      <c r="T1016" s="8" t="s">
        <v>2220</v>
      </c>
      <c r="V1016" s="8" t="s">
        <v>813</v>
      </c>
      <c r="W1016" s="8">
        <f t="shared" si="30"/>
        <v>3</v>
      </c>
      <c r="X1016" s="8">
        <f>K1016*L1016*N1016</f>
        <v>0</v>
      </c>
    </row>
    <row r="1017" spans="1:24" s="8" customFormat="1" ht="41.5" customHeight="1">
      <c r="A1017" s="8" t="s">
        <v>2339</v>
      </c>
      <c r="B1017" s="8" t="s">
        <v>2771</v>
      </c>
      <c r="C1017" s="9">
        <v>45854.671776597199</v>
      </c>
      <c r="D1017" s="8" t="s">
        <v>2218</v>
      </c>
      <c r="E1017" s="8" t="s">
        <v>2057</v>
      </c>
      <c r="F1017" s="8">
        <v>1</v>
      </c>
      <c r="G1017" s="2">
        <v>635</v>
      </c>
      <c r="H1017" s="8" t="s">
        <v>118</v>
      </c>
      <c r="I1017" s="2">
        <f t="shared" si="29"/>
        <v>635</v>
      </c>
      <c r="M1017" s="11">
        <v>20000</v>
      </c>
      <c r="N1017" s="8" t="s">
        <v>30</v>
      </c>
      <c r="O1017" s="8" t="s">
        <v>17</v>
      </c>
      <c r="P1017" s="8" t="s">
        <v>18</v>
      </c>
      <c r="Q1017" s="8" t="s">
        <v>18</v>
      </c>
      <c r="S1017" s="8" t="s">
        <v>2219</v>
      </c>
      <c r="T1017" s="8" t="s">
        <v>2220</v>
      </c>
      <c r="V1017" s="8" t="s">
        <v>813</v>
      </c>
      <c r="W1017" s="8">
        <f t="shared" si="30"/>
        <v>3</v>
      </c>
      <c r="X1017" s="8">
        <f>K1017*L1017*N1017</f>
        <v>0</v>
      </c>
    </row>
    <row r="1018" spans="1:24" s="8" customFormat="1" ht="41.5" customHeight="1">
      <c r="A1018" s="8" t="s">
        <v>2339</v>
      </c>
      <c r="B1018" s="8" t="s">
        <v>2772</v>
      </c>
      <c r="C1018" s="9">
        <v>45854.671776585601</v>
      </c>
      <c r="D1018" s="8" t="s">
        <v>2218</v>
      </c>
      <c r="E1018" s="8" t="s">
        <v>2057</v>
      </c>
      <c r="F1018" s="8">
        <v>1</v>
      </c>
      <c r="G1018" s="2">
        <v>635</v>
      </c>
      <c r="H1018" s="8" t="s">
        <v>118</v>
      </c>
      <c r="I1018" s="2">
        <f t="shared" si="29"/>
        <v>635</v>
      </c>
      <c r="M1018" s="11">
        <v>99800</v>
      </c>
      <c r="N1018" s="8" t="s">
        <v>30</v>
      </c>
      <c r="O1018" s="8" t="s">
        <v>17</v>
      </c>
      <c r="P1018" s="8" t="s">
        <v>18</v>
      </c>
      <c r="Q1018" s="8" t="s">
        <v>18</v>
      </c>
      <c r="S1018" s="8" t="s">
        <v>2219</v>
      </c>
      <c r="T1018" s="8" t="s">
        <v>2220</v>
      </c>
      <c r="V1018" s="8" t="s">
        <v>813</v>
      </c>
      <c r="W1018" s="8">
        <f t="shared" si="30"/>
        <v>3</v>
      </c>
      <c r="X1018" s="8">
        <f>K1018*L1018*N1018</f>
        <v>0</v>
      </c>
    </row>
    <row r="1019" spans="1:24" s="8" customFormat="1" ht="41.5" customHeight="1">
      <c r="A1019" s="8" t="s">
        <v>2339</v>
      </c>
      <c r="B1019" s="8" t="s">
        <v>2773</v>
      </c>
      <c r="C1019" s="9">
        <v>45854.671776527801</v>
      </c>
      <c r="D1019" s="8" t="s">
        <v>2218</v>
      </c>
      <c r="E1019" s="8" t="s">
        <v>2057</v>
      </c>
      <c r="F1019" s="8">
        <v>1</v>
      </c>
      <c r="G1019" s="2">
        <v>635</v>
      </c>
      <c r="H1019" s="8" t="s">
        <v>118</v>
      </c>
      <c r="I1019" s="2">
        <f t="shared" si="29"/>
        <v>635</v>
      </c>
      <c r="M1019" s="11">
        <v>20000</v>
      </c>
      <c r="N1019" s="8" t="s">
        <v>30</v>
      </c>
      <c r="O1019" s="8" t="s">
        <v>17</v>
      </c>
      <c r="P1019" s="8" t="s">
        <v>18</v>
      </c>
      <c r="Q1019" s="8" t="s">
        <v>18</v>
      </c>
      <c r="S1019" s="8" t="s">
        <v>2219</v>
      </c>
      <c r="T1019" s="8" t="s">
        <v>2220</v>
      </c>
      <c r="V1019" s="8" t="s">
        <v>813</v>
      </c>
      <c r="W1019" s="8">
        <f t="shared" si="30"/>
        <v>3</v>
      </c>
      <c r="X1019" s="8">
        <f>K1019*L1019*N1019</f>
        <v>0</v>
      </c>
    </row>
    <row r="1020" spans="1:24" s="8" customFormat="1" ht="41.5" customHeight="1">
      <c r="A1020" s="8" t="s">
        <v>2339</v>
      </c>
      <c r="B1020" s="8" t="s">
        <v>2774</v>
      </c>
      <c r="C1020" s="9">
        <v>45854.671776527801</v>
      </c>
      <c r="D1020" s="8" t="s">
        <v>2218</v>
      </c>
      <c r="E1020" s="8" t="s">
        <v>2057</v>
      </c>
      <c r="F1020" s="8">
        <v>1</v>
      </c>
      <c r="G1020" s="2">
        <v>635</v>
      </c>
      <c r="H1020" s="8" t="s">
        <v>118</v>
      </c>
      <c r="I1020" s="2">
        <f t="shared" si="29"/>
        <v>635</v>
      </c>
      <c r="M1020" s="11">
        <v>20000</v>
      </c>
      <c r="N1020" s="8" t="s">
        <v>30</v>
      </c>
      <c r="O1020" s="8" t="s">
        <v>17</v>
      </c>
      <c r="P1020" s="8" t="s">
        <v>18</v>
      </c>
      <c r="Q1020" s="8" t="s">
        <v>18</v>
      </c>
      <c r="S1020" s="8" t="s">
        <v>2219</v>
      </c>
      <c r="T1020" s="8" t="s">
        <v>2220</v>
      </c>
      <c r="V1020" s="8" t="s">
        <v>813</v>
      </c>
      <c r="W1020" s="8">
        <f t="shared" si="30"/>
        <v>3</v>
      </c>
      <c r="X1020" s="8">
        <f>K1020*L1020*N1020</f>
        <v>0</v>
      </c>
    </row>
    <row r="1021" spans="1:24" s="8" customFormat="1" ht="41.5" customHeight="1">
      <c r="A1021" s="8" t="s">
        <v>2339</v>
      </c>
      <c r="B1021" s="8" t="s">
        <v>2775</v>
      </c>
      <c r="C1021" s="9">
        <v>45854.6716569329</v>
      </c>
      <c r="D1021" s="8" t="s">
        <v>2218</v>
      </c>
      <c r="E1021" s="8" t="s">
        <v>2057</v>
      </c>
      <c r="F1021" s="8">
        <v>1</v>
      </c>
      <c r="G1021" s="2">
        <v>635</v>
      </c>
      <c r="H1021" s="8" t="s">
        <v>118</v>
      </c>
      <c r="I1021" s="2">
        <f t="shared" ref="I1021:I1084" si="31">G1021</f>
        <v>635</v>
      </c>
      <c r="M1021" s="11">
        <v>20000</v>
      </c>
      <c r="N1021" s="8" t="s">
        <v>30</v>
      </c>
      <c r="O1021" s="8" t="s">
        <v>17</v>
      </c>
      <c r="P1021" s="8" t="s">
        <v>18</v>
      </c>
      <c r="Q1021" s="8" t="s">
        <v>18</v>
      </c>
      <c r="S1021" s="8" t="s">
        <v>2219</v>
      </c>
      <c r="T1021" s="8" t="s">
        <v>2220</v>
      </c>
      <c r="V1021" s="8" t="s">
        <v>813</v>
      </c>
      <c r="W1021" s="8">
        <f t="shared" si="30"/>
        <v>3</v>
      </c>
      <c r="X1021" s="8">
        <f>K1021*L1021*N1021</f>
        <v>0</v>
      </c>
    </row>
    <row r="1022" spans="1:24" s="8" customFormat="1" ht="41.5" customHeight="1">
      <c r="A1022" s="8" t="s">
        <v>2339</v>
      </c>
      <c r="B1022" s="8" t="s">
        <v>2776</v>
      </c>
      <c r="C1022" s="9">
        <v>45854.619599895799</v>
      </c>
      <c r="D1022" s="8" t="s">
        <v>2218</v>
      </c>
      <c r="E1022" s="8" t="s">
        <v>2057</v>
      </c>
      <c r="F1022" s="8">
        <v>1</v>
      </c>
      <c r="G1022" s="2">
        <v>635</v>
      </c>
      <c r="H1022" s="8" t="s">
        <v>118</v>
      </c>
      <c r="I1022" s="2">
        <f t="shared" si="31"/>
        <v>635</v>
      </c>
      <c r="M1022" s="11">
        <v>20000</v>
      </c>
      <c r="N1022" s="8" t="s">
        <v>30</v>
      </c>
      <c r="O1022" s="8" t="s">
        <v>17</v>
      </c>
      <c r="P1022" s="8" t="s">
        <v>18</v>
      </c>
      <c r="Q1022" s="8" t="s">
        <v>18</v>
      </c>
      <c r="S1022" s="8" t="s">
        <v>2219</v>
      </c>
      <c r="T1022" s="8" t="s">
        <v>2220</v>
      </c>
      <c r="V1022" s="8" t="s">
        <v>813</v>
      </c>
      <c r="W1022" s="8">
        <f t="shared" si="30"/>
        <v>3</v>
      </c>
      <c r="X1022" s="8">
        <f>K1022*L1022*N1022</f>
        <v>0</v>
      </c>
    </row>
    <row r="1023" spans="1:24" s="8" customFormat="1" ht="41.5" customHeight="1">
      <c r="A1023" s="8" t="s">
        <v>2339</v>
      </c>
      <c r="B1023" s="8" t="s">
        <v>2777</v>
      </c>
      <c r="C1023" s="9">
        <v>45854.590783090302</v>
      </c>
      <c r="D1023" s="8" t="s">
        <v>2218</v>
      </c>
      <c r="E1023" s="8" t="s">
        <v>2057</v>
      </c>
      <c r="F1023" s="8">
        <v>1</v>
      </c>
      <c r="G1023" s="2">
        <v>635</v>
      </c>
      <c r="H1023" s="8" t="s">
        <v>118</v>
      </c>
      <c r="I1023" s="2">
        <f t="shared" si="31"/>
        <v>635</v>
      </c>
      <c r="M1023" s="11">
        <v>20000</v>
      </c>
      <c r="N1023" s="8" t="s">
        <v>30</v>
      </c>
      <c r="O1023" s="8" t="s">
        <v>17</v>
      </c>
      <c r="P1023" s="8" t="s">
        <v>18</v>
      </c>
      <c r="Q1023" s="8" t="s">
        <v>18</v>
      </c>
      <c r="S1023" s="8" t="s">
        <v>2219</v>
      </c>
      <c r="T1023" s="8" t="s">
        <v>2220</v>
      </c>
      <c r="V1023" s="8" t="s">
        <v>813</v>
      </c>
      <c r="W1023" s="8">
        <f t="shared" si="30"/>
        <v>3</v>
      </c>
      <c r="X1023" s="8">
        <f>K1023*L1023*N1023</f>
        <v>0</v>
      </c>
    </row>
    <row r="1024" spans="1:24" s="8" customFormat="1" ht="41.5" customHeight="1">
      <c r="A1024" s="8" t="s">
        <v>2339</v>
      </c>
      <c r="B1024" s="8" t="s">
        <v>2778</v>
      </c>
      <c r="C1024" s="9">
        <v>45854.569792002301</v>
      </c>
      <c r="D1024" s="8" t="s">
        <v>2218</v>
      </c>
      <c r="E1024" s="8" t="s">
        <v>2057</v>
      </c>
      <c r="F1024" s="8">
        <v>1</v>
      </c>
      <c r="G1024" s="2">
        <v>635</v>
      </c>
      <c r="H1024" s="8" t="s">
        <v>118</v>
      </c>
      <c r="I1024" s="2">
        <f t="shared" si="31"/>
        <v>635</v>
      </c>
      <c r="M1024" s="11">
        <v>22500</v>
      </c>
      <c r="N1024" s="8" t="s">
        <v>30</v>
      </c>
      <c r="O1024" s="8" t="s">
        <v>17</v>
      </c>
      <c r="P1024" s="8" t="s">
        <v>18</v>
      </c>
      <c r="Q1024" s="8" t="s">
        <v>18</v>
      </c>
      <c r="S1024" s="8" t="s">
        <v>2219</v>
      </c>
      <c r="T1024" s="8" t="s">
        <v>2220</v>
      </c>
      <c r="V1024" s="8" t="s">
        <v>813</v>
      </c>
      <c r="W1024" s="8">
        <f t="shared" si="30"/>
        <v>3</v>
      </c>
      <c r="X1024" s="8">
        <f>K1024*L1024*N1024</f>
        <v>0</v>
      </c>
    </row>
    <row r="1025" spans="1:24" s="8" customFormat="1" ht="41.5" customHeight="1">
      <c r="A1025" s="8" t="s">
        <v>2339</v>
      </c>
      <c r="B1025" s="8" t="s">
        <v>2779</v>
      </c>
      <c r="C1025" s="9">
        <v>45854.568062164399</v>
      </c>
      <c r="D1025" s="8" t="s">
        <v>2218</v>
      </c>
      <c r="E1025" s="8" t="s">
        <v>2057</v>
      </c>
      <c r="F1025" s="8">
        <v>1</v>
      </c>
      <c r="G1025" s="2">
        <v>635</v>
      </c>
      <c r="H1025" s="8" t="s">
        <v>118</v>
      </c>
      <c r="I1025" s="2">
        <f t="shared" si="31"/>
        <v>635</v>
      </c>
      <c r="M1025" s="11">
        <v>20000</v>
      </c>
      <c r="N1025" s="8" t="s">
        <v>30</v>
      </c>
      <c r="O1025" s="8" t="s">
        <v>17</v>
      </c>
      <c r="P1025" s="8" t="s">
        <v>18</v>
      </c>
      <c r="Q1025" s="8" t="s">
        <v>18</v>
      </c>
      <c r="S1025" s="8" t="s">
        <v>2219</v>
      </c>
      <c r="T1025" s="8" t="s">
        <v>2220</v>
      </c>
      <c r="V1025" s="8" t="s">
        <v>813</v>
      </c>
      <c r="W1025" s="8">
        <f t="shared" si="30"/>
        <v>3</v>
      </c>
      <c r="X1025" s="8">
        <f>K1025*L1025*N1025</f>
        <v>0</v>
      </c>
    </row>
    <row r="1026" spans="1:24" s="8" customFormat="1" ht="41.5" customHeight="1">
      <c r="A1026" s="8" t="s">
        <v>2339</v>
      </c>
      <c r="B1026" s="8" t="s">
        <v>2780</v>
      </c>
      <c r="C1026" s="9">
        <v>45854.550837939802</v>
      </c>
      <c r="D1026" s="8" t="s">
        <v>2218</v>
      </c>
      <c r="E1026" s="8" t="s">
        <v>2057</v>
      </c>
      <c r="F1026" s="8">
        <v>1</v>
      </c>
      <c r="G1026" s="2">
        <v>635</v>
      </c>
      <c r="H1026" s="8" t="s">
        <v>118</v>
      </c>
      <c r="I1026" s="2">
        <f t="shared" si="31"/>
        <v>635</v>
      </c>
      <c r="M1026" s="11">
        <v>40176</v>
      </c>
      <c r="N1026" s="8" t="s">
        <v>30</v>
      </c>
      <c r="O1026" s="8" t="s">
        <v>17</v>
      </c>
      <c r="P1026" s="8" t="s">
        <v>18</v>
      </c>
      <c r="Q1026" s="8" t="s">
        <v>18</v>
      </c>
      <c r="S1026" s="8" t="s">
        <v>2219</v>
      </c>
      <c r="T1026" s="8" t="s">
        <v>2220</v>
      </c>
      <c r="V1026" s="8" t="s">
        <v>813</v>
      </c>
      <c r="W1026" s="8">
        <f t="shared" si="30"/>
        <v>3</v>
      </c>
      <c r="X1026" s="8">
        <f>K1026*L1026*N1026</f>
        <v>0</v>
      </c>
    </row>
    <row r="1027" spans="1:24" s="8" customFormat="1" ht="41.5" customHeight="1">
      <c r="A1027" s="8" t="s">
        <v>2339</v>
      </c>
      <c r="B1027" s="8" t="s">
        <v>2781</v>
      </c>
      <c r="C1027" s="9">
        <v>45854.550006944402</v>
      </c>
      <c r="D1027" s="8" t="s">
        <v>2218</v>
      </c>
      <c r="E1027" s="8" t="s">
        <v>2057</v>
      </c>
      <c r="F1027" s="8">
        <v>1</v>
      </c>
      <c r="G1027" s="2">
        <v>635</v>
      </c>
      <c r="H1027" s="8" t="s">
        <v>118</v>
      </c>
      <c r="I1027" s="2">
        <f t="shared" si="31"/>
        <v>635</v>
      </c>
      <c r="M1027" s="11">
        <v>20000</v>
      </c>
      <c r="N1027" s="8" t="s">
        <v>30</v>
      </c>
      <c r="O1027" s="8" t="s">
        <v>17</v>
      </c>
      <c r="P1027" s="8" t="s">
        <v>18</v>
      </c>
      <c r="Q1027" s="8" t="s">
        <v>18</v>
      </c>
      <c r="S1027" s="8" t="s">
        <v>2219</v>
      </c>
      <c r="T1027" s="8" t="s">
        <v>2220</v>
      </c>
      <c r="V1027" s="8" t="s">
        <v>813</v>
      </c>
      <c r="W1027" s="8">
        <f t="shared" si="30"/>
        <v>3</v>
      </c>
      <c r="X1027" s="8">
        <f>K1027*L1027*N1027</f>
        <v>0</v>
      </c>
    </row>
    <row r="1028" spans="1:24" s="8" customFormat="1" ht="41.5" customHeight="1">
      <c r="A1028" s="8" t="s">
        <v>2339</v>
      </c>
      <c r="B1028" s="8" t="s">
        <v>2782</v>
      </c>
      <c r="C1028" s="9">
        <v>45854.549411736101</v>
      </c>
      <c r="D1028" s="8" t="s">
        <v>2218</v>
      </c>
      <c r="E1028" s="8" t="s">
        <v>2057</v>
      </c>
      <c r="F1028" s="8">
        <v>1</v>
      </c>
      <c r="G1028" s="2">
        <v>635</v>
      </c>
      <c r="H1028" s="8" t="s">
        <v>118</v>
      </c>
      <c r="I1028" s="2">
        <f t="shared" si="31"/>
        <v>635</v>
      </c>
      <c r="M1028" s="11">
        <v>60000</v>
      </c>
      <c r="N1028" s="8" t="s">
        <v>30</v>
      </c>
      <c r="O1028" s="8" t="s">
        <v>17</v>
      </c>
      <c r="P1028" s="8" t="s">
        <v>18</v>
      </c>
      <c r="Q1028" s="8" t="s">
        <v>18</v>
      </c>
      <c r="S1028" s="8" t="s">
        <v>2219</v>
      </c>
      <c r="T1028" s="8" t="s">
        <v>2220</v>
      </c>
      <c r="V1028" s="8" t="s">
        <v>813</v>
      </c>
      <c r="W1028" s="8">
        <f t="shared" si="30"/>
        <v>3</v>
      </c>
      <c r="X1028" s="8">
        <f>K1028*L1028*N1028</f>
        <v>0</v>
      </c>
    </row>
    <row r="1029" spans="1:24" s="8" customFormat="1" ht="41.5" customHeight="1">
      <c r="A1029" s="8" t="s">
        <v>2339</v>
      </c>
      <c r="B1029" s="8" t="s">
        <v>2783</v>
      </c>
      <c r="C1029" s="9">
        <v>45854.548632754602</v>
      </c>
      <c r="D1029" s="8" t="s">
        <v>2218</v>
      </c>
      <c r="E1029" s="8" t="s">
        <v>2057</v>
      </c>
      <c r="F1029" s="8">
        <v>1</v>
      </c>
      <c r="G1029" s="2">
        <v>635</v>
      </c>
      <c r="H1029" s="8" t="s">
        <v>118</v>
      </c>
      <c r="I1029" s="2">
        <f t="shared" si="31"/>
        <v>635</v>
      </c>
      <c r="M1029" s="11">
        <v>23069</v>
      </c>
      <c r="N1029" s="8" t="s">
        <v>30</v>
      </c>
      <c r="O1029" s="8" t="s">
        <v>17</v>
      </c>
      <c r="P1029" s="8" t="s">
        <v>18</v>
      </c>
      <c r="Q1029" s="8" t="s">
        <v>18</v>
      </c>
      <c r="S1029" s="8" t="s">
        <v>2219</v>
      </c>
      <c r="T1029" s="8" t="s">
        <v>2220</v>
      </c>
      <c r="V1029" s="8" t="s">
        <v>813</v>
      </c>
      <c r="W1029" s="8">
        <f t="shared" si="30"/>
        <v>3</v>
      </c>
      <c r="X1029" s="8">
        <f>K1029*L1029*N1029</f>
        <v>0</v>
      </c>
    </row>
    <row r="1030" spans="1:24" s="8" customFormat="1" ht="41.5" customHeight="1">
      <c r="A1030" s="8" t="s">
        <v>2339</v>
      </c>
      <c r="B1030" s="8" t="s">
        <v>2784</v>
      </c>
      <c r="C1030" s="9">
        <v>45854.548632743099</v>
      </c>
      <c r="D1030" s="8" t="s">
        <v>2218</v>
      </c>
      <c r="E1030" s="8" t="s">
        <v>2057</v>
      </c>
      <c r="F1030" s="8">
        <v>1</v>
      </c>
      <c r="G1030" s="2">
        <v>635</v>
      </c>
      <c r="H1030" s="8" t="s">
        <v>118</v>
      </c>
      <c r="I1030" s="2">
        <f t="shared" si="31"/>
        <v>635</v>
      </c>
      <c r="M1030" s="11">
        <v>20000</v>
      </c>
      <c r="N1030" s="8" t="s">
        <v>30</v>
      </c>
      <c r="O1030" s="8" t="s">
        <v>17</v>
      </c>
      <c r="P1030" s="8" t="s">
        <v>18</v>
      </c>
      <c r="Q1030" s="8" t="s">
        <v>18</v>
      </c>
      <c r="S1030" s="8" t="s">
        <v>2219</v>
      </c>
      <c r="T1030" s="8" t="s">
        <v>2220</v>
      </c>
      <c r="V1030" s="8" t="s">
        <v>813</v>
      </c>
      <c r="W1030" s="8">
        <f t="shared" si="30"/>
        <v>3</v>
      </c>
      <c r="X1030" s="8">
        <f>K1030*L1030*N1030</f>
        <v>0</v>
      </c>
    </row>
    <row r="1031" spans="1:24" s="8" customFormat="1" ht="41.5" customHeight="1">
      <c r="A1031" s="8" t="s">
        <v>2339</v>
      </c>
      <c r="B1031" s="8" t="s">
        <v>2785</v>
      </c>
      <c r="C1031" s="9">
        <v>45854.545847743102</v>
      </c>
      <c r="D1031" s="8" t="s">
        <v>2218</v>
      </c>
      <c r="E1031" s="8" t="s">
        <v>2057</v>
      </c>
      <c r="F1031" s="8">
        <v>1</v>
      </c>
      <c r="G1031" s="2">
        <v>635</v>
      </c>
      <c r="H1031" s="8" t="s">
        <v>118</v>
      </c>
      <c r="I1031" s="2">
        <f t="shared" si="31"/>
        <v>635</v>
      </c>
      <c r="M1031" s="11">
        <v>20000</v>
      </c>
      <c r="N1031" s="8" t="s">
        <v>30</v>
      </c>
      <c r="O1031" s="8" t="s">
        <v>17</v>
      </c>
      <c r="P1031" s="8" t="s">
        <v>18</v>
      </c>
      <c r="Q1031" s="8" t="s">
        <v>18</v>
      </c>
      <c r="S1031" s="8" t="s">
        <v>2219</v>
      </c>
      <c r="T1031" s="8" t="s">
        <v>2220</v>
      </c>
      <c r="V1031" s="8" t="s">
        <v>813</v>
      </c>
      <c r="W1031" s="8">
        <f t="shared" si="30"/>
        <v>3</v>
      </c>
      <c r="X1031" s="8">
        <f>K1031*L1031*N1031</f>
        <v>0</v>
      </c>
    </row>
    <row r="1032" spans="1:24" s="8" customFormat="1" ht="41.5" customHeight="1">
      <c r="A1032" s="8" t="s">
        <v>2339</v>
      </c>
      <c r="B1032" s="8" t="s">
        <v>2786</v>
      </c>
      <c r="C1032" s="9">
        <v>45854.544823368102</v>
      </c>
      <c r="D1032" s="8" t="s">
        <v>2218</v>
      </c>
      <c r="E1032" s="8" t="s">
        <v>2057</v>
      </c>
      <c r="F1032" s="8">
        <v>1</v>
      </c>
      <c r="G1032" s="2">
        <v>635</v>
      </c>
      <c r="H1032" s="8" t="s">
        <v>118</v>
      </c>
      <c r="I1032" s="2">
        <f t="shared" si="31"/>
        <v>635</v>
      </c>
      <c r="M1032" s="11">
        <v>20000</v>
      </c>
      <c r="N1032" s="8" t="s">
        <v>30</v>
      </c>
      <c r="O1032" s="8" t="s">
        <v>17</v>
      </c>
      <c r="P1032" s="8" t="s">
        <v>18</v>
      </c>
      <c r="Q1032" s="8" t="s">
        <v>18</v>
      </c>
      <c r="S1032" s="8" t="s">
        <v>2219</v>
      </c>
      <c r="T1032" s="8" t="s">
        <v>2220</v>
      </c>
      <c r="V1032" s="8" t="s">
        <v>813</v>
      </c>
      <c r="W1032" s="8">
        <f t="shared" si="30"/>
        <v>3</v>
      </c>
      <c r="X1032" s="8">
        <f>K1032*L1032*N1032</f>
        <v>0</v>
      </c>
    </row>
    <row r="1033" spans="1:24" s="8" customFormat="1" ht="41.5" customHeight="1">
      <c r="A1033" s="8" t="s">
        <v>2704</v>
      </c>
      <c r="B1033" s="8" t="s">
        <v>801</v>
      </c>
      <c r="C1033" s="9">
        <v>45796.457101504602</v>
      </c>
      <c r="D1033" s="8" t="s">
        <v>2056</v>
      </c>
      <c r="E1033" s="8" t="s">
        <v>2057</v>
      </c>
      <c r="F1033" s="8">
        <v>1</v>
      </c>
      <c r="G1033" s="22" t="s">
        <v>895</v>
      </c>
      <c r="H1033" s="8" t="s">
        <v>895</v>
      </c>
      <c r="I1033" s="2" t="str">
        <f t="shared" si="31"/>
        <v>Dây hàn lõi thuốc KF-71T D1.2 15kg/cuộn</v>
      </c>
      <c r="J1033" s="8" t="s">
        <v>833</v>
      </c>
      <c r="K1033" s="10">
        <v>210</v>
      </c>
      <c r="L1033" s="10">
        <v>24500</v>
      </c>
      <c r="M1033" s="11">
        <v>5145000</v>
      </c>
      <c r="N1033" s="8" t="s">
        <v>30</v>
      </c>
      <c r="O1033" s="8" t="s">
        <v>17</v>
      </c>
      <c r="P1033" s="8" t="s">
        <v>18</v>
      </c>
      <c r="Q1033" s="8" t="s">
        <v>18</v>
      </c>
      <c r="R1033" s="8" t="s">
        <v>2145</v>
      </c>
      <c r="S1033" s="8" t="s">
        <v>2257</v>
      </c>
      <c r="T1033" s="8" t="s">
        <v>2258</v>
      </c>
      <c r="U1033" s="8" t="s">
        <v>2706</v>
      </c>
      <c r="V1033" s="8" t="s">
        <v>896</v>
      </c>
      <c r="W1033" s="8">
        <f t="shared" si="30"/>
        <v>2</v>
      </c>
      <c r="X1033" s="8">
        <f>K1033*L1033*N1033</f>
        <v>514500</v>
      </c>
    </row>
    <row r="1034" spans="1:24" s="8" customFormat="1" ht="41.5" customHeight="1">
      <c r="A1034" s="8" t="s">
        <v>2704</v>
      </c>
      <c r="B1034" s="8" t="s">
        <v>801</v>
      </c>
      <c r="C1034" s="9">
        <v>45796.457101504602</v>
      </c>
      <c r="D1034" s="8" t="s">
        <v>2056</v>
      </c>
      <c r="E1034" s="8" t="s">
        <v>2057</v>
      </c>
      <c r="F1034" s="8">
        <v>2</v>
      </c>
      <c r="G1034" s="22" t="s">
        <v>897</v>
      </c>
      <c r="H1034" s="8" t="s">
        <v>897</v>
      </c>
      <c r="I1034" s="2" t="str">
        <f t="shared" si="31"/>
        <v>Dây hàn mag Gemini 70S6 D1.2 15kg/cuộn RL250</v>
      </c>
      <c r="J1034" s="8" t="s">
        <v>833</v>
      </c>
      <c r="K1034" s="10">
        <v>150</v>
      </c>
      <c r="L1034" s="10">
        <v>25200</v>
      </c>
      <c r="M1034" s="11">
        <v>3780000</v>
      </c>
      <c r="N1034" s="8" t="s">
        <v>30</v>
      </c>
      <c r="O1034" s="8" t="s">
        <v>17</v>
      </c>
      <c r="P1034" s="8" t="s">
        <v>18</v>
      </c>
      <c r="Q1034" s="8" t="s">
        <v>18</v>
      </c>
      <c r="R1034" s="8" t="s">
        <v>2145</v>
      </c>
      <c r="S1034" s="8" t="s">
        <v>2257</v>
      </c>
      <c r="T1034" s="8" t="s">
        <v>2258</v>
      </c>
      <c r="U1034" s="8" t="s">
        <v>2706</v>
      </c>
      <c r="V1034" s="8" t="s">
        <v>896</v>
      </c>
      <c r="W1034" s="8">
        <f t="shared" si="30"/>
        <v>2</v>
      </c>
      <c r="X1034" s="8">
        <f>K1034*L1034*N1034</f>
        <v>378000</v>
      </c>
    </row>
    <row r="1035" spans="1:24" s="8" customFormat="1" ht="41.5" customHeight="1">
      <c r="A1035" s="8" t="s">
        <v>2704</v>
      </c>
      <c r="B1035" s="8" t="s">
        <v>801</v>
      </c>
      <c r="C1035" s="9">
        <v>45796.457101504602</v>
      </c>
      <c r="D1035" s="8" t="s">
        <v>2056</v>
      </c>
      <c r="E1035" s="8" t="s">
        <v>2057</v>
      </c>
      <c r="F1035" s="8">
        <v>3</v>
      </c>
      <c r="G1035" s="22" t="s">
        <v>898</v>
      </c>
      <c r="H1035" s="8" t="s">
        <v>898</v>
      </c>
      <c r="I1035" s="2" t="str">
        <f t="shared" si="31"/>
        <v>Dây hàn mag Gemini 70S6 D1.0 15kg/cuộn RL250</v>
      </c>
      <c r="J1035" s="8" t="s">
        <v>833</v>
      </c>
      <c r="K1035" s="10">
        <v>150</v>
      </c>
      <c r="L1035" s="10">
        <v>27200</v>
      </c>
      <c r="M1035" s="11">
        <v>4080000</v>
      </c>
      <c r="N1035" s="8" t="s">
        <v>30</v>
      </c>
      <c r="O1035" s="8" t="s">
        <v>17</v>
      </c>
      <c r="P1035" s="8" t="s">
        <v>18</v>
      </c>
      <c r="Q1035" s="8" t="s">
        <v>18</v>
      </c>
      <c r="R1035" s="8" t="s">
        <v>2145</v>
      </c>
      <c r="S1035" s="8" t="s">
        <v>2257</v>
      </c>
      <c r="T1035" s="8" t="s">
        <v>2258</v>
      </c>
      <c r="U1035" s="8" t="s">
        <v>2706</v>
      </c>
      <c r="V1035" s="8" t="s">
        <v>896</v>
      </c>
      <c r="W1035" s="8">
        <f t="shared" si="30"/>
        <v>2</v>
      </c>
      <c r="X1035" s="8">
        <f>K1035*L1035*N1035</f>
        <v>408000</v>
      </c>
    </row>
    <row r="1036" spans="1:24" s="8" customFormat="1" ht="41.5" customHeight="1">
      <c r="A1036" s="8" t="s">
        <v>2704</v>
      </c>
      <c r="B1036" s="8" t="s">
        <v>801</v>
      </c>
      <c r="C1036" s="9">
        <v>45796.457101504602</v>
      </c>
      <c r="D1036" s="8" t="s">
        <v>2056</v>
      </c>
      <c r="E1036" s="8" t="s">
        <v>2057</v>
      </c>
      <c r="F1036" s="8">
        <v>4</v>
      </c>
      <c r="G1036" s="22" t="s">
        <v>899</v>
      </c>
      <c r="H1036" s="8" t="s">
        <v>899</v>
      </c>
      <c r="I1036" s="2" t="str">
        <f t="shared" si="31"/>
        <v>Dây hàn mag Gemini 70S6 D0.8 15kg/cuộn RL250</v>
      </c>
      <c r="J1036" s="8" t="s">
        <v>833</v>
      </c>
      <c r="K1036" s="10">
        <v>120</v>
      </c>
      <c r="L1036" s="10">
        <v>28400</v>
      </c>
      <c r="M1036" s="11">
        <v>3408000</v>
      </c>
      <c r="N1036" s="8" t="s">
        <v>30</v>
      </c>
      <c r="O1036" s="8" t="s">
        <v>17</v>
      </c>
      <c r="P1036" s="8" t="s">
        <v>18</v>
      </c>
      <c r="Q1036" s="8" t="s">
        <v>18</v>
      </c>
      <c r="R1036" s="8" t="s">
        <v>2145</v>
      </c>
      <c r="S1036" s="8" t="s">
        <v>2257</v>
      </c>
      <c r="T1036" s="8" t="s">
        <v>2258</v>
      </c>
      <c r="U1036" s="8" t="s">
        <v>2706</v>
      </c>
      <c r="V1036" s="8" t="s">
        <v>896</v>
      </c>
      <c r="W1036" s="8">
        <f t="shared" si="30"/>
        <v>2</v>
      </c>
      <c r="X1036" s="8">
        <f>K1036*L1036*N1036</f>
        <v>340800</v>
      </c>
    </row>
    <row r="1037" spans="1:24" s="8" customFormat="1" ht="41.5" customHeight="1">
      <c r="A1037" s="8" t="s">
        <v>2704</v>
      </c>
      <c r="B1037" s="8" t="s">
        <v>900</v>
      </c>
      <c r="C1037" s="9">
        <v>45782.377555231498</v>
      </c>
      <c r="D1037" s="8" t="s">
        <v>2056</v>
      </c>
      <c r="E1037" s="8" t="s">
        <v>2057</v>
      </c>
      <c r="F1037" s="8">
        <v>1</v>
      </c>
      <c r="G1037" s="22" t="s">
        <v>776</v>
      </c>
      <c r="H1037" s="8" t="s">
        <v>776</v>
      </c>
      <c r="I1037" s="2" t="str">
        <f t="shared" si="31"/>
        <v>Que hàn sắt Kim Tín KT421 D2.5 20kg/thùng</v>
      </c>
      <c r="J1037" s="8" t="s">
        <v>833</v>
      </c>
      <c r="K1037" s="10">
        <v>540</v>
      </c>
      <c r="L1037" s="10">
        <v>24500</v>
      </c>
      <c r="M1037" s="11">
        <v>13230000</v>
      </c>
      <c r="N1037" s="8" t="s">
        <v>30</v>
      </c>
      <c r="O1037" s="8" t="s">
        <v>17</v>
      </c>
      <c r="P1037" s="8" t="s">
        <v>18</v>
      </c>
      <c r="Q1037" s="8" t="s">
        <v>18</v>
      </c>
      <c r="R1037" s="8" t="s">
        <v>2145</v>
      </c>
      <c r="S1037" s="8" t="s">
        <v>2257</v>
      </c>
      <c r="T1037" s="8" t="s">
        <v>2258</v>
      </c>
      <c r="U1037" s="8" t="s">
        <v>2706</v>
      </c>
      <c r="V1037" s="8" t="s">
        <v>901</v>
      </c>
      <c r="W1037" s="8">
        <f t="shared" si="30"/>
        <v>2</v>
      </c>
      <c r="X1037" s="8">
        <f>K1037*L1037*N1037</f>
        <v>1323000</v>
      </c>
    </row>
    <row r="1038" spans="1:24" s="8" customFormat="1" ht="41.5" customHeight="1">
      <c r="A1038" s="8" t="s">
        <v>2704</v>
      </c>
      <c r="B1038" s="8" t="s">
        <v>900</v>
      </c>
      <c r="C1038" s="9">
        <v>45782.377555231498</v>
      </c>
      <c r="D1038" s="8" t="s">
        <v>2056</v>
      </c>
      <c r="E1038" s="8" t="s">
        <v>2057</v>
      </c>
      <c r="F1038" s="8">
        <v>2</v>
      </c>
      <c r="G1038" s="22" t="s">
        <v>902</v>
      </c>
      <c r="H1038" s="8" t="s">
        <v>902</v>
      </c>
      <c r="I1038" s="2" t="str">
        <f t="shared" si="31"/>
        <v>Que hàn sắt Kim Tín KT421 D4.0 20kg/thùng</v>
      </c>
      <c r="J1038" s="8" t="s">
        <v>833</v>
      </c>
      <c r="K1038" s="10">
        <v>560</v>
      </c>
      <c r="L1038" s="10">
        <v>23000</v>
      </c>
      <c r="M1038" s="11">
        <v>12880000</v>
      </c>
      <c r="N1038" s="8" t="s">
        <v>30</v>
      </c>
      <c r="O1038" s="8" t="s">
        <v>17</v>
      </c>
      <c r="P1038" s="8" t="s">
        <v>18</v>
      </c>
      <c r="Q1038" s="8" t="s">
        <v>18</v>
      </c>
      <c r="R1038" s="8" t="s">
        <v>2145</v>
      </c>
      <c r="S1038" s="8" t="s">
        <v>2257</v>
      </c>
      <c r="T1038" s="8" t="s">
        <v>2258</v>
      </c>
      <c r="U1038" s="8" t="s">
        <v>2706</v>
      </c>
      <c r="V1038" s="8" t="s">
        <v>901</v>
      </c>
      <c r="W1038" s="8">
        <f t="shared" si="30"/>
        <v>2</v>
      </c>
      <c r="X1038" s="8">
        <f>K1038*L1038*N1038</f>
        <v>1288000</v>
      </c>
    </row>
    <row r="1039" spans="1:24" s="8" customFormat="1" ht="41.5" customHeight="1">
      <c r="A1039" s="8" t="s">
        <v>2704</v>
      </c>
      <c r="B1039" s="8" t="s">
        <v>900</v>
      </c>
      <c r="C1039" s="9">
        <v>45782.377555231498</v>
      </c>
      <c r="D1039" s="8" t="s">
        <v>2056</v>
      </c>
      <c r="E1039" s="8" t="s">
        <v>2057</v>
      </c>
      <c r="F1039" s="8">
        <v>3</v>
      </c>
      <c r="G1039" s="22" t="s">
        <v>839</v>
      </c>
      <c r="H1039" s="8" t="s">
        <v>839</v>
      </c>
      <c r="I1039" s="2" t="str">
        <f t="shared" si="31"/>
        <v>Chất tẩy sơn ATM 875ml</v>
      </c>
      <c r="J1039" s="8" t="s">
        <v>55</v>
      </c>
      <c r="K1039" s="10">
        <v>5</v>
      </c>
      <c r="L1039" s="10">
        <v>930000</v>
      </c>
      <c r="M1039" s="11">
        <v>4650000</v>
      </c>
      <c r="N1039" s="8" t="s">
        <v>30</v>
      </c>
      <c r="O1039" s="8" t="s">
        <v>17</v>
      </c>
      <c r="P1039" s="8" t="s">
        <v>18</v>
      </c>
      <c r="Q1039" s="8" t="s">
        <v>18</v>
      </c>
      <c r="R1039" s="8" t="s">
        <v>2145</v>
      </c>
      <c r="S1039" s="8" t="s">
        <v>2257</v>
      </c>
      <c r="T1039" s="8" t="s">
        <v>2258</v>
      </c>
      <c r="U1039" s="8" t="s">
        <v>2706</v>
      </c>
      <c r="V1039" s="8" t="s">
        <v>901</v>
      </c>
      <c r="W1039" s="8">
        <f t="shared" si="30"/>
        <v>2</v>
      </c>
      <c r="X1039" s="8">
        <f>K1039*L1039*N1039</f>
        <v>465000</v>
      </c>
    </row>
    <row r="1040" spans="1:24" s="8" customFormat="1" ht="41.5" customHeight="1">
      <c r="A1040" s="8" t="s">
        <v>2704</v>
      </c>
      <c r="B1040" s="8" t="s">
        <v>900</v>
      </c>
      <c r="C1040" s="9">
        <v>45782.377555231498</v>
      </c>
      <c r="D1040" s="8" t="s">
        <v>2056</v>
      </c>
      <c r="E1040" s="8" t="s">
        <v>2057</v>
      </c>
      <c r="F1040" s="8">
        <v>4</v>
      </c>
      <c r="G1040" s="22" t="s">
        <v>838</v>
      </c>
      <c r="H1040" s="8" t="s">
        <v>838</v>
      </c>
      <c r="I1040" s="2" t="str">
        <f t="shared" si="31"/>
        <v>Sơn xịt 400 ml TV A10</v>
      </c>
      <c r="J1040" s="8" t="s">
        <v>55</v>
      </c>
      <c r="K1040" s="10">
        <v>8</v>
      </c>
      <c r="L1040" s="10">
        <v>303000</v>
      </c>
      <c r="M1040" s="11">
        <v>2424000</v>
      </c>
      <c r="N1040" s="8" t="s">
        <v>30</v>
      </c>
      <c r="O1040" s="8" t="s">
        <v>17</v>
      </c>
      <c r="P1040" s="8" t="s">
        <v>18</v>
      </c>
      <c r="Q1040" s="8" t="s">
        <v>18</v>
      </c>
      <c r="R1040" s="8" t="s">
        <v>2145</v>
      </c>
      <c r="S1040" s="8" t="s">
        <v>2257</v>
      </c>
      <c r="T1040" s="8" t="s">
        <v>2258</v>
      </c>
      <c r="U1040" s="8" t="s">
        <v>2706</v>
      </c>
      <c r="V1040" s="8" t="s">
        <v>901</v>
      </c>
      <c r="W1040" s="8">
        <f t="shared" si="30"/>
        <v>2</v>
      </c>
      <c r="X1040" s="8">
        <f>K1040*L1040*N1040</f>
        <v>242400</v>
      </c>
    </row>
    <row r="1041" spans="1:24" s="8" customFormat="1" ht="41.5" customHeight="1">
      <c r="A1041" s="8" t="s">
        <v>2704</v>
      </c>
      <c r="B1041" s="8" t="s">
        <v>900</v>
      </c>
      <c r="C1041" s="9">
        <v>45782.377555231498</v>
      </c>
      <c r="D1041" s="8" t="s">
        <v>2056</v>
      </c>
      <c r="E1041" s="8" t="s">
        <v>2057</v>
      </c>
      <c r="F1041" s="8">
        <v>5</v>
      </c>
      <c r="G1041" s="22" t="s">
        <v>2707</v>
      </c>
      <c r="H1041" s="8" t="s">
        <v>837</v>
      </c>
      <c r="I1041" s="2" t="str">
        <f t="shared" si="31"/>
        <v>Sơn xịt 400 ml TV A210</v>
      </c>
      <c r="J1041" s="8" t="s">
        <v>55</v>
      </c>
      <c r="K1041" s="10">
        <v>8</v>
      </c>
      <c r="L1041" s="10">
        <v>303000</v>
      </c>
      <c r="M1041" s="11">
        <v>2424000</v>
      </c>
      <c r="N1041" s="8" t="s">
        <v>30</v>
      </c>
      <c r="O1041" s="8" t="s">
        <v>17</v>
      </c>
      <c r="P1041" s="8" t="s">
        <v>18</v>
      </c>
      <c r="Q1041" s="8" t="s">
        <v>18</v>
      </c>
      <c r="R1041" s="8" t="s">
        <v>2145</v>
      </c>
      <c r="S1041" s="8" t="s">
        <v>2257</v>
      </c>
      <c r="T1041" s="8" t="s">
        <v>2258</v>
      </c>
      <c r="U1041" s="8" t="s">
        <v>2706</v>
      </c>
      <c r="V1041" s="8" t="s">
        <v>901</v>
      </c>
      <c r="W1041" s="8">
        <f t="shared" si="30"/>
        <v>2</v>
      </c>
      <c r="X1041" s="8">
        <f>K1041*L1041*N1041</f>
        <v>242400</v>
      </c>
    </row>
    <row r="1042" spans="1:24" s="8" customFormat="1" ht="41.5" customHeight="1">
      <c r="A1042" s="8" t="s">
        <v>2704</v>
      </c>
      <c r="B1042" s="8" t="s">
        <v>900</v>
      </c>
      <c r="C1042" s="9">
        <v>45782.377555231498</v>
      </c>
      <c r="D1042" s="8" t="s">
        <v>2056</v>
      </c>
      <c r="E1042" s="8" t="s">
        <v>2057</v>
      </c>
      <c r="F1042" s="8">
        <v>6</v>
      </c>
      <c r="G1042" s="22" t="s">
        <v>903</v>
      </c>
      <c r="H1042" s="8" t="s">
        <v>903</v>
      </c>
      <c r="I1042" s="2" t="str">
        <f t="shared" si="31"/>
        <v>Ve màu ATM 280 Gram 742</v>
      </c>
      <c r="J1042" s="8" t="s">
        <v>55</v>
      </c>
      <c r="K1042" s="10">
        <v>18</v>
      </c>
      <c r="L1042" s="10">
        <v>218000</v>
      </c>
      <c r="M1042" s="11">
        <v>3924000</v>
      </c>
      <c r="N1042" s="8" t="s">
        <v>30</v>
      </c>
      <c r="O1042" s="8" t="s">
        <v>17</v>
      </c>
      <c r="P1042" s="8" t="s">
        <v>18</v>
      </c>
      <c r="Q1042" s="8" t="s">
        <v>18</v>
      </c>
      <c r="R1042" s="8" t="s">
        <v>2145</v>
      </c>
      <c r="S1042" s="8" t="s">
        <v>2257</v>
      </c>
      <c r="T1042" s="8" t="s">
        <v>2258</v>
      </c>
      <c r="U1042" s="8" t="s">
        <v>2706</v>
      </c>
      <c r="V1042" s="8" t="s">
        <v>901</v>
      </c>
      <c r="W1042" s="8">
        <f t="shared" si="30"/>
        <v>2</v>
      </c>
      <c r="X1042" s="8">
        <f>K1042*L1042*N1042</f>
        <v>392400</v>
      </c>
    </row>
    <row r="1043" spans="1:24" s="8" customFormat="1" ht="41.5" customHeight="1">
      <c r="A1043" s="8" t="s">
        <v>2704</v>
      </c>
      <c r="B1043" s="8" t="s">
        <v>900</v>
      </c>
      <c r="C1043" s="9">
        <v>45782.377555231498</v>
      </c>
      <c r="D1043" s="8" t="s">
        <v>2056</v>
      </c>
      <c r="E1043" s="8" t="s">
        <v>2057</v>
      </c>
      <c r="F1043" s="8">
        <v>7</v>
      </c>
      <c r="G1043" s="22" t="s">
        <v>904</v>
      </c>
      <c r="H1043" s="8" t="s">
        <v>904</v>
      </c>
      <c r="I1043" s="2" t="str">
        <f t="shared" si="31"/>
        <v>Ve màu ATM 280 Gram 718</v>
      </c>
      <c r="J1043" s="8" t="s">
        <v>55</v>
      </c>
      <c r="K1043" s="10">
        <v>12</v>
      </c>
      <c r="L1043" s="10">
        <v>218000</v>
      </c>
      <c r="M1043" s="11">
        <v>2616000</v>
      </c>
      <c r="N1043" s="8" t="s">
        <v>30</v>
      </c>
      <c r="O1043" s="8" t="s">
        <v>17</v>
      </c>
      <c r="P1043" s="8" t="s">
        <v>18</v>
      </c>
      <c r="Q1043" s="8" t="s">
        <v>18</v>
      </c>
      <c r="R1043" s="8" t="s">
        <v>2145</v>
      </c>
      <c r="S1043" s="8" t="s">
        <v>2257</v>
      </c>
      <c r="T1043" s="8" t="s">
        <v>2258</v>
      </c>
      <c r="U1043" s="8" t="s">
        <v>2706</v>
      </c>
      <c r="V1043" s="8" t="s">
        <v>901</v>
      </c>
      <c r="W1043" s="8">
        <f t="shared" si="30"/>
        <v>2</v>
      </c>
      <c r="X1043" s="8">
        <f>K1043*L1043*N1043</f>
        <v>261600</v>
      </c>
    </row>
    <row r="1044" spans="1:24" s="8" customFormat="1" ht="41.5" customHeight="1">
      <c r="A1044" s="8" t="s">
        <v>2704</v>
      </c>
      <c r="B1044" s="8" t="s">
        <v>900</v>
      </c>
      <c r="C1044" s="9">
        <v>45782.377555231498</v>
      </c>
      <c r="D1044" s="8" t="s">
        <v>2056</v>
      </c>
      <c r="E1044" s="8" t="s">
        <v>2057</v>
      </c>
      <c r="F1044" s="8">
        <v>8</v>
      </c>
      <c r="G1044" s="22" t="s">
        <v>905</v>
      </c>
      <c r="H1044" s="8" t="s">
        <v>905</v>
      </c>
      <c r="I1044" s="2" t="str">
        <f t="shared" si="31"/>
        <v>Ve màu ATM 280 Gram 738</v>
      </c>
      <c r="J1044" s="8" t="s">
        <v>55</v>
      </c>
      <c r="K1044" s="10">
        <v>12</v>
      </c>
      <c r="L1044" s="10">
        <v>218000</v>
      </c>
      <c r="M1044" s="11">
        <v>2616000</v>
      </c>
      <c r="N1044" s="8" t="s">
        <v>30</v>
      </c>
      <c r="O1044" s="8" t="s">
        <v>17</v>
      </c>
      <c r="P1044" s="8" t="s">
        <v>18</v>
      </c>
      <c r="Q1044" s="8" t="s">
        <v>18</v>
      </c>
      <c r="R1044" s="8" t="s">
        <v>2145</v>
      </c>
      <c r="S1044" s="8" t="s">
        <v>2257</v>
      </c>
      <c r="T1044" s="8" t="s">
        <v>2258</v>
      </c>
      <c r="U1044" s="8" t="s">
        <v>2706</v>
      </c>
      <c r="V1044" s="8" t="s">
        <v>901</v>
      </c>
      <c r="W1044" s="8">
        <f t="shared" si="30"/>
        <v>2</v>
      </c>
      <c r="X1044" s="8">
        <f>K1044*L1044*N1044</f>
        <v>261600</v>
      </c>
    </row>
    <row r="1045" spans="1:24" s="8" customFormat="1" ht="41.5" customHeight="1">
      <c r="A1045" s="8" t="s">
        <v>2704</v>
      </c>
      <c r="B1045" s="8" t="s">
        <v>900</v>
      </c>
      <c r="C1045" s="9">
        <v>45782.377555231498</v>
      </c>
      <c r="D1045" s="8" t="s">
        <v>2056</v>
      </c>
      <c r="E1045" s="8" t="s">
        <v>2057</v>
      </c>
      <c r="F1045" s="8">
        <v>9</v>
      </c>
      <c r="G1045" s="22" t="s">
        <v>1333</v>
      </c>
      <c r="H1045" s="8" t="s">
        <v>906</v>
      </c>
      <c r="I1045" s="2" t="str">
        <f t="shared" si="31"/>
        <v>Chất kết dính đi từ Silicon A500</v>
      </c>
      <c r="J1045" s="8" t="s">
        <v>60</v>
      </c>
      <c r="K1045" s="10">
        <v>150</v>
      </c>
      <c r="L1045" s="10">
        <v>37500</v>
      </c>
      <c r="M1045" s="11">
        <v>5625000</v>
      </c>
      <c r="N1045" s="8" t="s">
        <v>30</v>
      </c>
      <c r="O1045" s="8" t="s">
        <v>17</v>
      </c>
      <c r="P1045" s="8" t="s">
        <v>18</v>
      </c>
      <c r="Q1045" s="8" t="s">
        <v>18</v>
      </c>
      <c r="R1045" s="8" t="s">
        <v>2145</v>
      </c>
      <c r="S1045" s="8" t="s">
        <v>2257</v>
      </c>
      <c r="T1045" s="8" t="s">
        <v>2258</v>
      </c>
      <c r="U1045" s="8" t="s">
        <v>2706</v>
      </c>
      <c r="V1045" s="8" t="s">
        <v>901</v>
      </c>
      <c r="W1045" s="8">
        <f t="shared" si="30"/>
        <v>2</v>
      </c>
      <c r="X1045" s="8">
        <f>K1045*L1045*N1045</f>
        <v>562500</v>
      </c>
    </row>
    <row r="1046" spans="1:24" s="8" customFormat="1" ht="41.5" customHeight="1">
      <c r="A1046" s="8" t="s">
        <v>2704</v>
      </c>
      <c r="B1046" s="8" t="s">
        <v>900</v>
      </c>
      <c r="C1046" s="9">
        <v>45782.377555231498</v>
      </c>
      <c r="D1046" s="8" t="s">
        <v>2056</v>
      </c>
      <c r="E1046" s="8" t="s">
        <v>2057</v>
      </c>
      <c r="F1046" s="8">
        <v>10</v>
      </c>
      <c r="G1046" s="22" t="s">
        <v>1555</v>
      </c>
      <c r="H1046" s="8" t="s">
        <v>907</v>
      </c>
      <c r="I1046" s="2" t="str">
        <f t="shared" si="31"/>
        <v>Chất kết dính đi từ Silicon A300</v>
      </c>
      <c r="J1046" s="8" t="s">
        <v>60</v>
      </c>
      <c r="K1046" s="10">
        <v>100</v>
      </c>
      <c r="L1046" s="10">
        <v>45139.090900000003</v>
      </c>
      <c r="M1046" s="11">
        <v>4513909</v>
      </c>
      <c r="N1046" s="8" t="s">
        <v>30</v>
      </c>
      <c r="O1046" s="8" t="s">
        <v>17</v>
      </c>
      <c r="P1046" s="8" t="s">
        <v>18</v>
      </c>
      <c r="Q1046" s="8" t="s">
        <v>18</v>
      </c>
      <c r="R1046" s="8" t="s">
        <v>2145</v>
      </c>
      <c r="S1046" s="8" t="s">
        <v>2257</v>
      </c>
      <c r="T1046" s="8" t="s">
        <v>2258</v>
      </c>
      <c r="U1046" s="8" t="s">
        <v>2706</v>
      </c>
      <c r="V1046" s="8" t="s">
        <v>901</v>
      </c>
      <c r="W1046" s="8">
        <f t="shared" si="30"/>
        <v>2</v>
      </c>
      <c r="X1046" s="8">
        <f>K1046*L1046*N1046</f>
        <v>451390.90899999999</v>
      </c>
    </row>
    <row r="1047" spans="1:24" s="8" customFormat="1" ht="41.5" customHeight="1">
      <c r="A1047" s="8" t="s">
        <v>2704</v>
      </c>
      <c r="B1047" s="8" t="s">
        <v>908</v>
      </c>
      <c r="C1047" s="9">
        <v>45782.376942847201</v>
      </c>
      <c r="D1047" s="8" t="s">
        <v>2056</v>
      </c>
      <c r="E1047" s="8" t="s">
        <v>2057</v>
      </c>
      <c r="F1047" s="8">
        <v>1</v>
      </c>
      <c r="G1047" s="22" t="s">
        <v>1350</v>
      </c>
      <c r="H1047" s="8" t="s">
        <v>840</v>
      </c>
      <c r="I1047" s="2" t="str">
        <f t="shared" si="31"/>
        <v>Đá cắt 355.32.5, 4 xanh</v>
      </c>
      <c r="J1047" s="8" t="s">
        <v>99</v>
      </c>
      <c r="K1047" s="10">
        <v>250</v>
      </c>
      <c r="L1047" s="10">
        <v>27300</v>
      </c>
      <c r="M1047" s="11">
        <v>6825000</v>
      </c>
      <c r="N1047" s="8" t="s">
        <v>16</v>
      </c>
      <c r="O1047" s="8" t="s">
        <v>17</v>
      </c>
      <c r="P1047" s="8" t="s">
        <v>18</v>
      </c>
      <c r="Q1047" s="8" t="s">
        <v>18</v>
      </c>
      <c r="R1047" s="8" t="s">
        <v>2145</v>
      </c>
      <c r="S1047" s="8" t="s">
        <v>2257</v>
      </c>
      <c r="T1047" s="8" t="s">
        <v>2258</v>
      </c>
      <c r="U1047" s="8" t="s">
        <v>2706</v>
      </c>
      <c r="V1047" s="8" t="s">
        <v>901</v>
      </c>
      <c r="W1047" s="8">
        <f t="shared" si="30"/>
        <v>2</v>
      </c>
      <c r="X1047" s="8">
        <f>K1047*L1047*N1047</f>
        <v>546000</v>
      </c>
    </row>
    <row r="1048" spans="1:24" s="8" customFormat="1" ht="41.5" customHeight="1">
      <c r="A1048" s="8" t="s">
        <v>2704</v>
      </c>
      <c r="B1048" s="8" t="s">
        <v>908</v>
      </c>
      <c r="C1048" s="9">
        <v>45782.376942847201</v>
      </c>
      <c r="D1048" s="8" t="s">
        <v>2056</v>
      </c>
      <c r="E1048" s="8" t="s">
        <v>2057</v>
      </c>
      <c r="F1048" s="8">
        <v>2</v>
      </c>
      <c r="G1048" s="22" t="s">
        <v>1361</v>
      </c>
      <c r="H1048" s="8" t="s">
        <v>909</v>
      </c>
      <c r="I1048" s="2" t="str">
        <f t="shared" si="31"/>
        <v>Đá cắt Cn 355.32.5, 4</v>
      </c>
      <c r="J1048" s="8" t="s">
        <v>99</v>
      </c>
      <c r="K1048" s="10">
        <v>250</v>
      </c>
      <c r="L1048" s="10">
        <v>27300</v>
      </c>
      <c r="M1048" s="11">
        <v>6825000</v>
      </c>
      <c r="N1048" s="8" t="s">
        <v>16</v>
      </c>
      <c r="O1048" s="8" t="s">
        <v>17</v>
      </c>
      <c r="P1048" s="8" t="s">
        <v>18</v>
      </c>
      <c r="Q1048" s="8" t="s">
        <v>18</v>
      </c>
      <c r="R1048" s="8" t="s">
        <v>2145</v>
      </c>
      <c r="S1048" s="8" t="s">
        <v>2257</v>
      </c>
      <c r="T1048" s="8" t="s">
        <v>2258</v>
      </c>
      <c r="U1048" s="8" t="s">
        <v>2706</v>
      </c>
      <c r="V1048" s="8" t="s">
        <v>901</v>
      </c>
      <c r="W1048" s="8">
        <f t="shared" si="30"/>
        <v>2</v>
      </c>
      <c r="X1048" s="8">
        <f>K1048*L1048*N1048</f>
        <v>546000</v>
      </c>
    </row>
    <row r="1049" spans="1:24" s="8" customFormat="1" ht="41.5" customHeight="1">
      <c r="A1049" s="8" t="s">
        <v>2704</v>
      </c>
      <c r="B1049" s="8" t="s">
        <v>908</v>
      </c>
      <c r="C1049" s="9">
        <v>45782.376942847201</v>
      </c>
      <c r="D1049" s="8" t="s">
        <v>2056</v>
      </c>
      <c r="E1049" s="8" t="s">
        <v>2057</v>
      </c>
      <c r="F1049" s="8">
        <v>3</v>
      </c>
      <c r="G1049" s="22" t="s">
        <v>1367</v>
      </c>
      <c r="H1049" s="8" t="s">
        <v>910</v>
      </c>
      <c r="I1049" s="2" t="str">
        <f t="shared" si="31"/>
        <v>Đá mài Cn60/100 MV2 M1 20025.50</v>
      </c>
      <c r="J1049" s="8" t="s">
        <v>99</v>
      </c>
      <c r="K1049" s="10">
        <v>500</v>
      </c>
      <c r="L1049" s="10">
        <v>11500</v>
      </c>
      <c r="M1049" s="11">
        <v>5750000</v>
      </c>
      <c r="N1049" s="8" t="s">
        <v>16</v>
      </c>
      <c r="O1049" s="8" t="s">
        <v>17</v>
      </c>
      <c r="P1049" s="8" t="s">
        <v>18</v>
      </c>
      <c r="Q1049" s="8" t="s">
        <v>18</v>
      </c>
      <c r="R1049" s="8" t="s">
        <v>2145</v>
      </c>
      <c r="S1049" s="8" t="s">
        <v>2257</v>
      </c>
      <c r="T1049" s="8" t="s">
        <v>2258</v>
      </c>
      <c r="U1049" s="8" t="s">
        <v>2706</v>
      </c>
      <c r="V1049" s="8" t="s">
        <v>901</v>
      </c>
      <c r="W1049" s="8">
        <f t="shared" si="30"/>
        <v>2</v>
      </c>
      <c r="X1049" s="8">
        <f>K1049*L1049*N1049</f>
        <v>460000</v>
      </c>
    </row>
    <row r="1050" spans="1:24" s="8" customFormat="1" ht="41.5" customHeight="1">
      <c r="A1050" s="8" t="s">
        <v>2704</v>
      </c>
      <c r="B1050" s="8" t="s">
        <v>908</v>
      </c>
      <c r="C1050" s="9">
        <v>45782.376942847201</v>
      </c>
      <c r="D1050" s="8" t="s">
        <v>2056</v>
      </c>
      <c r="E1050" s="8" t="s">
        <v>2057</v>
      </c>
      <c r="F1050" s="8">
        <v>4</v>
      </c>
      <c r="G1050" s="22" t="s">
        <v>1318</v>
      </c>
      <c r="H1050" s="8" t="s">
        <v>911</v>
      </c>
      <c r="I1050" s="2" t="str">
        <f t="shared" si="31"/>
        <v>Đá mài Sx 80 TBN2 V1 200.20.32</v>
      </c>
      <c r="J1050" s="8" t="s">
        <v>99</v>
      </c>
      <c r="K1050" s="10">
        <v>20</v>
      </c>
      <c r="L1050" s="10">
        <v>122000</v>
      </c>
      <c r="M1050" s="11">
        <v>2440000</v>
      </c>
      <c r="N1050" s="8" t="s">
        <v>16</v>
      </c>
      <c r="O1050" s="8" t="s">
        <v>17</v>
      </c>
      <c r="P1050" s="8" t="s">
        <v>18</v>
      </c>
      <c r="Q1050" s="8" t="s">
        <v>18</v>
      </c>
      <c r="R1050" s="8" t="s">
        <v>2145</v>
      </c>
      <c r="S1050" s="8" t="s">
        <v>2257</v>
      </c>
      <c r="T1050" s="8" t="s">
        <v>2258</v>
      </c>
      <c r="U1050" s="8" t="s">
        <v>2706</v>
      </c>
      <c r="V1050" s="8" t="s">
        <v>901</v>
      </c>
      <c r="W1050" s="8">
        <f t="shared" si="30"/>
        <v>2</v>
      </c>
      <c r="X1050" s="8">
        <f>K1050*L1050*N1050</f>
        <v>195200</v>
      </c>
    </row>
    <row r="1051" spans="1:24" s="8" customFormat="1" ht="41.5" customHeight="1">
      <c r="A1051" s="8" t="s">
        <v>2704</v>
      </c>
      <c r="B1051" s="8" t="s">
        <v>908</v>
      </c>
      <c r="C1051" s="9">
        <v>45782.376942847201</v>
      </c>
      <c r="D1051" s="8" t="s">
        <v>2056</v>
      </c>
      <c r="E1051" s="8" t="s">
        <v>2057</v>
      </c>
      <c r="F1051" s="8">
        <v>5</v>
      </c>
      <c r="G1051" s="22" t="s">
        <v>912</v>
      </c>
      <c r="H1051" s="8" t="s">
        <v>912</v>
      </c>
      <c r="I1051" s="2" t="str">
        <f t="shared" si="31"/>
        <v>Đá mài Cn 36 tb1 V1 250.25.32</v>
      </c>
      <c r="J1051" s="8" t="s">
        <v>99</v>
      </c>
      <c r="K1051" s="10">
        <v>10</v>
      </c>
      <c r="L1051" s="10">
        <v>112000</v>
      </c>
      <c r="M1051" s="11">
        <v>1120000</v>
      </c>
      <c r="N1051" s="8" t="s">
        <v>16</v>
      </c>
      <c r="O1051" s="8" t="s">
        <v>17</v>
      </c>
      <c r="P1051" s="8" t="s">
        <v>18</v>
      </c>
      <c r="Q1051" s="8" t="s">
        <v>18</v>
      </c>
      <c r="R1051" s="8" t="s">
        <v>2145</v>
      </c>
      <c r="S1051" s="8" t="s">
        <v>2257</v>
      </c>
      <c r="T1051" s="8" t="s">
        <v>2258</v>
      </c>
      <c r="U1051" s="8" t="s">
        <v>2706</v>
      </c>
      <c r="V1051" s="8" t="s">
        <v>901</v>
      </c>
      <c r="W1051" s="8">
        <f t="shared" si="30"/>
        <v>2</v>
      </c>
      <c r="X1051" s="8">
        <f>K1051*L1051*N1051</f>
        <v>89600</v>
      </c>
    </row>
    <row r="1052" spans="1:24" s="8" customFormat="1" ht="41.5" customHeight="1">
      <c r="A1052" s="8" t="s">
        <v>2704</v>
      </c>
      <c r="B1052" s="8" t="s">
        <v>908</v>
      </c>
      <c r="C1052" s="9">
        <v>45782.376942847201</v>
      </c>
      <c r="D1052" s="8" t="s">
        <v>2056</v>
      </c>
      <c r="E1052" s="8" t="s">
        <v>2057</v>
      </c>
      <c r="F1052" s="8">
        <v>6</v>
      </c>
      <c r="G1052" s="22" t="s">
        <v>913</v>
      </c>
      <c r="H1052" s="8" t="s">
        <v>913</v>
      </c>
      <c r="I1052" s="2" t="str">
        <f t="shared" si="31"/>
        <v>Đá mài Cn 46 CV1 V1 400.40.127</v>
      </c>
      <c r="J1052" s="8" t="s">
        <v>99</v>
      </c>
      <c r="K1052" s="10">
        <v>6</v>
      </c>
      <c r="L1052" s="10">
        <v>375000</v>
      </c>
      <c r="M1052" s="11">
        <v>2250000</v>
      </c>
      <c r="N1052" s="8" t="s">
        <v>16</v>
      </c>
      <c r="O1052" s="8" t="s">
        <v>17</v>
      </c>
      <c r="P1052" s="8" t="s">
        <v>18</v>
      </c>
      <c r="Q1052" s="8" t="s">
        <v>18</v>
      </c>
      <c r="R1052" s="8" t="s">
        <v>2145</v>
      </c>
      <c r="S1052" s="8" t="s">
        <v>2257</v>
      </c>
      <c r="T1052" s="8" t="s">
        <v>2258</v>
      </c>
      <c r="U1052" s="8" t="s">
        <v>2706</v>
      </c>
      <c r="V1052" s="8" t="s">
        <v>901</v>
      </c>
      <c r="W1052" s="8">
        <f t="shared" si="30"/>
        <v>2</v>
      </c>
      <c r="X1052" s="8">
        <f>K1052*L1052*N1052</f>
        <v>180000</v>
      </c>
    </row>
    <row r="1053" spans="1:24" s="8" customFormat="1" ht="41.5" customHeight="1">
      <c r="A1053" s="8" t="s">
        <v>2281</v>
      </c>
      <c r="B1053" s="8" t="s">
        <v>2787</v>
      </c>
      <c r="C1053" s="9">
        <v>45805.5954470949</v>
      </c>
      <c r="D1053" s="8" t="s">
        <v>2056</v>
      </c>
      <c r="E1053" s="8" t="s">
        <v>2057</v>
      </c>
      <c r="F1053" s="8">
        <v>1</v>
      </c>
      <c r="G1053" s="22" t="s">
        <v>914</v>
      </c>
      <c r="H1053" s="8" t="s">
        <v>914</v>
      </c>
      <c r="I1053" s="2" t="str">
        <f t="shared" si="31"/>
        <v>Bình chữa cháy MFZL4</v>
      </c>
      <c r="J1053" s="8" t="s">
        <v>565</v>
      </c>
      <c r="K1053" s="10">
        <v>6</v>
      </c>
      <c r="L1053" s="10">
        <v>280000</v>
      </c>
      <c r="M1053" s="11">
        <v>1680000</v>
      </c>
      <c r="N1053" s="8" t="s">
        <v>16</v>
      </c>
      <c r="O1053" s="8" t="s">
        <v>17</v>
      </c>
      <c r="P1053" s="8" t="s">
        <v>18</v>
      </c>
      <c r="Q1053" s="8" t="s">
        <v>18</v>
      </c>
      <c r="R1053" s="8" t="s">
        <v>2283</v>
      </c>
      <c r="S1053" s="8" t="s">
        <v>2058</v>
      </c>
      <c r="T1053" s="8" t="s">
        <v>2059</v>
      </c>
      <c r="U1053" s="8" t="s">
        <v>2709</v>
      </c>
      <c r="V1053" s="8" t="s">
        <v>915</v>
      </c>
      <c r="W1053" s="8">
        <f t="shared" ref="W1053:W1116" si="32">ROUNDUP(MONTH(V1053)/3,0)</f>
        <v>2</v>
      </c>
      <c r="X1053" s="8">
        <f>K1053*L1053*N1053</f>
        <v>134400</v>
      </c>
    </row>
    <row r="1054" spans="1:24" s="8" customFormat="1" ht="41.5" customHeight="1">
      <c r="A1054" s="8" t="s">
        <v>2286</v>
      </c>
      <c r="B1054" s="8" t="s">
        <v>2788</v>
      </c>
      <c r="C1054" s="9">
        <v>45808.757139062502</v>
      </c>
      <c r="D1054" s="8" t="s">
        <v>2056</v>
      </c>
      <c r="E1054" s="8" t="s">
        <v>2057</v>
      </c>
      <c r="F1054" s="8">
        <v>1</v>
      </c>
      <c r="G1054" s="22" t="s">
        <v>1761</v>
      </c>
      <c r="H1054" s="8" t="s">
        <v>916</v>
      </c>
      <c r="I1054" s="2" t="str">
        <f t="shared" si="31"/>
        <v>Băng cản nước Sika Waterbar V-20 ECO VN 20ml</v>
      </c>
      <c r="J1054" s="8" t="s">
        <v>47</v>
      </c>
      <c r="K1054" s="10">
        <v>20</v>
      </c>
      <c r="L1054" s="10">
        <v>99537.04</v>
      </c>
      <c r="M1054" s="11">
        <v>1990740.8</v>
      </c>
      <c r="N1054" s="8" t="s">
        <v>16</v>
      </c>
      <c r="O1054" s="8" t="s">
        <v>17</v>
      </c>
      <c r="P1054" s="8" t="s">
        <v>18</v>
      </c>
      <c r="Q1054" s="8" t="s">
        <v>18</v>
      </c>
      <c r="R1054" s="8" t="s">
        <v>2110</v>
      </c>
      <c r="S1054" s="8" t="s">
        <v>2120</v>
      </c>
      <c r="T1054" s="8" t="s">
        <v>2121</v>
      </c>
      <c r="U1054" s="8" t="s">
        <v>2789</v>
      </c>
      <c r="V1054" s="8" t="s">
        <v>36</v>
      </c>
      <c r="W1054" s="8">
        <f t="shared" si="32"/>
        <v>2</v>
      </c>
      <c r="X1054" s="8">
        <f>K1054*L1054*N1054</f>
        <v>159259.264</v>
      </c>
    </row>
    <row r="1055" spans="1:24" s="8" customFormat="1" ht="41.5" customHeight="1">
      <c r="A1055" s="8" t="s">
        <v>2286</v>
      </c>
      <c r="B1055" s="8" t="s">
        <v>2790</v>
      </c>
      <c r="C1055" s="9">
        <v>45808.757048911997</v>
      </c>
      <c r="D1055" s="8" t="s">
        <v>2056</v>
      </c>
      <c r="E1055" s="8" t="s">
        <v>2057</v>
      </c>
      <c r="F1055" s="8">
        <v>1</v>
      </c>
      <c r="G1055" s="22" t="s">
        <v>917</v>
      </c>
      <c r="H1055" s="8" t="s">
        <v>917</v>
      </c>
      <c r="I1055" s="2" t="str">
        <f t="shared" si="31"/>
        <v>Sơn Reflective Road Line Black 5L</v>
      </c>
      <c r="J1055" s="8" t="s">
        <v>56</v>
      </c>
      <c r="K1055" s="10">
        <v>1</v>
      </c>
      <c r="L1055" s="10">
        <v>772727.27</v>
      </c>
      <c r="M1055" s="11">
        <v>772727.27</v>
      </c>
      <c r="N1055" s="8" t="s">
        <v>30</v>
      </c>
      <c r="O1055" s="8" t="s">
        <v>17</v>
      </c>
      <c r="P1055" s="8" t="s">
        <v>18</v>
      </c>
      <c r="Q1055" s="8" t="s">
        <v>18</v>
      </c>
      <c r="R1055" s="8" t="s">
        <v>2110</v>
      </c>
      <c r="S1055" s="8" t="s">
        <v>2120</v>
      </c>
      <c r="T1055" s="8" t="s">
        <v>2121</v>
      </c>
      <c r="U1055" s="8" t="s">
        <v>2789</v>
      </c>
      <c r="V1055" s="8" t="s">
        <v>36</v>
      </c>
      <c r="W1055" s="8">
        <f t="shared" si="32"/>
        <v>2</v>
      </c>
      <c r="X1055" s="8">
        <f>K1055*L1055*N1055</f>
        <v>77272.726999999999</v>
      </c>
    </row>
    <row r="1056" spans="1:24" s="8" customFormat="1" ht="41.5" customHeight="1">
      <c r="A1056" s="8" t="s">
        <v>2286</v>
      </c>
      <c r="B1056" s="8" t="s">
        <v>2790</v>
      </c>
      <c r="C1056" s="9">
        <v>45808.757048911997</v>
      </c>
      <c r="D1056" s="8" t="s">
        <v>2056</v>
      </c>
      <c r="E1056" s="8" t="s">
        <v>2057</v>
      </c>
      <c r="F1056" s="8">
        <v>2</v>
      </c>
      <c r="G1056" s="22" t="s">
        <v>918</v>
      </c>
      <c r="H1056" s="8" t="s">
        <v>918</v>
      </c>
      <c r="I1056" s="2" t="str">
        <f t="shared" si="31"/>
        <v>Sơn Reflective Road Line Yellow 5L</v>
      </c>
      <c r="J1056" s="8" t="s">
        <v>56</v>
      </c>
      <c r="K1056" s="10">
        <v>1</v>
      </c>
      <c r="L1056" s="10">
        <v>772727.27</v>
      </c>
      <c r="M1056" s="11">
        <v>772727.27</v>
      </c>
      <c r="N1056" s="8" t="s">
        <v>30</v>
      </c>
      <c r="O1056" s="8" t="s">
        <v>17</v>
      </c>
      <c r="P1056" s="8" t="s">
        <v>18</v>
      </c>
      <c r="Q1056" s="8" t="s">
        <v>18</v>
      </c>
      <c r="R1056" s="8" t="s">
        <v>2110</v>
      </c>
      <c r="S1056" s="8" t="s">
        <v>2120</v>
      </c>
      <c r="T1056" s="8" t="s">
        <v>2121</v>
      </c>
      <c r="U1056" s="8" t="s">
        <v>2789</v>
      </c>
      <c r="V1056" s="8" t="s">
        <v>36</v>
      </c>
      <c r="W1056" s="8">
        <f t="shared" si="32"/>
        <v>2</v>
      </c>
      <c r="X1056" s="8">
        <f>K1056*L1056*N1056</f>
        <v>77272.726999999999</v>
      </c>
    </row>
    <row r="1057" spans="1:24" s="8" customFormat="1" ht="41.5" customHeight="1">
      <c r="A1057" s="8" t="s">
        <v>2286</v>
      </c>
      <c r="B1057" s="8" t="s">
        <v>2790</v>
      </c>
      <c r="C1057" s="9">
        <v>45808.757048911997</v>
      </c>
      <c r="D1057" s="8" t="s">
        <v>2056</v>
      </c>
      <c r="E1057" s="8" t="s">
        <v>2057</v>
      </c>
      <c r="F1057" s="8">
        <v>3</v>
      </c>
      <c r="G1057" s="22" t="s">
        <v>2230</v>
      </c>
      <c r="H1057" s="8" t="s">
        <v>502</v>
      </c>
      <c r="I1057" s="2" t="str">
        <f t="shared" si="31"/>
        <v>GARDEX bóng mở BASE B 2.25L</v>
      </c>
      <c r="J1057" s="8" t="s">
        <v>56</v>
      </c>
      <c r="K1057" s="10">
        <v>3</v>
      </c>
      <c r="L1057" s="10">
        <v>465454.55</v>
      </c>
      <c r="M1057" s="11">
        <v>1396363.65</v>
      </c>
      <c r="N1057" s="8" t="s">
        <v>30</v>
      </c>
      <c r="O1057" s="8" t="s">
        <v>17</v>
      </c>
      <c r="P1057" s="8" t="s">
        <v>18</v>
      </c>
      <c r="Q1057" s="8" t="s">
        <v>18</v>
      </c>
      <c r="R1057" s="8" t="s">
        <v>2110</v>
      </c>
      <c r="S1057" s="8" t="s">
        <v>2120</v>
      </c>
      <c r="T1057" s="8" t="s">
        <v>2121</v>
      </c>
      <c r="U1057" s="8" t="s">
        <v>2789</v>
      </c>
      <c r="V1057" s="8" t="s">
        <v>36</v>
      </c>
      <c r="W1057" s="8">
        <f t="shared" si="32"/>
        <v>2</v>
      </c>
      <c r="X1057" s="8">
        <f>K1057*L1057*N1057</f>
        <v>139636.36499999999</v>
      </c>
    </row>
    <row r="1058" spans="1:24" s="8" customFormat="1" ht="41.5" customHeight="1">
      <c r="A1058" s="8" t="s">
        <v>2286</v>
      </c>
      <c r="B1058" s="8" t="s">
        <v>2790</v>
      </c>
      <c r="C1058" s="9">
        <v>45808.757048911997</v>
      </c>
      <c r="D1058" s="8" t="s">
        <v>2056</v>
      </c>
      <c r="E1058" s="8" t="s">
        <v>2057</v>
      </c>
      <c r="F1058" s="8">
        <v>4</v>
      </c>
      <c r="G1058" s="22" t="s">
        <v>2256</v>
      </c>
      <c r="H1058" s="8" t="s">
        <v>572</v>
      </c>
      <c r="I1058" s="2" t="str">
        <f t="shared" si="31"/>
        <v>GARDEX bóng mở BASE C 2.25L</v>
      </c>
      <c r="J1058" s="8" t="s">
        <v>56</v>
      </c>
      <c r="K1058" s="10">
        <v>3</v>
      </c>
      <c r="L1058" s="10">
        <v>465454.55</v>
      </c>
      <c r="M1058" s="11">
        <v>1396363.65</v>
      </c>
      <c r="N1058" s="8" t="s">
        <v>30</v>
      </c>
      <c r="O1058" s="8" t="s">
        <v>17</v>
      </c>
      <c r="P1058" s="8" t="s">
        <v>18</v>
      </c>
      <c r="Q1058" s="8" t="s">
        <v>18</v>
      </c>
      <c r="R1058" s="8" t="s">
        <v>2110</v>
      </c>
      <c r="S1058" s="8" t="s">
        <v>2120</v>
      </c>
      <c r="T1058" s="8" t="s">
        <v>2121</v>
      </c>
      <c r="U1058" s="8" t="s">
        <v>2789</v>
      </c>
      <c r="V1058" s="8" t="s">
        <v>36</v>
      </c>
      <c r="W1058" s="8">
        <f t="shared" si="32"/>
        <v>2</v>
      </c>
      <c r="X1058" s="8">
        <f>K1058*L1058*N1058</f>
        <v>139636.36499999999</v>
      </c>
    </row>
    <row r="1059" spans="1:24" s="8" customFormat="1" ht="41.5" customHeight="1">
      <c r="A1059" s="8" t="s">
        <v>2286</v>
      </c>
      <c r="B1059" s="8" t="s">
        <v>2790</v>
      </c>
      <c r="C1059" s="9">
        <v>45808.757048911997</v>
      </c>
      <c r="D1059" s="8" t="s">
        <v>2056</v>
      </c>
      <c r="E1059" s="8" t="s">
        <v>2057</v>
      </c>
      <c r="F1059" s="8">
        <v>5</v>
      </c>
      <c r="G1059" s="22" t="s">
        <v>919</v>
      </c>
      <c r="H1059" s="8" t="s">
        <v>919</v>
      </c>
      <c r="I1059" s="2" t="str">
        <f t="shared" si="31"/>
        <v>Sơn MK14 15L</v>
      </c>
      <c r="J1059" s="8" t="s">
        <v>54</v>
      </c>
      <c r="K1059" s="10">
        <v>5</v>
      </c>
      <c r="L1059" s="10">
        <v>490909.09</v>
      </c>
      <c r="M1059" s="11">
        <v>2454545.4500000002</v>
      </c>
      <c r="N1059" s="8" t="s">
        <v>30</v>
      </c>
      <c r="O1059" s="8" t="s">
        <v>17</v>
      </c>
      <c r="P1059" s="8" t="s">
        <v>18</v>
      </c>
      <c r="Q1059" s="8" t="s">
        <v>18</v>
      </c>
      <c r="R1059" s="8" t="s">
        <v>2110</v>
      </c>
      <c r="S1059" s="8" t="s">
        <v>2120</v>
      </c>
      <c r="T1059" s="8" t="s">
        <v>2121</v>
      </c>
      <c r="U1059" s="8" t="s">
        <v>2789</v>
      </c>
      <c r="V1059" s="8" t="s">
        <v>36</v>
      </c>
      <c r="W1059" s="8">
        <f t="shared" si="32"/>
        <v>2</v>
      </c>
      <c r="X1059" s="8">
        <f>K1059*L1059*N1059</f>
        <v>245454.54500000004</v>
      </c>
    </row>
    <row r="1060" spans="1:24" s="8" customFormat="1" ht="41.5" customHeight="1">
      <c r="A1060" s="8" t="s">
        <v>2286</v>
      </c>
      <c r="B1060" s="8" t="s">
        <v>2790</v>
      </c>
      <c r="C1060" s="9">
        <v>45808.757048911997</v>
      </c>
      <c r="D1060" s="8" t="s">
        <v>2056</v>
      </c>
      <c r="E1060" s="8" t="s">
        <v>2057</v>
      </c>
      <c r="F1060" s="8">
        <v>6</v>
      </c>
      <c r="G1060" s="22" t="s">
        <v>920</v>
      </c>
      <c r="H1060" s="8" t="s">
        <v>920</v>
      </c>
      <c r="I1060" s="2" t="str">
        <f t="shared" si="31"/>
        <v>Sơn MK14 15L PA</v>
      </c>
      <c r="J1060" s="8" t="s">
        <v>54</v>
      </c>
      <c r="K1060" s="10">
        <v>5</v>
      </c>
      <c r="L1060" s="10">
        <v>490909.09</v>
      </c>
      <c r="M1060" s="11">
        <v>2454545.4500000002</v>
      </c>
      <c r="N1060" s="8" t="s">
        <v>30</v>
      </c>
      <c r="O1060" s="8" t="s">
        <v>17</v>
      </c>
      <c r="P1060" s="8" t="s">
        <v>18</v>
      </c>
      <c r="Q1060" s="8" t="s">
        <v>18</v>
      </c>
      <c r="R1060" s="8" t="s">
        <v>2110</v>
      </c>
      <c r="S1060" s="8" t="s">
        <v>2120</v>
      </c>
      <c r="T1060" s="8" t="s">
        <v>2121</v>
      </c>
      <c r="U1060" s="8" t="s">
        <v>2789</v>
      </c>
      <c r="V1060" s="8" t="s">
        <v>36</v>
      </c>
      <c r="W1060" s="8">
        <f t="shared" si="32"/>
        <v>2</v>
      </c>
      <c r="X1060" s="8">
        <f>K1060*L1060*N1060</f>
        <v>245454.54500000004</v>
      </c>
    </row>
    <row r="1061" spans="1:24" s="8" customFormat="1" ht="41.5" customHeight="1">
      <c r="A1061" s="8" t="s">
        <v>2280</v>
      </c>
      <c r="B1061" s="8" t="s">
        <v>149</v>
      </c>
      <c r="C1061" s="9">
        <v>45784.661405138897</v>
      </c>
      <c r="D1061" s="8" t="s">
        <v>2056</v>
      </c>
      <c r="E1061" s="8" t="s">
        <v>2057</v>
      </c>
      <c r="F1061" s="8">
        <v>1</v>
      </c>
      <c r="G1061" s="22" t="s">
        <v>2791</v>
      </c>
      <c r="H1061" s="8" t="s">
        <v>921</v>
      </c>
      <c r="I1061" s="2" t="str">
        <f t="shared" si="31"/>
        <v>thép gai 10</v>
      </c>
      <c r="J1061" s="8" t="s">
        <v>35</v>
      </c>
      <c r="K1061" s="10">
        <v>1850</v>
      </c>
      <c r="L1061" s="10">
        <v>19500</v>
      </c>
      <c r="M1061" s="11">
        <v>36075000</v>
      </c>
      <c r="N1061" s="8" t="s">
        <v>30</v>
      </c>
      <c r="O1061" s="8" t="s">
        <v>17</v>
      </c>
      <c r="P1061" s="8" t="s">
        <v>18</v>
      </c>
      <c r="Q1061" s="8" t="s">
        <v>18</v>
      </c>
      <c r="R1061" s="8" t="s">
        <v>2110</v>
      </c>
      <c r="S1061" s="8" t="s">
        <v>2292</v>
      </c>
      <c r="T1061" s="8" t="s">
        <v>2293</v>
      </c>
      <c r="U1061" s="8" t="s">
        <v>2710</v>
      </c>
      <c r="V1061" s="8" t="s">
        <v>922</v>
      </c>
      <c r="W1061" s="8">
        <f t="shared" si="32"/>
        <v>2</v>
      </c>
      <c r="X1061" s="8">
        <f>K1061*L1061*N1061</f>
        <v>3607500</v>
      </c>
    </row>
    <row r="1062" spans="1:24" s="8" customFormat="1" ht="41.5" customHeight="1">
      <c r="A1062" s="8" t="s">
        <v>2280</v>
      </c>
      <c r="B1062" s="8" t="s">
        <v>149</v>
      </c>
      <c r="C1062" s="9">
        <v>45784.661405138897</v>
      </c>
      <c r="D1062" s="8" t="s">
        <v>2056</v>
      </c>
      <c r="E1062" s="8" t="s">
        <v>2057</v>
      </c>
      <c r="F1062" s="8">
        <v>2</v>
      </c>
      <c r="G1062" s="22" t="s">
        <v>261</v>
      </c>
      <c r="H1062" s="8" t="s">
        <v>261</v>
      </c>
      <c r="I1062" s="2" t="str">
        <f t="shared" si="31"/>
        <v>Lưới B40 d2,7</v>
      </c>
      <c r="J1062" s="8" t="s">
        <v>35</v>
      </c>
      <c r="K1062" s="10">
        <v>8415</v>
      </c>
      <c r="L1062" s="10">
        <v>19500</v>
      </c>
      <c r="M1062" s="11">
        <v>164092500</v>
      </c>
      <c r="N1062" s="8" t="s">
        <v>30</v>
      </c>
      <c r="O1062" s="8" t="s">
        <v>17</v>
      </c>
      <c r="P1062" s="8" t="s">
        <v>18</v>
      </c>
      <c r="Q1062" s="8" t="s">
        <v>18</v>
      </c>
      <c r="R1062" s="8" t="s">
        <v>2110</v>
      </c>
      <c r="S1062" s="8" t="s">
        <v>2292</v>
      </c>
      <c r="T1062" s="8" t="s">
        <v>2293</v>
      </c>
      <c r="U1062" s="8" t="s">
        <v>2710</v>
      </c>
      <c r="V1062" s="8" t="s">
        <v>922</v>
      </c>
      <c r="W1062" s="8">
        <f t="shared" si="32"/>
        <v>2</v>
      </c>
      <c r="X1062" s="8">
        <f>K1062*L1062*N1062</f>
        <v>16409250</v>
      </c>
    </row>
    <row r="1063" spans="1:24" s="13" customFormat="1" ht="41.5" customHeight="1">
      <c r="A1063" s="8" t="s">
        <v>2281</v>
      </c>
      <c r="B1063" s="13" t="s">
        <v>2792</v>
      </c>
      <c r="C1063" s="14">
        <v>45803.713383506903</v>
      </c>
      <c r="D1063" s="13" t="s">
        <v>2056</v>
      </c>
      <c r="E1063" s="13" t="s">
        <v>2057</v>
      </c>
      <c r="F1063" s="13">
        <v>1</v>
      </c>
      <c r="G1063" s="28" t="s">
        <v>1363</v>
      </c>
      <c r="H1063" s="13" t="s">
        <v>59</v>
      </c>
      <c r="I1063" s="2" t="str">
        <f t="shared" si="31"/>
        <v>Tôn màu</v>
      </c>
      <c r="J1063" s="13" t="s">
        <v>106</v>
      </c>
      <c r="K1063" s="15">
        <v>2580.1</v>
      </c>
      <c r="L1063" s="15">
        <v>93000</v>
      </c>
      <c r="M1063" s="16">
        <v>239949300</v>
      </c>
      <c r="N1063" s="13" t="s">
        <v>30</v>
      </c>
      <c r="O1063" s="13" t="s">
        <v>17</v>
      </c>
      <c r="P1063" s="13" t="s">
        <v>18</v>
      </c>
      <c r="Q1063" s="13" t="s">
        <v>18</v>
      </c>
      <c r="R1063" s="13" t="s">
        <v>2115</v>
      </c>
      <c r="S1063" s="13" t="s">
        <v>2126</v>
      </c>
      <c r="T1063" s="13" t="s">
        <v>2127</v>
      </c>
      <c r="U1063" s="13" t="s">
        <v>2645</v>
      </c>
      <c r="V1063" s="13" t="s">
        <v>923</v>
      </c>
      <c r="W1063" s="13">
        <f t="shared" si="32"/>
        <v>2</v>
      </c>
      <c r="X1063" s="8">
        <f>K1063*L1063*N1063</f>
        <v>23994930</v>
      </c>
    </row>
    <row r="1064" spans="1:24" s="8" customFormat="1" ht="41.5" customHeight="1">
      <c r="A1064" s="8" t="s">
        <v>2281</v>
      </c>
      <c r="B1064" s="8" t="s">
        <v>2792</v>
      </c>
      <c r="C1064" s="9">
        <v>45803.713383506903</v>
      </c>
      <c r="D1064" s="8" t="s">
        <v>2056</v>
      </c>
      <c r="E1064" s="8" t="s">
        <v>2057</v>
      </c>
      <c r="F1064" s="8">
        <v>2</v>
      </c>
      <c r="G1064" s="27" t="s">
        <v>2140</v>
      </c>
      <c r="H1064" s="8" t="s">
        <v>267</v>
      </c>
      <c r="I1064" s="2" t="str">
        <f t="shared" si="31"/>
        <v>Thép ống hộp</v>
      </c>
      <c r="J1064" s="8" t="s">
        <v>35</v>
      </c>
      <c r="K1064" s="10">
        <v>26522.1</v>
      </c>
      <c r="L1064" s="10">
        <v>16600</v>
      </c>
      <c r="M1064" s="11">
        <v>440266860</v>
      </c>
      <c r="N1064" s="8" t="s">
        <v>30</v>
      </c>
      <c r="O1064" s="8" t="s">
        <v>17</v>
      </c>
      <c r="P1064" s="8" t="s">
        <v>18</v>
      </c>
      <c r="Q1064" s="8" t="s">
        <v>18</v>
      </c>
      <c r="R1064" s="8" t="s">
        <v>2115</v>
      </c>
      <c r="S1064" s="8" t="s">
        <v>2126</v>
      </c>
      <c r="T1064" s="8" t="s">
        <v>2127</v>
      </c>
      <c r="U1064" s="8" t="s">
        <v>2645</v>
      </c>
      <c r="V1064" s="8" t="s">
        <v>923</v>
      </c>
      <c r="W1064" s="8">
        <f t="shared" si="32"/>
        <v>2</v>
      </c>
      <c r="X1064" s="8">
        <f>K1064*L1064*N1064</f>
        <v>44026686</v>
      </c>
    </row>
    <row r="1065" spans="1:24" s="8" customFormat="1" ht="41.5" customHeight="1">
      <c r="A1065" s="8" t="s">
        <v>2281</v>
      </c>
      <c r="B1065" s="8" t="s">
        <v>2792</v>
      </c>
      <c r="C1065" s="9">
        <v>45803.713383506903</v>
      </c>
      <c r="D1065" s="8" t="s">
        <v>2056</v>
      </c>
      <c r="E1065" s="8" t="s">
        <v>2057</v>
      </c>
      <c r="F1065" s="8">
        <v>3</v>
      </c>
      <c r="G1065" s="27" t="s">
        <v>2140</v>
      </c>
      <c r="H1065" s="8" t="s">
        <v>268</v>
      </c>
      <c r="I1065" s="2" t="str">
        <f t="shared" si="31"/>
        <v>Thép ống hộp</v>
      </c>
      <c r="J1065" s="8" t="s">
        <v>35</v>
      </c>
      <c r="K1065" s="10">
        <v>627.70000000000005</v>
      </c>
      <c r="L1065" s="10">
        <v>16600</v>
      </c>
      <c r="M1065" s="11">
        <v>10419820</v>
      </c>
      <c r="N1065" s="8" t="s">
        <v>30</v>
      </c>
      <c r="O1065" s="8" t="s">
        <v>17</v>
      </c>
      <c r="P1065" s="8" t="s">
        <v>18</v>
      </c>
      <c r="Q1065" s="8" t="s">
        <v>18</v>
      </c>
      <c r="R1065" s="8" t="s">
        <v>2115</v>
      </c>
      <c r="S1065" s="8" t="s">
        <v>2126</v>
      </c>
      <c r="T1065" s="8" t="s">
        <v>2127</v>
      </c>
      <c r="U1065" s="8" t="s">
        <v>2645</v>
      </c>
      <c r="V1065" s="8" t="s">
        <v>923</v>
      </c>
      <c r="W1065" s="8">
        <f t="shared" si="32"/>
        <v>2</v>
      </c>
      <c r="X1065" s="8">
        <f>K1065*L1065*N1065</f>
        <v>1041982</v>
      </c>
    </row>
    <row r="1066" spans="1:24" s="8" customFormat="1" ht="41.5" customHeight="1">
      <c r="A1066" s="8" t="s">
        <v>2281</v>
      </c>
      <c r="B1066" s="8" t="s">
        <v>2793</v>
      </c>
      <c r="C1066" s="9">
        <v>45800.7005703588</v>
      </c>
      <c r="D1066" s="8" t="s">
        <v>2056</v>
      </c>
      <c r="E1066" s="8" t="s">
        <v>2057</v>
      </c>
      <c r="F1066" s="8">
        <v>1</v>
      </c>
      <c r="G1066" s="27" t="s">
        <v>2140</v>
      </c>
      <c r="H1066" s="8" t="s">
        <v>399</v>
      </c>
      <c r="I1066" s="2" t="str">
        <f t="shared" si="31"/>
        <v>Thép ống hộp</v>
      </c>
      <c r="J1066" s="8" t="s">
        <v>35</v>
      </c>
      <c r="K1066" s="10">
        <v>27386</v>
      </c>
      <c r="L1066" s="10">
        <v>16600</v>
      </c>
      <c r="M1066" s="11">
        <v>454607600</v>
      </c>
      <c r="N1066" s="8" t="s">
        <v>30</v>
      </c>
      <c r="O1066" s="8" t="s">
        <v>17</v>
      </c>
      <c r="P1066" s="8" t="s">
        <v>18</v>
      </c>
      <c r="Q1066" s="8" t="s">
        <v>18</v>
      </c>
      <c r="R1066" s="8" t="s">
        <v>2115</v>
      </c>
      <c r="S1066" s="8" t="s">
        <v>2126</v>
      </c>
      <c r="T1066" s="8" t="s">
        <v>2127</v>
      </c>
      <c r="U1066" s="8" t="s">
        <v>2645</v>
      </c>
      <c r="V1066" s="8" t="s">
        <v>924</v>
      </c>
      <c r="W1066" s="8">
        <f t="shared" si="32"/>
        <v>2</v>
      </c>
      <c r="X1066" s="8">
        <f>K1066*L1066*N1066</f>
        <v>45460760</v>
      </c>
    </row>
    <row r="1067" spans="1:24" s="8" customFormat="1" ht="41.5" customHeight="1">
      <c r="A1067" s="8" t="s">
        <v>2316</v>
      </c>
      <c r="B1067" s="8" t="s">
        <v>2794</v>
      </c>
      <c r="C1067" s="9">
        <v>45807.719967268502</v>
      </c>
      <c r="D1067" s="8" t="s">
        <v>2056</v>
      </c>
      <c r="E1067" s="8" t="s">
        <v>2057</v>
      </c>
      <c r="F1067" s="8">
        <v>1</v>
      </c>
      <c r="G1067" s="27" t="s">
        <v>2140</v>
      </c>
      <c r="H1067" s="8" t="s">
        <v>110</v>
      </c>
      <c r="I1067" s="2" t="str">
        <f t="shared" si="31"/>
        <v>Thép ống hộp</v>
      </c>
      <c r="J1067" s="8" t="s">
        <v>62</v>
      </c>
      <c r="K1067" s="10">
        <v>5959.98</v>
      </c>
      <c r="L1067" s="10">
        <v>16090.91</v>
      </c>
      <c r="M1067" s="11">
        <v>95901502</v>
      </c>
      <c r="N1067" s="8" t="s">
        <v>30</v>
      </c>
      <c r="O1067" s="8" t="s">
        <v>17</v>
      </c>
      <c r="P1067" s="8" t="s">
        <v>18</v>
      </c>
      <c r="Q1067" s="8" t="s">
        <v>18</v>
      </c>
      <c r="R1067" s="8" t="s">
        <v>2115</v>
      </c>
      <c r="S1067" s="8" t="s">
        <v>2137</v>
      </c>
      <c r="T1067" s="8" t="s">
        <v>2138</v>
      </c>
      <c r="U1067" s="8" t="s">
        <v>2724</v>
      </c>
      <c r="V1067" s="8" t="s">
        <v>925</v>
      </c>
      <c r="W1067" s="8">
        <f t="shared" si="32"/>
        <v>2</v>
      </c>
      <c r="X1067" s="8">
        <f>K1067*L1067*N1067</f>
        <v>9590150.1781799998</v>
      </c>
    </row>
    <row r="1068" spans="1:24" s="8" customFormat="1" ht="41.5" customHeight="1">
      <c r="A1068" s="8" t="s">
        <v>2316</v>
      </c>
      <c r="B1068" s="8" t="s">
        <v>2795</v>
      </c>
      <c r="C1068" s="9">
        <v>45801.699570370401</v>
      </c>
      <c r="D1068" s="8" t="s">
        <v>2056</v>
      </c>
      <c r="E1068" s="8" t="s">
        <v>2057</v>
      </c>
      <c r="F1068" s="8">
        <v>1</v>
      </c>
      <c r="G1068" s="27" t="s">
        <v>2140</v>
      </c>
      <c r="H1068" s="8" t="s">
        <v>110</v>
      </c>
      <c r="I1068" s="2" t="str">
        <f t="shared" si="31"/>
        <v>Thép ống hộp</v>
      </c>
      <c r="J1068" s="8" t="s">
        <v>62</v>
      </c>
      <c r="K1068" s="10">
        <v>2861.13</v>
      </c>
      <c r="L1068" s="10">
        <v>16050.71</v>
      </c>
      <c r="M1068" s="11">
        <v>45923182</v>
      </c>
      <c r="N1068" s="8" t="s">
        <v>30</v>
      </c>
      <c r="O1068" s="8" t="s">
        <v>17</v>
      </c>
      <c r="P1068" s="8" t="s">
        <v>18</v>
      </c>
      <c r="Q1068" s="8" t="s">
        <v>18</v>
      </c>
      <c r="R1068" s="8" t="s">
        <v>2115</v>
      </c>
      <c r="S1068" s="8" t="s">
        <v>2137</v>
      </c>
      <c r="T1068" s="8" t="s">
        <v>2138</v>
      </c>
      <c r="U1068" s="8" t="s">
        <v>2724</v>
      </c>
      <c r="V1068" s="8" t="s">
        <v>926</v>
      </c>
      <c r="W1068" s="8">
        <f t="shared" si="32"/>
        <v>2</v>
      </c>
      <c r="X1068" s="8">
        <f>K1068*L1068*N1068</f>
        <v>4592316.7902300004</v>
      </c>
    </row>
    <row r="1069" spans="1:24" s="8" customFormat="1" ht="41.5" customHeight="1">
      <c r="A1069" s="8" t="s">
        <v>2316</v>
      </c>
      <c r="B1069" s="8" t="s">
        <v>2796</v>
      </c>
      <c r="C1069" s="9">
        <v>45787.707423634303</v>
      </c>
      <c r="D1069" s="8" t="s">
        <v>2056</v>
      </c>
      <c r="E1069" s="8" t="s">
        <v>2057</v>
      </c>
      <c r="F1069" s="8">
        <v>1</v>
      </c>
      <c r="G1069" s="22" t="s">
        <v>159</v>
      </c>
      <c r="H1069" s="8" t="s">
        <v>159</v>
      </c>
      <c r="I1069" s="2" t="str">
        <f t="shared" si="31"/>
        <v>Hộp Inox 304</v>
      </c>
      <c r="J1069" s="8" t="s">
        <v>62</v>
      </c>
      <c r="K1069" s="10">
        <v>179.5</v>
      </c>
      <c r="L1069" s="10">
        <v>58000</v>
      </c>
      <c r="M1069" s="11">
        <v>10411000</v>
      </c>
      <c r="N1069" s="8" t="s">
        <v>30</v>
      </c>
      <c r="O1069" s="8" t="s">
        <v>17</v>
      </c>
      <c r="P1069" s="8" t="s">
        <v>18</v>
      </c>
      <c r="Q1069" s="8" t="s">
        <v>18</v>
      </c>
      <c r="R1069" s="8" t="s">
        <v>2115</v>
      </c>
      <c r="S1069" s="8" t="s">
        <v>2137</v>
      </c>
      <c r="T1069" s="8" t="s">
        <v>2138</v>
      </c>
      <c r="U1069" s="8" t="s">
        <v>2724</v>
      </c>
      <c r="V1069" s="8" t="s">
        <v>927</v>
      </c>
      <c r="W1069" s="8">
        <f t="shared" si="32"/>
        <v>2</v>
      </c>
      <c r="X1069" s="8">
        <f>K1069*L1069*N1069</f>
        <v>1041100</v>
      </c>
    </row>
    <row r="1070" spans="1:24" s="8" customFormat="1" ht="41.5" customHeight="1">
      <c r="A1070" s="8" t="s">
        <v>2316</v>
      </c>
      <c r="B1070" s="8" t="s">
        <v>2796</v>
      </c>
      <c r="C1070" s="9">
        <v>45787.707423634303</v>
      </c>
      <c r="D1070" s="8" t="s">
        <v>2056</v>
      </c>
      <c r="E1070" s="8" t="s">
        <v>2057</v>
      </c>
      <c r="F1070" s="8">
        <v>2</v>
      </c>
      <c r="G1070" s="27" t="s">
        <v>2140</v>
      </c>
      <c r="H1070" s="8" t="s">
        <v>198</v>
      </c>
      <c r="I1070" s="2" t="str">
        <f t="shared" si="31"/>
        <v>Thép ống hộp</v>
      </c>
      <c r="J1070" s="8" t="s">
        <v>62</v>
      </c>
      <c r="K1070" s="10">
        <v>160.4</v>
      </c>
      <c r="L1070" s="10">
        <v>16090.91</v>
      </c>
      <c r="M1070" s="11">
        <v>2580982</v>
      </c>
      <c r="N1070" s="8" t="s">
        <v>30</v>
      </c>
      <c r="O1070" s="8" t="s">
        <v>17</v>
      </c>
      <c r="P1070" s="8" t="s">
        <v>18</v>
      </c>
      <c r="Q1070" s="8" t="s">
        <v>18</v>
      </c>
      <c r="R1070" s="8" t="s">
        <v>2115</v>
      </c>
      <c r="S1070" s="8" t="s">
        <v>2137</v>
      </c>
      <c r="T1070" s="8" t="s">
        <v>2138</v>
      </c>
      <c r="U1070" s="8" t="s">
        <v>2724</v>
      </c>
      <c r="V1070" s="8" t="s">
        <v>927</v>
      </c>
      <c r="W1070" s="8">
        <f t="shared" si="32"/>
        <v>2</v>
      </c>
      <c r="X1070" s="8">
        <f>K1070*L1070*N1070</f>
        <v>258098.19640000002</v>
      </c>
    </row>
    <row r="1071" spans="1:24" s="8" customFormat="1" ht="41.5" customHeight="1">
      <c r="A1071" s="8" t="s">
        <v>2316</v>
      </c>
      <c r="B1071" s="8" t="s">
        <v>2796</v>
      </c>
      <c r="C1071" s="9">
        <v>45787.707423634303</v>
      </c>
      <c r="D1071" s="8" t="s">
        <v>2056</v>
      </c>
      <c r="E1071" s="8" t="s">
        <v>2057</v>
      </c>
      <c r="F1071" s="8">
        <v>3</v>
      </c>
      <c r="G1071" s="22" t="s">
        <v>1346</v>
      </c>
      <c r="H1071" s="8" t="s">
        <v>70</v>
      </c>
      <c r="I1071" s="2" t="str">
        <f t="shared" si="31"/>
        <v>Tôn xốp</v>
      </c>
      <c r="J1071" s="8" t="s">
        <v>71</v>
      </c>
      <c r="K1071" s="10">
        <v>61</v>
      </c>
      <c r="L1071" s="10">
        <v>131000</v>
      </c>
      <c r="M1071" s="11">
        <v>7991000</v>
      </c>
      <c r="N1071" s="8" t="s">
        <v>30</v>
      </c>
      <c r="O1071" s="8" t="s">
        <v>17</v>
      </c>
      <c r="P1071" s="8" t="s">
        <v>18</v>
      </c>
      <c r="Q1071" s="8" t="s">
        <v>18</v>
      </c>
      <c r="R1071" s="8" t="s">
        <v>2115</v>
      </c>
      <c r="S1071" s="8" t="s">
        <v>2137</v>
      </c>
      <c r="T1071" s="8" t="s">
        <v>2138</v>
      </c>
      <c r="U1071" s="8" t="s">
        <v>2724</v>
      </c>
      <c r="V1071" s="8" t="s">
        <v>927</v>
      </c>
      <c r="W1071" s="8">
        <f t="shared" si="32"/>
        <v>2</v>
      </c>
      <c r="X1071" s="8">
        <f>K1071*L1071*N1071</f>
        <v>799100</v>
      </c>
    </row>
    <row r="1072" spans="1:24" s="8" customFormat="1" ht="41.5" customHeight="1">
      <c r="A1072" s="8" t="s">
        <v>2280</v>
      </c>
      <c r="B1072" s="8" t="s">
        <v>928</v>
      </c>
      <c r="C1072" s="9">
        <v>45807.662428935197</v>
      </c>
      <c r="D1072" s="8" t="s">
        <v>2056</v>
      </c>
      <c r="E1072" s="8" t="s">
        <v>2057</v>
      </c>
      <c r="F1072" s="8">
        <v>1</v>
      </c>
      <c r="G1072" s="22" t="s">
        <v>929</v>
      </c>
      <c r="H1072" s="8" t="s">
        <v>929</v>
      </c>
      <c r="I1072" s="2" t="str">
        <f t="shared" si="31"/>
        <v>Máy mài góc (GA4031)</v>
      </c>
      <c r="J1072" s="8" t="s">
        <v>15</v>
      </c>
      <c r="K1072" s="10">
        <v>2</v>
      </c>
      <c r="L1072" s="10">
        <v>954546</v>
      </c>
      <c r="M1072" s="11">
        <v>1909092</v>
      </c>
      <c r="N1072" s="8" t="s">
        <v>30</v>
      </c>
      <c r="O1072" s="8" t="s">
        <v>17</v>
      </c>
      <c r="P1072" s="8" t="s">
        <v>18</v>
      </c>
      <c r="Q1072" s="8" t="s">
        <v>18</v>
      </c>
      <c r="R1072" s="8" t="s">
        <v>2110</v>
      </c>
      <c r="S1072" s="8" t="s">
        <v>2205</v>
      </c>
      <c r="T1072" s="8" t="s">
        <v>2206</v>
      </c>
      <c r="U1072" s="8" t="s">
        <v>2725</v>
      </c>
      <c r="V1072" s="8" t="s">
        <v>925</v>
      </c>
      <c r="W1072" s="8">
        <f t="shared" si="32"/>
        <v>2</v>
      </c>
      <c r="X1072" s="8">
        <f>K1072*L1072*N1072</f>
        <v>190909.2</v>
      </c>
    </row>
    <row r="1073" spans="1:24" s="8" customFormat="1" ht="41.5" customHeight="1">
      <c r="A1073" s="8" t="s">
        <v>2280</v>
      </c>
      <c r="B1073" s="8" t="s">
        <v>928</v>
      </c>
      <c r="C1073" s="9">
        <v>45807.662428935197</v>
      </c>
      <c r="D1073" s="8" t="s">
        <v>2056</v>
      </c>
      <c r="E1073" s="8" t="s">
        <v>2057</v>
      </c>
      <c r="F1073" s="8">
        <v>2</v>
      </c>
      <c r="G1073" s="22" t="s">
        <v>930</v>
      </c>
      <c r="H1073" s="8" t="s">
        <v>930</v>
      </c>
      <c r="I1073" s="2" t="str">
        <f t="shared" si="31"/>
        <v>Máy khoan động lực (M8701B)</v>
      </c>
      <c r="J1073" s="8" t="s">
        <v>15</v>
      </c>
      <c r="K1073" s="10">
        <v>1</v>
      </c>
      <c r="L1073" s="10">
        <v>2000000</v>
      </c>
      <c r="M1073" s="11">
        <v>2000000</v>
      </c>
      <c r="N1073" s="8" t="s">
        <v>30</v>
      </c>
      <c r="O1073" s="8" t="s">
        <v>17</v>
      </c>
      <c r="P1073" s="8" t="s">
        <v>18</v>
      </c>
      <c r="Q1073" s="8" t="s">
        <v>18</v>
      </c>
      <c r="R1073" s="8" t="s">
        <v>2110</v>
      </c>
      <c r="S1073" s="8" t="s">
        <v>2205</v>
      </c>
      <c r="T1073" s="8" t="s">
        <v>2206</v>
      </c>
      <c r="U1073" s="8" t="s">
        <v>2725</v>
      </c>
      <c r="V1073" s="8" t="s">
        <v>925</v>
      </c>
      <c r="W1073" s="8">
        <f t="shared" si="32"/>
        <v>2</v>
      </c>
      <c r="X1073" s="8">
        <f>K1073*L1073*N1073</f>
        <v>200000</v>
      </c>
    </row>
    <row r="1074" spans="1:24" s="8" customFormat="1" ht="41.5" customHeight="1">
      <c r="A1074" s="8" t="s">
        <v>2280</v>
      </c>
      <c r="B1074" s="8" t="s">
        <v>928</v>
      </c>
      <c r="C1074" s="9">
        <v>45807.662428935197</v>
      </c>
      <c r="D1074" s="8" t="s">
        <v>2056</v>
      </c>
      <c r="E1074" s="8" t="s">
        <v>2057</v>
      </c>
      <c r="F1074" s="8">
        <v>3</v>
      </c>
      <c r="G1074" s="22" t="s">
        <v>435</v>
      </c>
      <c r="H1074" s="8" t="s">
        <v>435</v>
      </c>
      <c r="I1074" s="2" t="str">
        <f t="shared" si="31"/>
        <v>Máy phát điện (9700T)</v>
      </c>
      <c r="J1074" s="8" t="s">
        <v>15</v>
      </c>
      <c r="K1074" s="10">
        <v>1</v>
      </c>
      <c r="L1074" s="10">
        <v>3333333</v>
      </c>
      <c r="M1074" s="11">
        <v>3333333</v>
      </c>
      <c r="N1074" s="8" t="s">
        <v>16</v>
      </c>
      <c r="O1074" s="8" t="s">
        <v>17</v>
      </c>
      <c r="P1074" s="8" t="s">
        <v>18</v>
      </c>
      <c r="Q1074" s="8" t="s">
        <v>18</v>
      </c>
      <c r="R1074" s="8" t="s">
        <v>2110</v>
      </c>
      <c r="S1074" s="8" t="s">
        <v>2205</v>
      </c>
      <c r="T1074" s="8" t="s">
        <v>2206</v>
      </c>
      <c r="U1074" s="8" t="s">
        <v>2725</v>
      </c>
      <c r="V1074" s="8" t="s">
        <v>925</v>
      </c>
      <c r="W1074" s="8">
        <f t="shared" si="32"/>
        <v>2</v>
      </c>
      <c r="X1074" s="8">
        <f>K1074*L1074*N1074</f>
        <v>266666.64</v>
      </c>
    </row>
    <row r="1075" spans="1:24" s="8" customFormat="1" ht="41.5" customHeight="1">
      <c r="A1075" s="8" t="s">
        <v>2280</v>
      </c>
      <c r="B1075" s="8" t="s">
        <v>928</v>
      </c>
      <c r="C1075" s="9">
        <v>45807.662428935197</v>
      </c>
      <c r="D1075" s="8" t="s">
        <v>2056</v>
      </c>
      <c r="E1075" s="8" t="s">
        <v>2057</v>
      </c>
      <c r="F1075" s="8">
        <v>4</v>
      </c>
      <c r="G1075" s="22" t="s">
        <v>2797</v>
      </c>
      <c r="H1075" s="8" t="s">
        <v>931</v>
      </c>
      <c r="I1075" s="2" t="str">
        <f t="shared" si="31"/>
        <v>Tổ máy phát điện chạy xăng AG-7000XDS</v>
      </c>
      <c r="J1075" s="8" t="s">
        <v>15</v>
      </c>
      <c r="K1075" s="10">
        <v>1</v>
      </c>
      <c r="L1075" s="10">
        <v>11944444</v>
      </c>
      <c r="M1075" s="11">
        <v>11944444</v>
      </c>
      <c r="N1075" s="8" t="s">
        <v>16</v>
      </c>
      <c r="O1075" s="8" t="s">
        <v>17</v>
      </c>
      <c r="P1075" s="8" t="s">
        <v>18</v>
      </c>
      <c r="Q1075" s="8" t="s">
        <v>18</v>
      </c>
      <c r="R1075" s="8" t="s">
        <v>2110</v>
      </c>
      <c r="S1075" s="8" t="s">
        <v>2205</v>
      </c>
      <c r="T1075" s="8" t="s">
        <v>2206</v>
      </c>
      <c r="U1075" s="8" t="s">
        <v>2725</v>
      </c>
      <c r="V1075" s="8" t="s">
        <v>925</v>
      </c>
      <c r="W1075" s="8">
        <f t="shared" si="32"/>
        <v>2</v>
      </c>
      <c r="X1075" s="8">
        <f>K1075*L1075*N1075</f>
        <v>955555.52</v>
      </c>
    </row>
    <row r="1076" spans="1:24" s="8" customFormat="1" ht="41.5" customHeight="1">
      <c r="A1076" s="8" t="s">
        <v>2316</v>
      </c>
      <c r="B1076" s="8" t="s">
        <v>932</v>
      </c>
      <c r="C1076" s="9">
        <v>45786.440895370397</v>
      </c>
      <c r="D1076" s="8" t="s">
        <v>2056</v>
      </c>
      <c r="E1076" s="8" t="s">
        <v>2057</v>
      </c>
      <c r="F1076" s="8">
        <v>1</v>
      </c>
      <c r="G1076" s="22" t="s">
        <v>2160</v>
      </c>
      <c r="H1076" s="8" t="s">
        <v>113</v>
      </c>
      <c r="I1076" s="2" t="str">
        <f t="shared" si="31"/>
        <v>Ván ép phủ phim 2 mặt Kt 2440x1220*15 mm</v>
      </c>
      <c r="J1076" s="8" t="s">
        <v>114</v>
      </c>
      <c r="K1076" s="10">
        <v>200</v>
      </c>
      <c r="L1076" s="10">
        <v>280000</v>
      </c>
      <c r="M1076" s="11">
        <v>56000000</v>
      </c>
      <c r="N1076" s="8" t="s">
        <v>16</v>
      </c>
      <c r="O1076" s="8" t="s">
        <v>17</v>
      </c>
      <c r="P1076" s="8" t="s">
        <v>18</v>
      </c>
      <c r="Q1076" s="8" t="s">
        <v>18</v>
      </c>
      <c r="R1076" s="8" t="s">
        <v>2115</v>
      </c>
      <c r="S1076" s="8" t="s">
        <v>2211</v>
      </c>
      <c r="T1076" s="8" t="s">
        <v>2212</v>
      </c>
      <c r="U1076" s="8" t="s">
        <v>2733</v>
      </c>
      <c r="V1076" s="8" t="s">
        <v>933</v>
      </c>
      <c r="W1076" s="8">
        <f t="shared" si="32"/>
        <v>2</v>
      </c>
      <c r="X1076" s="8">
        <f>K1076*L1076*N1076</f>
        <v>4480000</v>
      </c>
    </row>
    <row r="1077" spans="1:24" s="8" customFormat="1" ht="41.5" customHeight="1">
      <c r="A1077" s="8" t="s">
        <v>2281</v>
      </c>
      <c r="B1077" s="8" t="s">
        <v>2798</v>
      </c>
      <c r="C1077" s="9">
        <v>45787.725918923599</v>
      </c>
      <c r="D1077" s="8" t="s">
        <v>2056</v>
      </c>
      <c r="E1077" s="8" t="s">
        <v>2057</v>
      </c>
      <c r="F1077" s="8">
        <v>1</v>
      </c>
      <c r="G1077" s="22" t="s">
        <v>2164</v>
      </c>
      <c r="H1077" s="8" t="s">
        <v>537</v>
      </c>
      <c r="I1077" s="2" t="str">
        <f t="shared" si="31"/>
        <v>Đèn led chiếu pha 200W, model CP01-200W/G03, án</v>
      </c>
      <c r="J1077" s="8" t="s">
        <v>19</v>
      </c>
      <c r="K1077" s="10">
        <v>15</v>
      </c>
      <c r="L1077" s="10">
        <v>476666.67</v>
      </c>
      <c r="M1077" s="11">
        <v>7150000</v>
      </c>
      <c r="N1077" s="8" t="s">
        <v>16</v>
      </c>
      <c r="O1077" s="8" t="s">
        <v>17</v>
      </c>
      <c r="P1077" s="8" t="s">
        <v>18</v>
      </c>
      <c r="Q1077" s="8" t="s">
        <v>18</v>
      </c>
      <c r="R1077" s="8" t="s">
        <v>2115</v>
      </c>
      <c r="S1077" s="8" t="s">
        <v>2274</v>
      </c>
      <c r="T1077" s="8" t="s">
        <v>2275</v>
      </c>
      <c r="U1077" s="8" t="s">
        <v>2799</v>
      </c>
      <c r="V1077" s="8" t="s">
        <v>927</v>
      </c>
      <c r="W1077" s="8">
        <f t="shared" si="32"/>
        <v>2</v>
      </c>
      <c r="X1077" s="8">
        <f>K1077*L1077*N1077</f>
        <v>572000.00399999996</v>
      </c>
    </row>
    <row r="1078" spans="1:24" s="8" customFormat="1" ht="41.5" customHeight="1">
      <c r="A1078" s="8" t="s">
        <v>2366</v>
      </c>
      <c r="B1078" s="8" t="s">
        <v>194</v>
      </c>
      <c r="C1078" s="9">
        <v>45805.828009282399</v>
      </c>
      <c r="D1078" s="8" t="s">
        <v>2056</v>
      </c>
      <c r="E1078" s="8" t="s">
        <v>2057</v>
      </c>
      <c r="F1078" s="8">
        <v>1</v>
      </c>
      <c r="G1078" s="22" t="s">
        <v>820</v>
      </c>
      <c r="H1078" s="8" t="s">
        <v>141</v>
      </c>
      <c r="I1078" s="2" t="str">
        <f t="shared" si="31"/>
        <v>Tyren D16</v>
      </c>
      <c r="J1078" s="8" t="s">
        <v>47</v>
      </c>
      <c r="K1078" s="10">
        <v>1000</v>
      </c>
      <c r="L1078" s="10">
        <v>20150</v>
      </c>
      <c r="M1078" s="11">
        <v>20150000</v>
      </c>
      <c r="N1078" s="8" t="s">
        <v>30</v>
      </c>
      <c r="O1078" s="8" t="s">
        <v>17</v>
      </c>
      <c r="P1078" s="8" t="s">
        <v>18</v>
      </c>
      <c r="Q1078" s="8" t="s">
        <v>18</v>
      </c>
      <c r="R1078" s="8" t="s">
        <v>2244</v>
      </c>
      <c r="S1078" s="8" t="s">
        <v>2245</v>
      </c>
      <c r="T1078" s="8" t="s">
        <v>2246</v>
      </c>
      <c r="U1078" s="8" t="s">
        <v>2800</v>
      </c>
      <c r="V1078" s="8" t="s">
        <v>915</v>
      </c>
      <c r="W1078" s="8">
        <f t="shared" si="32"/>
        <v>2</v>
      </c>
      <c r="X1078" s="8">
        <f>K1078*L1078*N1078</f>
        <v>2015000</v>
      </c>
    </row>
    <row r="1079" spans="1:24" s="8" customFormat="1" ht="41.5" customHeight="1">
      <c r="A1079" s="8" t="s">
        <v>2427</v>
      </c>
      <c r="B1079" s="8" t="s">
        <v>2801</v>
      </c>
      <c r="C1079" s="9">
        <v>45801.3562965046</v>
      </c>
      <c r="D1079" s="8" t="s">
        <v>2056</v>
      </c>
      <c r="E1079" s="8" t="s">
        <v>2057</v>
      </c>
      <c r="F1079" s="8">
        <v>1</v>
      </c>
      <c r="G1079" s="22" t="s">
        <v>444</v>
      </c>
      <c r="H1079" s="8" t="s">
        <v>444</v>
      </c>
      <c r="I1079" s="2" t="str">
        <f t="shared" si="31"/>
        <v>Cáp chằng hàng 3T10M</v>
      </c>
      <c r="J1079" s="8" t="s">
        <v>15</v>
      </c>
      <c r="K1079" s="10">
        <v>50</v>
      </c>
      <c r="L1079" s="10">
        <v>116000</v>
      </c>
      <c r="M1079" s="11">
        <v>5800000</v>
      </c>
      <c r="N1079" s="8" t="s">
        <v>16</v>
      </c>
      <c r="O1079" s="8" t="s">
        <v>17</v>
      </c>
      <c r="P1079" s="8" t="s">
        <v>18</v>
      </c>
      <c r="Q1079" s="8" t="s">
        <v>18</v>
      </c>
      <c r="R1079" s="8" t="s">
        <v>2115</v>
      </c>
      <c r="S1079" s="8" t="s">
        <v>2248</v>
      </c>
      <c r="T1079" s="8" t="s">
        <v>2249</v>
      </c>
      <c r="U1079" s="8" t="s">
        <v>2738</v>
      </c>
      <c r="V1079" s="8" t="s">
        <v>926</v>
      </c>
      <c r="W1079" s="8">
        <f t="shared" si="32"/>
        <v>2</v>
      </c>
      <c r="X1079" s="8">
        <f>K1079*L1079*N1079</f>
        <v>464000</v>
      </c>
    </row>
    <row r="1080" spans="1:24" s="8" customFormat="1" ht="41.5" customHeight="1">
      <c r="A1080" s="8" t="s">
        <v>2427</v>
      </c>
      <c r="B1080" s="8" t="s">
        <v>2801</v>
      </c>
      <c r="C1080" s="9">
        <v>45801.3562965046</v>
      </c>
      <c r="D1080" s="8" t="s">
        <v>2056</v>
      </c>
      <c r="E1080" s="8" t="s">
        <v>2057</v>
      </c>
      <c r="F1080" s="8">
        <v>2</v>
      </c>
      <c r="G1080" s="22" t="s">
        <v>885</v>
      </c>
      <c r="H1080" s="8" t="s">
        <v>934</v>
      </c>
      <c r="I1080" s="2" t="str">
        <f t="shared" si="31"/>
        <v>Dây cảo chằng hàng 3Tx6M</v>
      </c>
      <c r="J1080" s="8" t="s">
        <v>15</v>
      </c>
      <c r="K1080" s="10">
        <v>150</v>
      </c>
      <c r="L1080" s="10">
        <v>92000</v>
      </c>
      <c r="M1080" s="11">
        <v>13800000</v>
      </c>
      <c r="N1080" s="8" t="s">
        <v>16</v>
      </c>
      <c r="O1080" s="8" t="s">
        <v>17</v>
      </c>
      <c r="P1080" s="8" t="s">
        <v>18</v>
      </c>
      <c r="Q1080" s="8" t="s">
        <v>18</v>
      </c>
      <c r="R1080" s="8" t="s">
        <v>2115</v>
      </c>
      <c r="S1080" s="8" t="s">
        <v>2248</v>
      </c>
      <c r="T1080" s="8" t="s">
        <v>2249</v>
      </c>
      <c r="U1080" s="8" t="s">
        <v>2738</v>
      </c>
      <c r="V1080" s="8" t="s">
        <v>926</v>
      </c>
      <c r="W1080" s="8">
        <f t="shared" si="32"/>
        <v>2</v>
      </c>
      <c r="X1080" s="8">
        <f>K1080*L1080*N1080</f>
        <v>1104000</v>
      </c>
    </row>
    <row r="1081" spans="1:24" s="8" customFormat="1" ht="41.5" customHeight="1">
      <c r="A1081" s="8" t="s">
        <v>2427</v>
      </c>
      <c r="B1081" s="8" t="s">
        <v>2801</v>
      </c>
      <c r="C1081" s="9">
        <v>45801.3562965046</v>
      </c>
      <c r="D1081" s="8" t="s">
        <v>2056</v>
      </c>
      <c r="E1081" s="8" t="s">
        <v>2057</v>
      </c>
      <c r="F1081" s="8">
        <v>3</v>
      </c>
      <c r="G1081" s="22" t="s">
        <v>821</v>
      </c>
      <c r="H1081" s="8" t="s">
        <v>821</v>
      </c>
      <c r="I1081" s="2" t="str">
        <f t="shared" si="31"/>
        <v>Bao tải Jumbo 1 tấn</v>
      </c>
      <c r="J1081" s="8" t="s">
        <v>15</v>
      </c>
      <c r="K1081" s="10">
        <v>45</v>
      </c>
      <c r="L1081" s="10">
        <v>70000</v>
      </c>
      <c r="M1081" s="11">
        <v>3150000</v>
      </c>
      <c r="N1081" s="8" t="s">
        <v>16</v>
      </c>
      <c r="O1081" s="8" t="s">
        <v>17</v>
      </c>
      <c r="P1081" s="8" t="s">
        <v>18</v>
      </c>
      <c r="Q1081" s="8" t="s">
        <v>18</v>
      </c>
      <c r="R1081" s="8" t="s">
        <v>2115</v>
      </c>
      <c r="S1081" s="8" t="s">
        <v>2248</v>
      </c>
      <c r="T1081" s="8" t="s">
        <v>2249</v>
      </c>
      <c r="U1081" s="8" t="s">
        <v>2738</v>
      </c>
      <c r="V1081" s="8" t="s">
        <v>926</v>
      </c>
      <c r="W1081" s="8">
        <f t="shared" si="32"/>
        <v>2</v>
      </c>
      <c r="X1081" s="8">
        <f>K1081*L1081*N1081</f>
        <v>252000</v>
      </c>
    </row>
    <row r="1082" spans="1:24" s="8" customFormat="1" ht="41.5" customHeight="1">
      <c r="A1082" s="8" t="s">
        <v>2427</v>
      </c>
      <c r="B1082" s="8" t="s">
        <v>2802</v>
      </c>
      <c r="C1082" s="9">
        <v>45797.445405590297</v>
      </c>
      <c r="D1082" s="8" t="s">
        <v>2056</v>
      </c>
      <c r="E1082" s="8" t="s">
        <v>2057</v>
      </c>
      <c r="F1082" s="8">
        <v>1</v>
      </c>
      <c r="G1082" s="22" t="s">
        <v>300</v>
      </c>
      <c r="H1082" s="8" t="s">
        <v>300</v>
      </c>
      <c r="I1082" s="2" t="str">
        <f t="shared" si="31"/>
        <v>Côn sắt D16</v>
      </c>
      <c r="J1082" s="8" t="s">
        <v>15</v>
      </c>
      <c r="K1082" s="10">
        <v>3023</v>
      </c>
      <c r="L1082" s="10">
        <v>17300.689999999999</v>
      </c>
      <c r="M1082" s="11">
        <v>52300000</v>
      </c>
      <c r="N1082" s="8" t="s">
        <v>30</v>
      </c>
      <c r="O1082" s="8" t="s">
        <v>17</v>
      </c>
      <c r="P1082" s="8" t="s">
        <v>18</v>
      </c>
      <c r="Q1082" s="8" t="s">
        <v>18</v>
      </c>
      <c r="R1082" s="8" t="s">
        <v>2115</v>
      </c>
      <c r="S1082" s="8" t="s">
        <v>2248</v>
      </c>
      <c r="T1082" s="8" t="s">
        <v>2249</v>
      </c>
      <c r="U1082" s="8" t="s">
        <v>2738</v>
      </c>
      <c r="V1082" s="8" t="s">
        <v>935</v>
      </c>
      <c r="W1082" s="8">
        <f t="shared" si="32"/>
        <v>2</v>
      </c>
      <c r="X1082" s="8">
        <f>K1082*L1082*N1082</f>
        <v>5229998.5870000003</v>
      </c>
    </row>
    <row r="1083" spans="1:24" s="8" customFormat="1" ht="41.5" customHeight="1">
      <c r="A1083" s="8" t="s">
        <v>2336</v>
      </c>
      <c r="B1083" s="8" t="s">
        <v>2803</v>
      </c>
      <c r="C1083" s="9">
        <v>45826.7823100116</v>
      </c>
      <c r="D1083" s="8" t="s">
        <v>2062</v>
      </c>
      <c r="E1083" s="8" t="s">
        <v>2057</v>
      </c>
      <c r="F1083" s="8">
        <v>1</v>
      </c>
      <c r="G1083" s="2">
        <v>635</v>
      </c>
      <c r="H1083" s="8" t="s">
        <v>543</v>
      </c>
      <c r="I1083" s="2">
        <f t="shared" si="31"/>
        <v>635</v>
      </c>
      <c r="M1083" s="11">
        <v>17140</v>
      </c>
      <c r="N1083" s="8" t="s">
        <v>30</v>
      </c>
      <c r="O1083" s="8" t="s">
        <v>17</v>
      </c>
      <c r="P1083" s="8" t="s">
        <v>18</v>
      </c>
      <c r="Q1083" s="8" t="s">
        <v>18</v>
      </c>
      <c r="S1083" s="8" t="s">
        <v>2216</v>
      </c>
      <c r="T1083" s="8" t="s">
        <v>2217</v>
      </c>
      <c r="V1083" s="8" t="s">
        <v>863</v>
      </c>
      <c r="W1083" s="8">
        <f t="shared" si="32"/>
        <v>2</v>
      </c>
      <c r="X1083" s="8">
        <f>K1083*L1083*N1083</f>
        <v>0</v>
      </c>
    </row>
    <row r="1084" spans="1:24" s="8" customFormat="1" ht="41.5" customHeight="1">
      <c r="A1084" s="8" t="s">
        <v>2336</v>
      </c>
      <c r="B1084" s="8" t="s">
        <v>2804</v>
      </c>
      <c r="C1084" s="9">
        <v>45826.7823100116</v>
      </c>
      <c r="D1084" s="8" t="s">
        <v>2062</v>
      </c>
      <c r="E1084" s="8" t="s">
        <v>2057</v>
      </c>
      <c r="F1084" s="8">
        <v>1</v>
      </c>
      <c r="G1084" s="2">
        <v>635</v>
      </c>
      <c r="H1084" s="8" t="s">
        <v>143</v>
      </c>
      <c r="I1084" s="2">
        <f t="shared" si="31"/>
        <v>635</v>
      </c>
      <c r="M1084" s="11">
        <v>30217</v>
      </c>
      <c r="N1084" s="8" t="s">
        <v>30</v>
      </c>
      <c r="O1084" s="8" t="s">
        <v>17</v>
      </c>
      <c r="P1084" s="8" t="s">
        <v>18</v>
      </c>
      <c r="Q1084" s="8" t="s">
        <v>18</v>
      </c>
      <c r="S1084" s="8" t="s">
        <v>2216</v>
      </c>
      <c r="T1084" s="8" t="s">
        <v>2217</v>
      </c>
      <c r="V1084" s="8" t="s">
        <v>863</v>
      </c>
      <c r="W1084" s="8">
        <f t="shared" si="32"/>
        <v>2</v>
      </c>
      <c r="X1084" s="8">
        <f>K1084*L1084*N1084</f>
        <v>0</v>
      </c>
    </row>
    <row r="1085" spans="1:24" s="8" customFormat="1" ht="41.5" customHeight="1">
      <c r="A1085" s="8" t="s">
        <v>2336</v>
      </c>
      <c r="B1085" s="8" t="s">
        <v>2805</v>
      </c>
      <c r="C1085" s="9">
        <v>45826.782309976901</v>
      </c>
      <c r="D1085" s="8" t="s">
        <v>2062</v>
      </c>
      <c r="E1085" s="8" t="s">
        <v>2057</v>
      </c>
      <c r="F1085" s="8">
        <v>1</v>
      </c>
      <c r="G1085" s="2">
        <v>635</v>
      </c>
      <c r="H1085" s="8" t="s">
        <v>143</v>
      </c>
      <c r="I1085" s="2">
        <f t="shared" ref="I1085:I1148" si="33">G1085</f>
        <v>635</v>
      </c>
      <c r="M1085" s="11">
        <v>20000</v>
      </c>
      <c r="N1085" s="8" t="s">
        <v>30</v>
      </c>
      <c r="O1085" s="8" t="s">
        <v>17</v>
      </c>
      <c r="P1085" s="8" t="s">
        <v>18</v>
      </c>
      <c r="Q1085" s="8" t="s">
        <v>18</v>
      </c>
      <c r="S1085" s="8" t="s">
        <v>2216</v>
      </c>
      <c r="T1085" s="8" t="s">
        <v>2217</v>
      </c>
      <c r="V1085" s="8" t="s">
        <v>863</v>
      </c>
      <c r="W1085" s="8">
        <f t="shared" si="32"/>
        <v>2</v>
      </c>
      <c r="X1085" s="8">
        <f>K1085*L1085*N1085</f>
        <v>0</v>
      </c>
    </row>
    <row r="1086" spans="1:24" s="8" customFormat="1" ht="41.5" customHeight="1">
      <c r="A1086" s="8" t="s">
        <v>2336</v>
      </c>
      <c r="B1086" s="8" t="s">
        <v>2806</v>
      </c>
      <c r="C1086" s="9">
        <v>45826.781854328699</v>
      </c>
      <c r="D1086" s="8" t="s">
        <v>2062</v>
      </c>
      <c r="E1086" s="8" t="s">
        <v>2057</v>
      </c>
      <c r="F1086" s="8">
        <v>1</v>
      </c>
      <c r="G1086" s="2">
        <v>635</v>
      </c>
      <c r="H1086" s="8" t="s">
        <v>116</v>
      </c>
      <c r="I1086" s="2">
        <f t="shared" si="33"/>
        <v>635</v>
      </c>
      <c r="M1086" s="11">
        <v>20000</v>
      </c>
      <c r="N1086" s="8" t="s">
        <v>30</v>
      </c>
      <c r="O1086" s="8" t="s">
        <v>17</v>
      </c>
      <c r="P1086" s="8" t="s">
        <v>18</v>
      </c>
      <c r="Q1086" s="8" t="s">
        <v>18</v>
      </c>
      <c r="S1086" s="8" t="s">
        <v>2216</v>
      </c>
      <c r="T1086" s="8" t="s">
        <v>2217</v>
      </c>
      <c r="V1086" s="8" t="s">
        <v>863</v>
      </c>
      <c r="W1086" s="8">
        <f t="shared" si="32"/>
        <v>2</v>
      </c>
      <c r="X1086" s="8">
        <f>K1086*L1086*N1086</f>
        <v>0</v>
      </c>
    </row>
    <row r="1087" spans="1:24" s="8" customFormat="1" ht="41.5" customHeight="1">
      <c r="A1087" s="8" t="s">
        <v>2336</v>
      </c>
      <c r="B1087" s="8" t="s">
        <v>2807</v>
      </c>
      <c r="C1087" s="9">
        <v>45826.781515601899</v>
      </c>
      <c r="D1087" s="8" t="s">
        <v>2062</v>
      </c>
      <c r="E1087" s="8" t="s">
        <v>2057</v>
      </c>
      <c r="F1087" s="8">
        <v>1</v>
      </c>
      <c r="G1087" s="2">
        <v>635</v>
      </c>
      <c r="H1087" s="8" t="s">
        <v>117</v>
      </c>
      <c r="I1087" s="2">
        <f t="shared" si="33"/>
        <v>635</v>
      </c>
      <c r="M1087" s="11">
        <v>50000</v>
      </c>
      <c r="N1087" s="8" t="s">
        <v>30</v>
      </c>
      <c r="O1087" s="8" t="s">
        <v>17</v>
      </c>
      <c r="P1087" s="8" t="s">
        <v>18</v>
      </c>
      <c r="Q1087" s="8" t="s">
        <v>18</v>
      </c>
      <c r="S1087" s="8" t="s">
        <v>2216</v>
      </c>
      <c r="T1087" s="8" t="s">
        <v>2217</v>
      </c>
      <c r="V1087" s="8" t="s">
        <v>863</v>
      </c>
      <c r="W1087" s="8">
        <f t="shared" si="32"/>
        <v>2</v>
      </c>
      <c r="X1087" s="8">
        <f>K1087*L1087*N1087</f>
        <v>0</v>
      </c>
    </row>
    <row r="1088" spans="1:24" s="8" customFormat="1" ht="41.5" customHeight="1">
      <c r="A1088" s="8" t="s">
        <v>2336</v>
      </c>
      <c r="B1088" s="8" t="s">
        <v>2808</v>
      </c>
      <c r="C1088" s="9">
        <v>45826.781515509298</v>
      </c>
      <c r="D1088" s="8" t="s">
        <v>2062</v>
      </c>
      <c r="E1088" s="8" t="s">
        <v>2057</v>
      </c>
      <c r="F1088" s="8">
        <v>1</v>
      </c>
      <c r="G1088" s="2">
        <v>635</v>
      </c>
      <c r="H1088" s="8" t="s">
        <v>143</v>
      </c>
      <c r="I1088" s="2">
        <f t="shared" si="33"/>
        <v>635</v>
      </c>
      <c r="M1088" s="11">
        <v>30000</v>
      </c>
      <c r="N1088" s="8" t="s">
        <v>30</v>
      </c>
      <c r="O1088" s="8" t="s">
        <v>17</v>
      </c>
      <c r="P1088" s="8" t="s">
        <v>18</v>
      </c>
      <c r="Q1088" s="8" t="s">
        <v>18</v>
      </c>
      <c r="S1088" s="8" t="s">
        <v>2216</v>
      </c>
      <c r="T1088" s="8" t="s">
        <v>2217</v>
      </c>
      <c r="V1088" s="8" t="s">
        <v>863</v>
      </c>
      <c r="W1088" s="8">
        <f t="shared" si="32"/>
        <v>2</v>
      </c>
      <c r="X1088" s="8">
        <f>K1088*L1088*N1088</f>
        <v>0</v>
      </c>
    </row>
    <row r="1089" spans="1:24" s="8" customFormat="1" ht="41.5" customHeight="1">
      <c r="A1089" s="8" t="s">
        <v>2336</v>
      </c>
      <c r="B1089" s="8" t="s">
        <v>2809</v>
      </c>
      <c r="C1089" s="9">
        <v>45826.781515463001</v>
      </c>
      <c r="D1089" s="8" t="s">
        <v>2062</v>
      </c>
      <c r="E1089" s="8" t="s">
        <v>2057</v>
      </c>
      <c r="F1089" s="8">
        <v>1</v>
      </c>
      <c r="G1089" s="2">
        <v>635</v>
      </c>
      <c r="H1089" s="8" t="s">
        <v>143</v>
      </c>
      <c r="I1089" s="2">
        <f t="shared" si="33"/>
        <v>635</v>
      </c>
      <c r="M1089" s="11">
        <v>27000</v>
      </c>
      <c r="N1089" s="8" t="s">
        <v>30</v>
      </c>
      <c r="O1089" s="8" t="s">
        <v>17</v>
      </c>
      <c r="P1089" s="8" t="s">
        <v>18</v>
      </c>
      <c r="Q1089" s="8" t="s">
        <v>18</v>
      </c>
      <c r="S1089" s="8" t="s">
        <v>2216</v>
      </c>
      <c r="T1089" s="8" t="s">
        <v>2217</v>
      </c>
      <c r="V1089" s="8" t="s">
        <v>863</v>
      </c>
      <c r="W1089" s="8">
        <f t="shared" si="32"/>
        <v>2</v>
      </c>
      <c r="X1089" s="8">
        <f>K1089*L1089*N1089</f>
        <v>0</v>
      </c>
    </row>
    <row r="1090" spans="1:24" s="8" customFormat="1" ht="41.5" customHeight="1">
      <c r="A1090" s="8" t="s">
        <v>2336</v>
      </c>
      <c r="B1090" s="8" t="s">
        <v>2810</v>
      </c>
      <c r="C1090" s="9">
        <v>45826.7815154282</v>
      </c>
      <c r="D1090" s="8" t="s">
        <v>2062</v>
      </c>
      <c r="E1090" s="8" t="s">
        <v>2057</v>
      </c>
      <c r="F1090" s="8">
        <v>1</v>
      </c>
      <c r="G1090" s="2">
        <v>635</v>
      </c>
      <c r="H1090" s="8" t="s">
        <v>143</v>
      </c>
      <c r="I1090" s="2">
        <f t="shared" si="33"/>
        <v>635</v>
      </c>
      <c r="M1090" s="11">
        <v>66055</v>
      </c>
      <c r="N1090" s="8" t="s">
        <v>30</v>
      </c>
      <c r="O1090" s="8" t="s">
        <v>17</v>
      </c>
      <c r="P1090" s="8" t="s">
        <v>18</v>
      </c>
      <c r="Q1090" s="8" t="s">
        <v>18</v>
      </c>
      <c r="S1090" s="8" t="s">
        <v>2216</v>
      </c>
      <c r="T1090" s="8" t="s">
        <v>2217</v>
      </c>
      <c r="V1090" s="8" t="s">
        <v>863</v>
      </c>
      <c r="W1090" s="8">
        <f t="shared" si="32"/>
        <v>2</v>
      </c>
      <c r="X1090" s="8">
        <f>K1090*L1090*N1090</f>
        <v>0</v>
      </c>
    </row>
    <row r="1091" spans="1:24" s="8" customFormat="1" ht="41.5" customHeight="1">
      <c r="A1091" s="8" t="s">
        <v>2339</v>
      </c>
      <c r="B1091" s="8" t="s">
        <v>2811</v>
      </c>
      <c r="C1091" s="9">
        <v>45825.486552326402</v>
      </c>
      <c r="D1091" s="8" t="s">
        <v>2218</v>
      </c>
      <c r="E1091" s="8" t="s">
        <v>2057</v>
      </c>
      <c r="F1091" s="8">
        <v>1</v>
      </c>
      <c r="G1091" s="2">
        <v>635</v>
      </c>
      <c r="H1091" s="8" t="s">
        <v>118</v>
      </c>
      <c r="I1091" s="2">
        <f t="shared" si="33"/>
        <v>635</v>
      </c>
      <c r="M1091" s="11">
        <v>50000</v>
      </c>
      <c r="N1091" s="8" t="s">
        <v>30</v>
      </c>
      <c r="O1091" s="8" t="s">
        <v>17</v>
      </c>
      <c r="P1091" s="8" t="s">
        <v>18</v>
      </c>
      <c r="Q1091" s="8" t="s">
        <v>18</v>
      </c>
      <c r="S1091" s="8" t="s">
        <v>2340</v>
      </c>
      <c r="T1091" s="8" t="s">
        <v>2341</v>
      </c>
      <c r="V1091" s="8" t="s">
        <v>875</v>
      </c>
      <c r="W1091" s="8">
        <f t="shared" si="32"/>
        <v>2</v>
      </c>
      <c r="X1091" s="8">
        <f>K1091*L1091*N1091</f>
        <v>0</v>
      </c>
    </row>
    <row r="1092" spans="1:24" s="8" customFormat="1" ht="41.5" customHeight="1">
      <c r="A1092" s="8" t="s">
        <v>2339</v>
      </c>
      <c r="B1092" s="8" t="s">
        <v>2812</v>
      </c>
      <c r="C1092" s="9">
        <v>45825.465649016201</v>
      </c>
      <c r="D1092" s="8" t="s">
        <v>2218</v>
      </c>
      <c r="E1092" s="8" t="s">
        <v>2057</v>
      </c>
      <c r="F1092" s="8">
        <v>1</v>
      </c>
      <c r="G1092" s="2">
        <v>635</v>
      </c>
      <c r="H1092" s="8" t="s">
        <v>118</v>
      </c>
      <c r="I1092" s="2">
        <f t="shared" si="33"/>
        <v>635</v>
      </c>
      <c r="M1092" s="11">
        <v>20000</v>
      </c>
      <c r="N1092" s="8" t="s">
        <v>30</v>
      </c>
      <c r="O1092" s="8" t="s">
        <v>17</v>
      </c>
      <c r="P1092" s="8" t="s">
        <v>18</v>
      </c>
      <c r="Q1092" s="8" t="s">
        <v>18</v>
      </c>
      <c r="S1092" s="8" t="s">
        <v>2219</v>
      </c>
      <c r="T1092" s="8" t="s">
        <v>2220</v>
      </c>
      <c r="V1092" s="8" t="s">
        <v>875</v>
      </c>
      <c r="W1092" s="8">
        <f t="shared" si="32"/>
        <v>2</v>
      </c>
      <c r="X1092" s="8">
        <f>K1092*L1092*N1092</f>
        <v>0</v>
      </c>
    </row>
    <row r="1093" spans="1:24" s="8" customFormat="1" ht="41.5" customHeight="1">
      <c r="A1093" s="8" t="s">
        <v>2339</v>
      </c>
      <c r="B1093" s="8" t="s">
        <v>2813</v>
      </c>
      <c r="C1093" s="9">
        <v>45825.047130682899</v>
      </c>
      <c r="D1093" s="8" t="s">
        <v>2218</v>
      </c>
      <c r="E1093" s="8" t="s">
        <v>2057</v>
      </c>
      <c r="F1093" s="8">
        <v>1</v>
      </c>
      <c r="G1093" s="2">
        <v>635</v>
      </c>
      <c r="H1093" s="8" t="s">
        <v>118</v>
      </c>
      <c r="I1093" s="2">
        <f t="shared" si="33"/>
        <v>635</v>
      </c>
      <c r="M1093" s="11">
        <v>20000</v>
      </c>
      <c r="N1093" s="8" t="s">
        <v>30</v>
      </c>
      <c r="O1093" s="8" t="s">
        <v>17</v>
      </c>
      <c r="P1093" s="8" t="s">
        <v>18</v>
      </c>
      <c r="Q1093" s="8" t="s">
        <v>18</v>
      </c>
      <c r="S1093" s="8" t="s">
        <v>2219</v>
      </c>
      <c r="T1093" s="8" t="s">
        <v>2220</v>
      </c>
      <c r="V1093" s="8" t="s">
        <v>875</v>
      </c>
      <c r="W1093" s="8">
        <f t="shared" si="32"/>
        <v>2</v>
      </c>
      <c r="X1093" s="8">
        <f>K1093*L1093*N1093</f>
        <v>0</v>
      </c>
    </row>
    <row r="1094" spans="1:24" s="8" customFormat="1" ht="41.5" customHeight="1">
      <c r="A1094" s="8" t="s">
        <v>2339</v>
      </c>
      <c r="B1094" s="8" t="s">
        <v>2814</v>
      </c>
      <c r="C1094" s="9">
        <v>45825.0318097454</v>
      </c>
      <c r="D1094" s="8" t="s">
        <v>2218</v>
      </c>
      <c r="E1094" s="8" t="s">
        <v>2057</v>
      </c>
      <c r="F1094" s="8">
        <v>1</v>
      </c>
      <c r="G1094" s="2">
        <v>635</v>
      </c>
      <c r="H1094" s="8" t="s">
        <v>118</v>
      </c>
      <c r="I1094" s="2">
        <f t="shared" si="33"/>
        <v>635</v>
      </c>
      <c r="M1094" s="11">
        <v>20000</v>
      </c>
      <c r="N1094" s="8" t="s">
        <v>30</v>
      </c>
      <c r="O1094" s="8" t="s">
        <v>17</v>
      </c>
      <c r="P1094" s="8" t="s">
        <v>18</v>
      </c>
      <c r="Q1094" s="8" t="s">
        <v>18</v>
      </c>
      <c r="S1094" s="8" t="s">
        <v>2219</v>
      </c>
      <c r="T1094" s="8" t="s">
        <v>2220</v>
      </c>
      <c r="V1094" s="8" t="s">
        <v>875</v>
      </c>
      <c r="W1094" s="8">
        <f t="shared" si="32"/>
        <v>2</v>
      </c>
      <c r="X1094" s="8">
        <f>K1094*L1094*N1094</f>
        <v>0</v>
      </c>
    </row>
    <row r="1095" spans="1:24" s="8" customFormat="1" ht="41.5" customHeight="1">
      <c r="A1095" s="8" t="s">
        <v>2339</v>
      </c>
      <c r="B1095" s="8" t="s">
        <v>2815</v>
      </c>
      <c r="C1095" s="9">
        <v>45825.019698229196</v>
      </c>
      <c r="D1095" s="8" t="s">
        <v>2218</v>
      </c>
      <c r="E1095" s="8" t="s">
        <v>2057</v>
      </c>
      <c r="F1095" s="8">
        <v>1</v>
      </c>
      <c r="G1095" s="2">
        <v>635</v>
      </c>
      <c r="H1095" s="8" t="s">
        <v>118</v>
      </c>
      <c r="I1095" s="2">
        <f t="shared" si="33"/>
        <v>635</v>
      </c>
      <c r="M1095" s="11">
        <v>20000</v>
      </c>
      <c r="N1095" s="8" t="s">
        <v>30</v>
      </c>
      <c r="O1095" s="8" t="s">
        <v>17</v>
      </c>
      <c r="P1095" s="8" t="s">
        <v>18</v>
      </c>
      <c r="Q1095" s="8" t="s">
        <v>18</v>
      </c>
      <c r="S1095" s="8" t="s">
        <v>2219</v>
      </c>
      <c r="T1095" s="8" t="s">
        <v>2220</v>
      </c>
      <c r="V1095" s="8" t="s">
        <v>875</v>
      </c>
      <c r="W1095" s="8">
        <f t="shared" si="32"/>
        <v>2</v>
      </c>
      <c r="X1095" s="8">
        <f>K1095*L1095*N1095</f>
        <v>0</v>
      </c>
    </row>
    <row r="1096" spans="1:24" s="8" customFormat="1" ht="41.5" customHeight="1">
      <c r="A1096" s="8" t="s">
        <v>2339</v>
      </c>
      <c r="B1096" s="8" t="s">
        <v>2816</v>
      </c>
      <c r="C1096" s="9">
        <v>45825.013700775497</v>
      </c>
      <c r="D1096" s="8" t="s">
        <v>2218</v>
      </c>
      <c r="E1096" s="8" t="s">
        <v>2057</v>
      </c>
      <c r="F1096" s="8">
        <v>1</v>
      </c>
      <c r="G1096" s="2">
        <v>635</v>
      </c>
      <c r="H1096" s="8" t="s">
        <v>118</v>
      </c>
      <c r="I1096" s="2">
        <f t="shared" si="33"/>
        <v>635</v>
      </c>
      <c r="M1096" s="11">
        <v>20000</v>
      </c>
      <c r="N1096" s="8" t="s">
        <v>30</v>
      </c>
      <c r="O1096" s="8" t="s">
        <v>17</v>
      </c>
      <c r="P1096" s="8" t="s">
        <v>18</v>
      </c>
      <c r="Q1096" s="8" t="s">
        <v>18</v>
      </c>
      <c r="S1096" s="8" t="s">
        <v>2219</v>
      </c>
      <c r="T1096" s="8" t="s">
        <v>2220</v>
      </c>
      <c r="V1096" s="8" t="s">
        <v>875</v>
      </c>
      <c r="W1096" s="8">
        <f t="shared" si="32"/>
        <v>2</v>
      </c>
      <c r="X1096" s="8">
        <f>K1096*L1096*N1096</f>
        <v>0</v>
      </c>
    </row>
    <row r="1097" spans="1:24" s="8" customFormat="1" ht="41.5" customHeight="1">
      <c r="A1097" s="8" t="s">
        <v>2339</v>
      </c>
      <c r="B1097" s="8" t="s">
        <v>2817</v>
      </c>
      <c r="C1097" s="9">
        <v>45825.013700763899</v>
      </c>
      <c r="D1097" s="8" t="s">
        <v>2218</v>
      </c>
      <c r="E1097" s="8" t="s">
        <v>2057</v>
      </c>
      <c r="F1097" s="8">
        <v>1</v>
      </c>
      <c r="G1097" s="2">
        <v>635</v>
      </c>
      <c r="H1097" s="8" t="s">
        <v>118</v>
      </c>
      <c r="I1097" s="2">
        <f t="shared" si="33"/>
        <v>635</v>
      </c>
      <c r="M1097" s="11">
        <v>20000</v>
      </c>
      <c r="N1097" s="8" t="s">
        <v>30</v>
      </c>
      <c r="O1097" s="8" t="s">
        <v>17</v>
      </c>
      <c r="P1097" s="8" t="s">
        <v>18</v>
      </c>
      <c r="Q1097" s="8" t="s">
        <v>18</v>
      </c>
      <c r="S1097" s="8" t="s">
        <v>2219</v>
      </c>
      <c r="T1097" s="8" t="s">
        <v>2220</v>
      </c>
      <c r="V1097" s="8" t="s">
        <v>875</v>
      </c>
      <c r="W1097" s="8">
        <f t="shared" si="32"/>
        <v>2</v>
      </c>
      <c r="X1097" s="8">
        <f>K1097*L1097*N1097</f>
        <v>0</v>
      </c>
    </row>
    <row r="1098" spans="1:24" s="8" customFormat="1" ht="41.5" customHeight="1">
      <c r="A1098" s="8" t="s">
        <v>2339</v>
      </c>
      <c r="B1098" s="8" t="s">
        <v>2818</v>
      </c>
      <c r="C1098" s="9">
        <v>45825.013002534703</v>
      </c>
      <c r="D1098" s="8" t="s">
        <v>2218</v>
      </c>
      <c r="E1098" s="8" t="s">
        <v>2057</v>
      </c>
      <c r="F1098" s="8">
        <v>1</v>
      </c>
      <c r="G1098" s="2">
        <v>635</v>
      </c>
      <c r="H1098" s="8" t="s">
        <v>118</v>
      </c>
      <c r="I1098" s="2">
        <f t="shared" si="33"/>
        <v>635</v>
      </c>
      <c r="M1098" s="11">
        <v>20000</v>
      </c>
      <c r="N1098" s="8" t="s">
        <v>30</v>
      </c>
      <c r="O1098" s="8" t="s">
        <v>17</v>
      </c>
      <c r="P1098" s="8" t="s">
        <v>18</v>
      </c>
      <c r="Q1098" s="8" t="s">
        <v>18</v>
      </c>
      <c r="S1098" s="8" t="s">
        <v>2219</v>
      </c>
      <c r="T1098" s="8" t="s">
        <v>2220</v>
      </c>
      <c r="V1098" s="8" t="s">
        <v>875</v>
      </c>
      <c r="W1098" s="8">
        <f t="shared" si="32"/>
        <v>2</v>
      </c>
      <c r="X1098" s="8">
        <f>K1098*L1098*N1098</f>
        <v>0</v>
      </c>
    </row>
    <row r="1099" spans="1:24" s="8" customFormat="1" ht="41.5" customHeight="1">
      <c r="A1099" s="8" t="s">
        <v>2339</v>
      </c>
      <c r="B1099" s="8" t="s">
        <v>2819</v>
      </c>
      <c r="C1099" s="9">
        <v>45824.996001782398</v>
      </c>
      <c r="D1099" s="8" t="s">
        <v>2218</v>
      </c>
      <c r="E1099" s="8" t="s">
        <v>2057</v>
      </c>
      <c r="F1099" s="8">
        <v>1</v>
      </c>
      <c r="G1099" s="2">
        <v>635</v>
      </c>
      <c r="H1099" s="8" t="s">
        <v>118</v>
      </c>
      <c r="I1099" s="2">
        <f t="shared" si="33"/>
        <v>635</v>
      </c>
      <c r="M1099" s="11">
        <v>30936</v>
      </c>
      <c r="N1099" s="8" t="s">
        <v>30</v>
      </c>
      <c r="O1099" s="8" t="s">
        <v>17</v>
      </c>
      <c r="P1099" s="8" t="s">
        <v>18</v>
      </c>
      <c r="Q1099" s="8" t="s">
        <v>18</v>
      </c>
      <c r="S1099" s="8" t="s">
        <v>2219</v>
      </c>
      <c r="T1099" s="8" t="s">
        <v>2220</v>
      </c>
      <c r="V1099" s="8" t="s">
        <v>858</v>
      </c>
      <c r="W1099" s="8">
        <f t="shared" si="32"/>
        <v>2</v>
      </c>
      <c r="X1099" s="8">
        <f>K1099*L1099*N1099</f>
        <v>0</v>
      </c>
    </row>
    <row r="1100" spans="1:24" s="8" customFormat="1" ht="41.5" customHeight="1">
      <c r="A1100" s="8" t="s">
        <v>2339</v>
      </c>
      <c r="B1100" s="8" t="s">
        <v>2820</v>
      </c>
      <c r="C1100" s="9">
        <v>45824.977893900497</v>
      </c>
      <c r="D1100" s="8" t="s">
        <v>2218</v>
      </c>
      <c r="E1100" s="8" t="s">
        <v>2057</v>
      </c>
      <c r="F1100" s="8">
        <v>1</v>
      </c>
      <c r="G1100" s="2">
        <v>635</v>
      </c>
      <c r="H1100" s="8" t="s">
        <v>118</v>
      </c>
      <c r="I1100" s="2">
        <f t="shared" si="33"/>
        <v>635</v>
      </c>
      <c r="M1100" s="11">
        <v>20000</v>
      </c>
      <c r="N1100" s="8" t="s">
        <v>30</v>
      </c>
      <c r="O1100" s="8" t="s">
        <v>17</v>
      </c>
      <c r="P1100" s="8" t="s">
        <v>18</v>
      </c>
      <c r="Q1100" s="8" t="s">
        <v>18</v>
      </c>
      <c r="S1100" s="8" t="s">
        <v>2219</v>
      </c>
      <c r="T1100" s="8" t="s">
        <v>2220</v>
      </c>
      <c r="V1100" s="8" t="s">
        <v>858</v>
      </c>
      <c r="W1100" s="8">
        <f t="shared" si="32"/>
        <v>2</v>
      </c>
      <c r="X1100" s="8">
        <f>K1100*L1100*N1100</f>
        <v>0</v>
      </c>
    </row>
    <row r="1101" spans="1:24" s="8" customFormat="1" ht="41.5" customHeight="1">
      <c r="A1101" s="8" t="s">
        <v>2339</v>
      </c>
      <c r="B1101" s="8" t="s">
        <v>2821</v>
      </c>
      <c r="C1101" s="9">
        <v>45824.973932604204</v>
      </c>
      <c r="D1101" s="8" t="s">
        <v>2218</v>
      </c>
      <c r="E1101" s="8" t="s">
        <v>2057</v>
      </c>
      <c r="F1101" s="8">
        <v>1</v>
      </c>
      <c r="G1101" s="2">
        <v>635</v>
      </c>
      <c r="H1101" s="8" t="s">
        <v>118</v>
      </c>
      <c r="I1101" s="2">
        <f t="shared" si="33"/>
        <v>635</v>
      </c>
      <c r="M1101" s="11">
        <v>20000</v>
      </c>
      <c r="N1101" s="8" t="s">
        <v>30</v>
      </c>
      <c r="O1101" s="8" t="s">
        <v>17</v>
      </c>
      <c r="P1101" s="8" t="s">
        <v>18</v>
      </c>
      <c r="Q1101" s="8" t="s">
        <v>18</v>
      </c>
      <c r="S1101" s="8" t="s">
        <v>2219</v>
      </c>
      <c r="T1101" s="8" t="s">
        <v>2220</v>
      </c>
      <c r="V1101" s="8" t="s">
        <v>858</v>
      </c>
      <c r="W1101" s="8">
        <f t="shared" si="32"/>
        <v>2</v>
      </c>
      <c r="X1101" s="8">
        <f>K1101*L1101*N1101</f>
        <v>0</v>
      </c>
    </row>
    <row r="1102" spans="1:24" s="8" customFormat="1" ht="41.5" customHeight="1">
      <c r="A1102" s="8" t="s">
        <v>2339</v>
      </c>
      <c r="B1102" s="8" t="s">
        <v>2822</v>
      </c>
      <c r="C1102" s="9">
        <v>45824.953960266197</v>
      </c>
      <c r="D1102" s="8" t="s">
        <v>2218</v>
      </c>
      <c r="E1102" s="8" t="s">
        <v>2057</v>
      </c>
      <c r="F1102" s="8">
        <v>1</v>
      </c>
      <c r="G1102" s="2">
        <v>635</v>
      </c>
      <c r="H1102" s="8" t="s">
        <v>118</v>
      </c>
      <c r="I1102" s="2">
        <f t="shared" si="33"/>
        <v>635</v>
      </c>
      <c r="M1102" s="11">
        <v>30000</v>
      </c>
      <c r="N1102" s="8" t="s">
        <v>30</v>
      </c>
      <c r="O1102" s="8" t="s">
        <v>17</v>
      </c>
      <c r="P1102" s="8" t="s">
        <v>18</v>
      </c>
      <c r="Q1102" s="8" t="s">
        <v>18</v>
      </c>
      <c r="S1102" s="8" t="s">
        <v>2219</v>
      </c>
      <c r="T1102" s="8" t="s">
        <v>2220</v>
      </c>
      <c r="V1102" s="8" t="s">
        <v>858</v>
      </c>
      <c r="W1102" s="8">
        <f t="shared" si="32"/>
        <v>2</v>
      </c>
      <c r="X1102" s="8">
        <f>K1102*L1102*N1102</f>
        <v>0</v>
      </c>
    </row>
    <row r="1103" spans="1:24" s="8" customFormat="1" ht="41.5" customHeight="1">
      <c r="A1103" s="8" t="s">
        <v>2339</v>
      </c>
      <c r="B1103" s="8" t="s">
        <v>2823</v>
      </c>
      <c r="C1103" s="9">
        <v>45824.918693541702</v>
      </c>
      <c r="D1103" s="8" t="s">
        <v>2218</v>
      </c>
      <c r="E1103" s="8" t="s">
        <v>2057</v>
      </c>
      <c r="F1103" s="8">
        <v>1</v>
      </c>
      <c r="G1103" s="2">
        <v>635</v>
      </c>
      <c r="H1103" s="8" t="s">
        <v>118</v>
      </c>
      <c r="I1103" s="2">
        <f t="shared" si="33"/>
        <v>635</v>
      </c>
      <c r="M1103" s="11">
        <v>20000</v>
      </c>
      <c r="N1103" s="8" t="s">
        <v>30</v>
      </c>
      <c r="O1103" s="8" t="s">
        <v>17</v>
      </c>
      <c r="P1103" s="8" t="s">
        <v>18</v>
      </c>
      <c r="Q1103" s="8" t="s">
        <v>18</v>
      </c>
      <c r="S1103" s="8" t="s">
        <v>2219</v>
      </c>
      <c r="T1103" s="8" t="s">
        <v>2220</v>
      </c>
      <c r="V1103" s="8" t="s">
        <v>858</v>
      </c>
      <c r="W1103" s="8">
        <f t="shared" si="32"/>
        <v>2</v>
      </c>
      <c r="X1103" s="8">
        <f>K1103*L1103*N1103</f>
        <v>0</v>
      </c>
    </row>
    <row r="1104" spans="1:24" s="8" customFormat="1" ht="41.5" customHeight="1">
      <c r="A1104" s="8" t="s">
        <v>2339</v>
      </c>
      <c r="B1104" s="8" t="s">
        <v>2824</v>
      </c>
      <c r="C1104" s="9">
        <v>45824.873553576399</v>
      </c>
      <c r="D1104" s="8" t="s">
        <v>2218</v>
      </c>
      <c r="E1104" s="8" t="s">
        <v>2057</v>
      </c>
      <c r="F1104" s="8">
        <v>1</v>
      </c>
      <c r="G1104" s="2">
        <v>635</v>
      </c>
      <c r="H1104" s="8" t="s">
        <v>118</v>
      </c>
      <c r="I1104" s="2">
        <f t="shared" si="33"/>
        <v>635</v>
      </c>
      <c r="M1104" s="11">
        <v>20000</v>
      </c>
      <c r="N1104" s="8" t="s">
        <v>30</v>
      </c>
      <c r="O1104" s="8" t="s">
        <v>17</v>
      </c>
      <c r="P1104" s="8" t="s">
        <v>18</v>
      </c>
      <c r="Q1104" s="8" t="s">
        <v>18</v>
      </c>
      <c r="S1104" s="8" t="s">
        <v>2219</v>
      </c>
      <c r="T1104" s="8" t="s">
        <v>2220</v>
      </c>
      <c r="V1104" s="8" t="s">
        <v>858</v>
      </c>
      <c r="W1104" s="8">
        <f t="shared" si="32"/>
        <v>2</v>
      </c>
      <c r="X1104" s="8">
        <f>K1104*L1104*N1104</f>
        <v>0</v>
      </c>
    </row>
    <row r="1105" spans="1:24" s="8" customFormat="1" ht="41.5" customHeight="1">
      <c r="A1105" s="8" t="s">
        <v>2339</v>
      </c>
      <c r="B1105" s="8" t="s">
        <v>2825</v>
      </c>
      <c r="C1105" s="9">
        <v>45824.872273819397</v>
      </c>
      <c r="D1105" s="8" t="s">
        <v>2218</v>
      </c>
      <c r="E1105" s="8" t="s">
        <v>2057</v>
      </c>
      <c r="F1105" s="8">
        <v>1</v>
      </c>
      <c r="G1105" s="2">
        <v>635</v>
      </c>
      <c r="H1105" s="8" t="s">
        <v>118</v>
      </c>
      <c r="I1105" s="2">
        <f t="shared" si="33"/>
        <v>635</v>
      </c>
      <c r="M1105" s="11">
        <v>20000</v>
      </c>
      <c r="N1105" s="8" t="s">
        <v>30</v>
      </c>
      <c r="O1105" s="8" t="s">
        <v>17</v>
      </c>
      <c r="P1105" s="8" t="s">
        <v>18</v>
      </c>
      <c r="Q1105" s="8" t="s">
        <v>18</v>
      </c>
      <c r="S1105" s="8" t="s">
        <v>2219</v>
      </c>
      <c r="T1105" s="8" t="s">
        <v>2220</v>
      </c>
      <c r="V1105" s="8" t="s">
        <v>858</v>
      </c>
      <c r="W1105" s="8">
        <f t="shared" si="32"/>
        <v>2</v>
      </c>
      <c r="X1105" s="8">
        <f>K1105*L1105*N1105</f>
        <v>0</v>
      </c>
    </row>
    <row r="1106" spans="1:24" s="8" customFormat="1" ht="41.5" customHeight="1">
      <c r="A1106" s="8" t="s">
        <v>2463</v>
      </c>
      <c r="B1106" s="8" t="s">
        <v>2826</v>
      </c>
      <c r="C1106" s="9">
        <v>45776.625528333301</v>
      </c>
      <c r="D1106" s="8" t="s">
        <v>2056</v>
      </c>
      <c r="E1106" s="8" t="s">
        <v>2057</v>
      </c>
      <c r="F1106" s="8">
        <v>1</v>
      </c>
      <c r="G1106" s="22" t="s">
        <v>2827</v>
      </c>
      <c r="H1106" s="8" t="s">
        <v>936</v>
      </c>
      <c r="I1106" s="2" t="str">
        <f t="shared" si="33"/>
        <v>Quạt trần model TLC-QTS-CC công suất 82W</v>
      </c>
      <c r="J1106" s="8" t="s">
        <v>15</v>
      </c>
      <c r="K1106" s="10">
        <v>5</v>
      </c>
      <c r="L1106" s="10">
        <v>750750</v>
      </c>
      <c r="M1106" s="11">
        <v>3753750</v>
      </c>
      <c r="N1106" s="8" t="s">
        <v>16</v>
      </c>
      <c r="O1106" s="8" t="s">
        <v>17</v>
      </c>
      <c r="P1106" s="8" t="s">
        <v>18</v>
      </c>
      <c r="Q1106" s="8" t="s">
        <v>18</v>
      </c>
      <c r="R1106" s="8" t="s">
        <v>2115</v>
      </c>
      <c r="S1106" s="8" t="s">
        <v>2465</v>
      </c>
      <c r="T1106" s="8" t="s">
        <v>2466</v>
      </c>
      <c r="U1106" s="8" t="s">
        <v>2702</v>
      </c>
      <c r="V1106" s="8" t="s">
        <v>937</v>
      </c>
      <c r="W1106" s="8">
        <f t="shared" si="32"/>
        <v>2</v>
      </c>
      <c r="X1106" s="8">
        <f>K1106*L1106*N1106</f>
        <v>300300</v>
      </c>
    </row>
    <row r="1107" spans="1:24" s="8" customFormat="1" ht="41.5" customHeight="1">
      <c r="A1107" s="8" t="s">
        <v>2463</v>
      </c>
      <c r="B1107" s="8" t="s">
        <v>2828</v>
      </c>
      <c r="C1107" s="9">
        <v>45772.673451354203</v>
      </c>
      <c r="D1107" s="8" t="s">
        <v>2056</v>
      </c>
      <c r="E1107" s="8" t="s">
        <v>2057</v>
      </c>
      <c r="F1107" s="8">
        <v>1</v>
      </c>
      <c r="G1107" s="22" t="s">
        <v>1368</v>
      </c>
      <c r="H1107" s="8" t="s">
        <v>938</v>
      </c>
      <c r="I1107" s="2" t="str">
        <f t="shared" si="33"/>
        <v>Đèn led Downlight đổi màu AT10 90/8W (G)</v>
      </c>
      <c r="J1107" s="8" t="s">
        <v>15</v>
      </c>
      <c r="K1107" s="10">
        <v>400</v>
      </c>
      <c r="L1107" s="10">
        <v>71771.7</v>
      </c>
      <c r="M1107" s="11">
        <v>28708680</v>
      </c>
      <c r="N1107" s="8" t="s">
        <v>16</v>
      </c>
      <c r="O1107" s="8" t="s">
        <v>17</v>
      </c>
      <c r="P1107" s="8" t="s">
        <v>18</v>
      </c>
      <c r="Q1107" s="8" t="s">
        <v>18</v>
      </c>
      <c r="R1107" s="8" t="s">
        <v>2115</v>
      </c>
      <c r="S1107" s="8" t="s">
        <v>2465</v>
      </c>
      <c r="T1107" s="8" t="s">
        <v>2466</v>
      </c>
      <c r="U1107" s="8" t="s">
        <v>2702</v>
      </c>
      <c r="V1107" s="8" t="s">
        <v>939</v>
      </c>
      <c r="W1107" s="8">
        <f t="shared" si="32"/>
        <v>2</v>
      </c>
      <c r="X1107" s="8">
        <f>K1107*L1107*N1107</f>
        <v>2296694.4</v>
      </c>
    </row>
    <row r="1108" spans="1:24" s="8" customFormat="1" ht="41.5" customHeight="1">
      <c r="A1108" s="8" t="s">
        <v>2463</v>
      </c>
      <c r="B1108" s="8" t="s">
        <v>2828</v>
      </c>
      <c r="C1108" s="9">
        <v>45772.673451354203</v>
      </c>
      <c r="D1108" s="8" t="s">
        <v>2056</v>
      </c>
      <c r="E1108" s="8" t="s">
        <v>2057</v>
      </c>
      <c r="F1108" s="8">
        <v>2</v>
      </c>
      <c r="G1108" s="22" t="s">
        <v>1317</v>
      </c>
      <c r="H1108" s="8" t="s">
        <v>940</v>
      </c>
      <c r="I1108" s="2" t="str">
        <f t="shared" si="33"/>
        <v>Đế âm S2157</v>
      </c>
      <c r="J1108" s="8" t="s">
        <v>15</v>
      </c>
      <c r="K1108" s="10">
        <v>500</v>
      </c>
      <c r="L1108" s="10">
        <v>2206.1999999999998</v>
      </c>
      <c r="M1108" s="11">
        <v>1103100</v>
      </c>
      <c r="N1108" s="8" t="s">
        <v>16</v>
      </c>
      <c r="O1108" s="8" t="s">
        <v>17</v>
      </c>
      <c r="P1108" s="8" t="s">
        <v>18</v>
      </c>
      <c r="Q1108" s="8" t="s">
        <v>18</v>
      </c>
      <c r="R1108" s="8" t="s">
        <v>2115</v>
      </c>
      <c r="S1108" s="8" t="s">
        <v>2465</v>
      </c>
      <c r="T1108" s="8" t="s">
        <v>2466</v>
      </c>
      <c r="U1108" s="8" t="s">
        <v>2702</v>
      </c>
      <c r="V1108" s="8" t="s">
        <v>939</v>
      </c>
      <c r="W1108" s="8">
        <f t="shared" si="32"/>
        <v>2</v>
      </c>
      <c r="X1108" s="8">
        <f>K1108*L1108*N1108</f>
        <v>88248</v>
      </c>
    </row>
    <row r="1109" spans="1:24" s="8" customFormat="1" ht="41.5" customHeight="1">
      <c r="A1109" s="8" t="s">
        <v>2463</v>
      </c>
      <c r="B1109" s="8" t="s">
        <v>2828</v>
      </c>
      <c r="C1109" s="9">
        <v>45772.673451354203</v>
      </c>
      <c r="D1109" s="8" t="s">
        <v>2056</v>
      </c>
      <c r="E1109" s="8" t="s">
        <v>2057</v>
      </c>
      <c r="F1109" s="8">
        <v>3</v>
      </c>
      <c r="G1109" s="22" t="s">
        <v>1337</v>
      </c>
      <c r="H1109" s="8" t="s">
        <v>941</v>
      </c>
      <c r="I1109" s="2" t="str">
        <f t="shared" si="33"/>
        <v>Đế âm đôi S2157/D</v>
      </c>
      <c r="J1109" s="8" t="s">
        <v>15</v>
      </c>
      <c r="K1109" s="10">
        <v>500</v>
      </c>
      <c r="L1109" s="10">
        <v>5449.44</v>
      </c>
      <c r="M1109" s="11">
        <v>2724720</v>
      </c>
      <c r="N1109" s="8" t="s">
        <v>16</v>
      </c>
      <c r="O1109" s="8" t="s">
        <v>17</v>
      </c>
      <c r="P1109" s="8" t="s">
        <v>18</v>
      </c>
      <c r="Q1109" s="8" t="s">
        <v>18</v>
      </c>
      <c r="R1109" s="8" t="s">
        <v>2115</v>
      </c>
      <c r="S1109" s="8" t="s">
        <v>2465</v>
      </c>
      <c r="T1109" s="8" t="s">
        <v>2466</v>
      </c>
      <c r="U1109" s="8" t="s">
        <v>2702</v>
      </c>
      <c r="V1109" s="8" t="s">
        <v>939</v>
      </c>
      <c r="W1109" s="8">
        <f t="shared" si="32"/>
        <v>2</v>
      </c>
      <c r="X1109" s="8">
        <f>K1109*L1109*N1109</f>
        <v>217977.60000000001</v>
      </c>
    </row>
    <row r="1110" spans="1:24" s="8" customFormat="1" ht="41.5" customHeight="1">
      <c r="A1110" s="8" t="s">
        <v>2463</v>
      </c>
      <c r="B1110" s="8" t="s">
        <v>2828</v>
      </c>
      <c r="C1110" s="9">
        <v>45772.673451354203</v>
      </c>
      <c r="D1110" s="8" t="s">
        <v>2056</v>
      </c>
      <c r="E1110" s="8" t="s">
        <v>2057</v>
      </c>
      <c r="F1110" s="8">
        <v>4</v>
      </c>
      <c r="G1110" s="22" t="s">
        <v>1278</v>
      </c>
      <c r="H1110" s="8" t="s">
        <v>942</v>
      </c>
      <c r="I1110" s="2" t="str">
        <f t="shared" si="33"/>
        <v>Ống luồn dây điện</v>
      </c>
      <c r="J1110" s="8" t="s">
        <v>247</v>
      </c>
      <c r="K1110" s="10">
        <v>2000</v>
      </c>
      <c r="L1110" s="10">
        <v>9702.2199999999993</v>
      </c>
      <c r="M1110" s="11">
        <v>19404440</v>
      </c>
      <c r="N1110" s="8" t="s">
        <v>16</v>
      </c>
      <c r="O1110" s="8" t="s">
        <v>17</v>
      </c>
      <c r="P1110" s="8" t="s">
        <v>18</v>
      </c>
      <c r="Q1110" s="8" t="s">
        <v>18</v>
      </c>
      <c r="R1110" s="8" t="s">
        <v>2115</v>
      </c>
      <c r="S1110" s="8" t="s">
        <v>2465</v>
      </c>
      <c r="T1110" s="8" t="s">
        <v>2466</v>
      </c>
      <c r="U1110" s="8" t="s">
        <v>2702</v>
      </c>
      <c r="V1110" s="8" t="s">
        <v>939</v>
      </c>
      <c r="W1110" s="8">
        <f t="shared" si="32"/>
        <v>2</v>
      </c>
      <c r="X1110" s="8">
        <f>K1110*L1110*N1110</f>
        <v>1552355.2</v>
      </c>
    </row>
    <row r="1111" spans="1:24" s="8" customFormat="1" ht="41.5" customHeight="1">
      <c r="A1111" s="8" t="s">
        <v>2463</v>
      </c>
      <c r="B1111" s="8" t="s">
        <v>2828</v>
      </c>
      <c r="C1111" s="9">
        <v>45772.673451354203</v>
      </c>
      <c r="D1111" s="8" t="s">
        <v>2056</v>
      </c>
      <c r="E1111" s="8" t="s">
        <v>2057</v>
      </c>
      <c r="F1111" s="8">
        <v>5</v>
      </c>
      <c r="G1111" s="22" t="s">
        <v>1278</v>
      </c>
      <c r="H1111" s="8" t="s">
        <v>827</v>
      </c>
      <c r="I1111" s="2" t="str">
        <f t="shared" si="33"/>
        <v>Ống luồn dây điện</v>
      </c>
      <c r="J1111" s="8" t="s">
        <v>247</v>
      </c>
      <c r="K1111" s="10">
        <v>1000</v>
      </c>
      <c r="L1111" s="10">
        <v>13744.61</v>
      </c>
      <c r="M1111" s="11">
        <v>13744610</v>
      </c>
      <c r="N1111" s="8" t="s">
        <v>16</v>
      </c>
      <c r="O1111" s="8" t="s">
        <v>17</v>
      </c>
      <c r="P1111" s="8" t="s">
        <v>18</v>
      </c>
      <c r="Q1111" s="8" t="s">
        <v>18</v>
      </c>
      <c r="R1111" s="8" t="s">
        <v>2115</v>
      </c>
      <c r="S1111" s="8" t="s">
        <v>2465</v>
      </c>
      <c r="T1111" s="8" t="s">
        <v>2466</v>
      </c>
      <c r="U1111" s="8" t="s">
        <v>2702</v>
      </c>
      <c r="V1111" s="8" t="s">
        <v>939</v>
      </c>
      <c r="W1111" s="8">
        <f t="shared" si="32"/>
        <v>2</v>
      </c>
      <c r="X1111" s="8">
        <f>K1111*L1111*N1111</f>
        <v>1099568.8</v>
      </c>
    </row>
    <row r="1112" spans="1:24" s="8" customFormat="1" ht="41.5" customHeight="1">
      <c r="A1112" s="8" t="s">
        <v>2463</v>
      </c>
      <c r="B1112" s="8" t="s">
        <v>2828</v>
      </c>
      <c r="C1112" s="9">
        <v>45772.673451354203</v>
      </c>
      <c r="D1112" s="8" t="s">
        <v>2056</v>
      </c>
      <c r="E1112" s="8" t="s">
        <v>2057</v>
      </c>
      <c r="F1112" s="8">
        <v>6</v>
      </c>
      <c r="G1112" s="22" t="s">
        <v>1255</v>
      </c>
      <c r="H1112" s="8" t="s">
        <v>148</v>
      </c>
      <c r="I1112" s="2" t="str">
        <f t="shared" si="33"/>
        <v>Ống uPVC 27 C2</v>
      </c>
      <c r="J1112" s="8" t="s">
        <v>47</v>
      </c>
      <c r="K1112" s="10">
        <v>1000</v>
      </c>
      <c r="L1112" s="10">
        <v>10645.25</v>
      </c>
      <c r="M1112" s="11">
        <v>10645250</v>
      </c>
      <c r="N1112" s="8" t="s">
        <v>16</v>
      </c>
      <c r="O1112" s="8" t="s">
        <v>17</v>
      </c>
      <c r="P1112" s="8" t="s">
        <v>18</v>
      </c>
      <c r="Q1112" s="8" t="s">
        <v>18</v>
      </c>
      <c r="R1112" s="8" t="s">
        <v>2115</v>
      </c>
      <c r="S1112" s="8" t="s">
        <v>2465</v>
      </c>
      <c r="T1112" s="8" t="s">
        <v>2466</v>
      </c>
      <c r="U1112" s="8" t="s">
        <v>2702</v>
      </c>
      <c r="V1112" s="8" t="s">
        <v>939</v>
      </c>
      <c r="W1112" s="8">
        <f t="shared" si="32"/>
        <v>2</v>
      </c>
      <c r="X1112" s="8">
        <f>K1112*L1112*N1112</f>
        <v>851620</v>
      </c>
    </row>
    <row r="1113" spans="1:24" s="8" customFormat="1" ht="41.5" customHeight="1">
      <c r="A1113" s="8" t="s">
        <v>2463</v>
      </c>
      <c r="B1113" s="8" t="s">
        <v>2828</v>
      </c>
      <c r="C1113" s="9">
        <v>45772.673451354203</v>
      </c>
      <c r="D1113" s="8" t="s">
        <v>2056</v>
      </c>
      <c r="E1113" s="8" t="s">
        <v>2057</v>
      </c>
      <c r="F1113" s="8">
        <v>7</v>
      </c>
      <c r="G1113" s="22" t="s">
        <v>1270</v>
      </c>
      <c r="H1113" s="8" t="s">
        <v>545</v>
      </c>
      <c r="I1113" s="2" t="str">
        <f t="shared" si="33"/>
        <v>Ống uPVC DN90 PN6 C2</v>
      </c>
      <c r="J1113" s="8" t="s">
        <v>47</v>
      </c>
      <c r="K1113" s="10">
        <v>500</v>
      </c>
      <c r="L1113" s="10">
        <v>49564.93</v>
      </c>
      <c r="M1113" s="11">
        <v>24782465</v>
      </c>
      <c r="N1113" s="8" t="s">
        <v>16</v>
      </c>
      <c r="O1113" s="8" t="s">
        <v>17</v>
      </c>
      <c r="P1113" s="8" t="s">
        <v>18</v>
      </c>
      <c r="Q1113" s="8" t="s">
        <v>18</v>
      </c>
      <c r="R1113" s="8" t="s">
        <v>2115</v>
      </c>
      <c r="S1113" s="8" t="s">
        <v>2465</v>
      </c>
      <c r="T1113" s="8" t="s">
        <v>2466</v>
      </c>
      <c r="U1113" s="8" t="s">
        <v>2702</v>
      </c>
      <c r="V1113" s="8" t="s">
        <v>939</v>
      </c>
      <c r="W1113" s="8">
        <f t="shared" si="32"/>
        <v>2</v>
      </c>
      <c r="X1113" s="8">
        <f>K1113*L1113*N1113</f>
        <v>1982597.2</v>
      </c>
    </row>
    <row r="1114" spans="1:24" s="8" customFormat="1" ht="41.5" customHeight="1">
      <c r="A1114" s="8" t="s">
        <v>2463</v>
      </c>
      <c r="B1114" s="8" t="s">
        <v>2829</v>
      </c>
      <c r="C1114" s="9">
        <v>45770.654378969899</v>
      </c>
      <c r="D1114" s="8" t="s">
        <v>2056</v>
      </c>
      <c r="E1114" s="8" t="s">
        <v>2057</v>
      </c>
      <c r="F1114" s="8">
        <v>1</v>
      </c>
      <c r="G1114" s="2"/>
      <c r="H1114" s="8" t="s">
        <v>943</v>
      </c>
      <c r="I1114" s="2">
        <f t="shared" si="33"/>
        <v>0</v>
      </c>
      <c r="J1114" s="8" t="s">
        <v>47</v>
      </c>
      <c r="K1114" s="10">
        <v>12</v>
      </c>
      <c r="L1114" s="10">
        <v>18631.61</v>
      </c>
      <c r="M1114" s="11">
        <v>223579</v>
      </c>
      <c r="N1114" s="8" t="s">
        <v>16</v>
      </c>
      <c r="O1114" s="8" t="s">
        <v>17</v>
      </c>
      <c r="P1114" s="8" t="s">
        <v>18</v>
      </c>
      <c r="Q1114" s="8" t="s">
        <v>18</v>
      </c>
      <c r="R1114" s="8" t="s">
        <v>2115</v>
      </c>
      <c r="S1114" s="8" t="s">
        <v>2465</v>
      </c>
      <c r="T1114" s="8" t="s">
        <v>2466</v>
      </c>
      <c r="U1114" s="8" t="s">
        <v>2702</v>
      </c>
      <c r="V1114" s="8" t="s">
        <v>944</v>
      </c>
      <c r="W1114" s="8">
        <f t="shared" si="32"/>
        <v>2</v>
      </c>
      <c r="X1114" s="8">
        <f>K1114*L1114*N1114</f>
        <v>17886.345600000001</v>
      </c>
    </row>
    <row r="1115" spans="1:24" s="8" customFormat="1" ht="41.5" customHeight="1">
      <c r="A1115" s="8" t="s">
        <v>2463</v>
      </c>
      <c r="B1115" s="8" t="s">
        <v>2829</v>
      </c>
      <c r="C1115" s="9">
        <v>45770.654378969899</v>
      </c>
      <c r="D1115" s="8" t="s">
        <v>2056</v>
      </c>
      <c r="E1115" s="8" t="s">
        <v>2057</v>
      </c>
      <c r="F1115" s="8">
        <v>2</v>
      </c>
      <c r="G1115" s="22" t="s">
        <v>88</v>
      </c>
      <c r="H1115" s="8" t="s">
        <v>88</v>
      </c>
      <c r="I1115" s="2" t="str">
        <f t="shared" si="33"/>
        <v>Ống PPR DN 25 PN10</v>
      </c>
      <c r="J1115" s="8" t="s">
        <v>47</v>
      </c>
      <c r="K1115" s="10">
        <v>25</v>
      </c>
      <c r="L1115" s="10">
        <v>15510</v>
      </c>
      <c r="M1115" s="11">
        <v>387750</v>
      </c>
      <c r="N1115" s="8" t="s">
        <v>16</v>
      </c>
      <c r="O1115" s="8" t="s">
        <v>17</v>
      </c>
      <c r="P1115" s="8" t="s">
        <v>18</v>
      </c>
      <c r="Q1115" s="8" t="s">
        <v>18</v>
      </c>
      <c r="R1115" s="8" t="s">
        <v>2115</v>
      </c>
      <c r="S1115" s="8" t="s">
        <v>2465</v>
      </c>
      <c r="T1115" s="8" t="s">
        <v>2466</v>
      </c>
      <c r="U1115" s="8" t="s">
        <v>2702</v>
      </c>
      <c r="V1115" s="8" t="s">
        <v>944</v>
      </c>
      <c r="W1115" s="8">
        <f t="shared" si="32"/>
        <v>2</v>
      </c>
      <c r="X1115" s="8">
        <f>K1115*L1115*N1115</f>
        <v>31020</v>
      </c>
    </row>
    <row r="1116" spans="1:24" s="8" customFormat="1" ht="41.5" customHeight="1">
      <c r="A1116" s="8" t="s">
        <v>2463</v>
      </c>
      <c r="B1116" s="8" t="s">
        <v>2829</v>
      </c>
      <c r="C1116" s="9">
        <v>45770.654378969899</v>
      </c>
      <c r="D1116" s="8" t="s">
        <v>2056</v>
      </c>
      <c r="E1116" s="8" t="s">
        <v>2057</v>
      </c>
      <c r="F1116" s="8">
        <v>3</v>
      </c>
      <c r="G1116" s="22" t="s">
        <v>945</v>
      </c>
      <c r="H1116" s="8" t="s">
        <v>945</v>
      </c>
      <c r="I1116" s="2" t="str">
        <f t="shared" si="33"/>
        <v>Ống PPR DN 20 PN10</v>
      </c>
      <c r="J1116" s="8" t="s">
        <v>47</v>
      </c>
      <c r="K1116" s="10">
        <v>500</v>
      </c>
      <c r="L1116" s="10">
        <v>8046.04</v>
      </c>
      <c r="M1116" s="11">
        <v>4023020</v>
      </c>
      <c r="N1116" s="8" t="s">
        <v>16</v>
      </c>
      <c r="O1116" s="8" t="s">
        <v>17</v>
      </c>
      <c r="P1116" s="8" t="s">
        <v>18</v>
      </c>
      <c r="Q1116" s="8" t="s">
        <v>18</v>
      </c>
      <c r="R1116" s="8" t="s">
        <v>2115</v>
      </c>
      <c r="S1116" s="8" t="s">
        <v>2465</v>
      </c>
      <c r="T1116" s="8" t="s">
        <v>2466</v>
      </c>
      <c r="U1116" s="8" t="s">
        <v>2702</v>
      </c>
      <c r="V1116" s="8" t="s">
        <v>944</v>
      </c>
      <c r="W1116" s="8">
        <f t="shared" si="32"/>
        <v>2</v>
      </c>
      <c r="X1116" s="8">
        <f>K1116*L1116*N1116</f>
        <v>321841.60000000003</v>
      </c>
    </row>
    <row r="1117" spans="1:24" s="8" customFormat="1" ht="41.5" customHeight="1">
      <c r="A1117" s="8" t="s">
        <v>2463</v>
      </c>
      <c r="B1117" s="8" t="s">
        <v>2829</v>
      </c>
      <c r="C1117" s="9">
        <v>45770.654378969899</v>
      </c>
      <c r="D1117" s="8" t="s">
        <v>2056</v>
      </c>
      <c r="E1117" s="8" t="s">
        <v>2057</v>
      </c>
      <c r="F1117" s="8">
        <v>4</v>
      </c>
      <c r="G1117" s="22" t="s">
        <v>89</v>
      </c>
      <c r="H1117" s="8" t="s">
        <v>89</v>
      </c>
      <c r="I1117" s="2" t="str">
        <f t="shared" si="33"/>
        <v>Ống PPR DN 25 PN20</v>
      </c>
      <c r="J1117" s="8" t="s">
        <v>47</v>
      </c>
      <c r="K1117" s="10">
        <v>600</v>
      </c>
      <c r="L1117" s="10">
        <v>18810</v>
      </c>
      <c r="M1117" s="11">
        <v>11286000</v>
      </c>
      <c r="N1117" s="8" t="s">
        <v>16</v>
      </c>
      <c r="O1117" s="8" t="s">
        <v>17</v>
      </c>
      <c r="P1117" s="8" t="s">
        <v>18</v>
      </c>
      <c r="Q1117" s="8" t="s">
        <v>18</v>
      </c>
      <c r="R1117" s="8" t="s">
        <v>2115</v>
      </c>
      <c r="S1117" s="8" t="s">
        <v>2465</v>
      </c>
      <c r="T1117" s="8" t="s">
        <v>2466</v>
      </c>
      <c r="U1117" s="8" t="s">
        <v>2702</v>
      </c>
      <c r="V1117" s="8" t="s">
        <v>944</v>
      </c>
      <c r="W1117" s="8">
        <f t="shared" ref="W1117:W1180" si="34">ROUNDUP(MONTH(V1117)/3,0)</f>
        <v>2</v>
      </c>
      <c r="X1117" s="8">
        <f>K1117*L1117*N1117</f>
        <v>902880</v>
      </c>
    </row>
    <row r="1118" spans="1:24" s="8" customFormat="1" ht="41.5" customHeight="1">
      <c r="A1118" s="8" t="s">
        <v>2463</v>
      </c>
      <c r="B1118" s="8" t="s">
        <v>2829</v>
      </c>
      <c r="C1118" s="9">
        <v>45770.654378969899</v>
      </c>
      <c r="D1118" s="8" t="s">
        <v>2056</v>
      </c>
      <c r="E1118" s="8" t="s">
        <v>2057</v>
      </c>
      <c r="F1118" s="8">
        <v>5</v>
      </c>
      <c r="G1118" s="22" t="s">
        <v>946</v>
      </c>
      <c r="H1118" s="8" t="s">
        <v>946</v>
      </c>
      <c r="I1118" s="2" t="str">
        <f t="shared" si="33"/>
        <v>Ống PPR DN 20 PN20</v>
      </c>
      <c r="J1118" s="8" t="s">
        <v>47</v>
      </c>
      <c r="K1118" s="10">
        <v>60</v>
      </c>
      <c r="L1118" s="10">
        <v>9958.9500000000007</v>
      </c>
      <c r="M1118" s="11">
        <v>597537</v>
      </c>
      <c r="N1118" s="8" t="s">
        <v>16</v>
      </c>
      <c r="O1118" s="8" t="s">
        <v>17</v>
      </c>
      <c r="P1118" s="8" t="s">
        <v>18</v>
      </c>
      <c r="Q1118" s="8" t="s">
        <v>18</v>
      </c>
      <c r="R1118" s="8" t="s">
        <v>2115</v>
      </c>
      <c r="S1118" s="8" t="s">
        <v>2465</v>
      </c>
      <c r="T1118" s="8" t="s">
        <v>2466</v>
      </c>
      <c r="U1118" s="8" t="s">
        <v>2702</v>
      </c>
      <c r="V1118" s="8" t="s">
        <v>944</v>
      </c>
      <c r="W1118" s="8">
        <f t="shared" si="34"/>
        <v>2</v>
      </c>
      <c r="X1118" s="8">
        <f>K1118*L1118*N1118</f>
        <v>47802.96</v>
      </c>
    </row>
    <row r="1119" spans="1:24" s="8" customFormat="1" ht="41.5" customHeight="1">
      <c r="A1119" s="8" t="s">
        <v>2463</v>
      </c>
      <c r="B1119" s="8" t="s">
        <v>2829</v>
      </c>
      <c r="C1119" s="9">
        <v>45770.654378969899</v>
      </c>
      <c r="D1119" s="8" t="s">
        <v>2056</v>
      </c>
      <c r="E1119" s="8" t="s">
        <v>2057</v>
      </c>
      <c r="F1119" s="8">
        <v>6</v>
      </c>
      <c r="G1119" s="22" t="s">
        <v>947</v>
      </c>
      <c r="H1119" s="8" t="s">
        <v>947</v>
      </c>
      <c r="I1119" s="2" t="str">
        <f t="shared" si="33"/>
        <v>Ba chạc 90 độ phun PPR DN 32 PN20</v>
      </c>
      <c r="J1119" s="8" t="s">
        <v>15</v>
      </c>
      <c r="K1119" s="10">
        <v>1</v>
      </c>
      <c r="L1119" s="10">
        <v>5968.96</v>
      </c>
      <c r="M1119" s="11">
        <v>5969</v>
      </c>
      <c r="N1119" s="8" t="s">
        <v>16</v>
      </c>
      <c r="O1119" s="8" t="s">
        <v>17</v>
      </c>
      <c r="P1119" s="8" t="s">
        <v>18</v>
      </c>
      <c r="Q1119" s="8" t="s">
        <v>18</v>
      </c>
      <c r="R1119" s="8" t="s">
        <v>2115</v>
      </c>
      <c r="S1119" s="8" t="s">
        <v>2465</v>
      </c>
      <c r="T1119" s="8" t="s">
        <v>2466</v>
      </c>
      <c r="U1119" s="8" t="s">
        <v>2702</v>
      </c>
      <c r="V1119" s="8" t="s">
        <v>944</v>
      </c>
      <c r="W1119" s="8">
        <f t="shared" si="34"/>
        <v>2</v>
      </c>
      <c r="X1119" s="8">
        <f>K1119*L1119*N1119</f>
        <v>477.51679999999999</v>
      </c>
    </row>
    <row r="1120" spans="1:24" s="8" customFormat="1" ht="41.5" customHeight="1">
      <c r="A1120" s="8" t="s">
        <v>2463</v>
      </c>
      <c r="B1120" s="8" t="s">
        <v>2829</v>
      </c>
      <c r="C1120" s="9">
        <v>45770.654378969899</v>
      </c>
      <c r="D1120" s="8" t="s">
        <v>2056</v>
      </c>
      <c r="E1120" s="8" t="s">
        <v>2057</v>
      </c>
      <c r="F1120" s="8">
        <v>7</v>
      </c>
      <c r="G1120" s="22" t="s">
        <v>948</v>
      </c>
      <c r="H1120" s="8" t="s">
        <v>948</v>
      </c>
      <c r="I1120" s="2" t="str">
        <f t="shared" si="33"/>
        <v>Ba chạc 90 độ phun PPR DN 25 PN20</v>
      </c>
      <c r="J1120" s="8" t="s">
        <v>15</v>
      </c>
      <c r="K1120" s="10">
        <v>15</v>
      </c>
      <c r="L1120" s="10">
        <v>3627.62</v>
      </c>
      <c r="M1120" s="11">
        <v>54414</v>
      </c>
      <c r="N1120" s="8" t="s">
        <v>16</v>
      </c>
      <c r="O1120" s="8" t="s">
        <v>17</v>
      </c>
      <c r="P1120" s="8" t="s">
        <v>18</v>
      </c>
      <c r="Q1120" s="8" t="s">
        <v>18</v>
      </c>
      <c r="R1120" s="8" t="s">
        <v>2115</v>
      </c>
      <c r="S1120" s="8" t="s">
        <v>2465</v>
      </c>
      <c r="T1120" s="8" t="s">
        <v>2466</v>
      </c>
      <c r="U1120" s="8" t="s">
        <v>2702</v>
      </c>
      <c r="V1120" s="8" t="s">
        <v>944</v>
      </c>
      <c r="W1120" s="8">
        <f t="shared" si="34"/>
        <v>2</v>
      </c>
      <c r="X1120" s="8">
        <f>K1120*L1120*N1120</f>
        <v>4353.1439999999993</v>
      </c>
    </row>
    <row r="1121" spans="1:24" s="8" customFormat="1" ht="41.5" customHeight="1">
      <c r="A1121" s="8" t="s">
        <v>2463</v>
      </c>
      <c r="B1121" s="8" t="s">
        <v>2829</v>
      </c>
      <c r="C1121" s="9">
        <v>45770.654378969899</v>
      </c>
      <c r="D1121" s="8" t="s">
        <v>2056</v>
      </c>
      <c r="E1121" s="8" t="s">
        <v>2057</v>
      </c>
      <c r="F1121" s="8">
        <v>8</v>
      </c>
      <c r="G1121" s="22" t="s">
        <v>2830</v>
      </c>
      <c r="H1121" s="8" t="s">
        <v>949</v>
      </c>
      <c r="I1121" s="2" t="str">
        <f t="shared" si="33"/>
        <v>Ba chạc 90 độCB phun PPR DN 32-25 PN20</v>
      </c>
      <c r="J1121" s="8" t="s">
        <v>15</v>
      </c>
      <c r="K1121" s="10">
        <v>2</v>
      </c>
      <c r="L1121" s="10">
        <v>6397.39</v>
      </c>
      <c r="M1121" s="11">
        <v>12795</v>
      </c>
      <c r="N1121" s="8" t="s">
        <v>16</v>
      </c>
      <c r="O1121" s="8" t="s">
        <v>17</v>
      </c>
      <c r="P1121" s="8" t="s">
        <v>18</v>
      </c>
      <c r="Q1121" s="8" t="s">
        <v>18</v>
      </c>
      <c r="R1121" s="8" t="s">
        <v>2115</v>
      </c>
      <c r="S1121" s="8" t="s">
        <v>2465</v>
      </c>
      <c r="T1121" s="8" t="s">
        <v>2466</v>
      </c>
      <c r="U1121" s="8" t="s">
        <v>2702</v>
      </c>
      <c r="V1121" s="8" t="s">
        <v>944</v>
      </c>
      <c r="W1121" s="8">
        <f t="shared" si="34"/>
        <v>2</v>
      </c>
      <c r="X1121" s="8">
        <f>K1121*L1121*N1121</f>
        <v>1023.5824000000001</v>
      </c>
    </row>
    <row r="1122" spans="1:24" s="8" customFormat="1" ht="41.5" customHeight="1">
      <c r="A1122" s="8" t="s">
        <v>2463</v>
      </c>
      <c r="B1122" s="8" t="s">
        <v>2829</v>
      </c>
      <c r="C1122" s="9">
        <v>45770.654378969899</v>
      </c>
      <c r="D1122" s="8" t="s">
        <v>2056</v>
      </c>
      <c r="E1122" s="8" t="s">
        <v>2057</v>
      </c>
      <c r="F1122" s="8">
        <v>9</v>
      </c>
      <c r="G1122" s="22" t="s">
        <v>950</v>
      </c>
      <c r="H1122" s="8" t="s">
        <v>950</v>
      </c>
      <c r="I1122" s="2" t="str">
        <f t="shared" si="33"/>
        <v>Ba chạc ren trong PPR DN 32-1</v>
      </c>
      <c r="J1122" s="8" t="s">
        <v>15</v>
      </c>
      <c r="K1122" s="10">
        <v>4</v>
      </c>
      <c r="L1122" s="10">
        <v>78500</v>
      </c>
      <c r="M1122" s="11">
        <v>314000</v>
      </c>
      <c r="N1122" s="8" t="s">
        <v>16</v>
      </c>
      <c r="O1122" s="8" t="s">
        <v>17</v>
      </c>
      <c r="P1122" s="8" t="s">
        <v>18</v>
      </c>
      <c r="Q1122" s="8" t="s">
        <v>18</v>
      </c>
      <c r="R1122" s="8" t="s">
        <v>2115</v>
      </c>
      <c r="S1122" s="8" t="s">
        <v>2465</v>
      </c>
      <c r="T1122" s="8" t="s">
        <v>2466</v>
      </c>
      <c r="U1122" s="8" t="s">
        <v>2702</v>
      </c>
      <c r="V1122" s="8" t="s">
        <v>944</v>
      </c>
      <c r="W1122" s="8">
        <f t="shared" si="34"/>
        <v>2</v>
      </c>
      <c r="X1122" s="8">
        <f>K1122*L1122*N1122</f>
        <v>25120</v>
      </c>
    </row>
    <row r="1123" spans="1:24" s="8" customFormat="1" ht="41.5" customHeight="1">
      <c r="A1123" s="8" t="s">
        <v>2463</v>
      </c>
      <c r="B1123" s="8" t="s">
        <v>2829</v>
      </c>
      <c r="C1123" s="9">
        <v>45770.654378969899</v>
      </c>
      <c r="D1123" s="8" t="s">
        <v>2056</v>
      </c>
      <c r="E1123" s="8" t="s">
        <v>2057</v>
      </c>
      <c r="F1123" s="8">
        <v>10</v>
      </c>
      <c r="G1123" s="22" t="s">
        <v>951</v>
      </c>
      <c r="H1123" s="8" t="s">
        <v>951</v>
      </c>
      <c r="I1123" s="2" t="str">
        <f t="shared" si="33"/>
        <v>Nối góc 90 độ phun PPR DN 32 PN20</v>
      </c>
      <c r="J1123" s="8" t="s">
        <v>15</v>
      </c>
      <c r="K1123" s="10">
        <v>4</v>
      </c>
      <c r="L1123" s="10">
        <v>4682.68</v>
      </c>
      <c r="M1123" s="11">
        <v>18731</v>
      </c>
      <c r="N1123" s="8" t="s">
        <v>16</v>
      </c>
      <c r="O1123" s="8" t="s">
        <v>17</v>
      </c>
      <c r="P1123" s="8" t="s">
        <v>18</v>
      </c>
      <c r="Q1123" s="8" t="s">
        <v>18</v>
      </c>
      <c r="R1123" s="8" t="s">
        <v>2115</v>
      </c>
      <c r="S1123" s="8" t="s">
        <v>2465</v>
      </c>
      <c r="T1123" s="8" t="s">
        <v>2466</v>
      </c>
      <c r="U1123" s="8" t="s">
        <v>2702</v>
      </c>
      <c r="V1123" s="8" t="s">
        <v>944</v>
      </c>
      <c r="W1123" s="8">
        <f t="shared" si="34"/>
        <v>2</v>
      </c>
      <c r="X1123" s="8">
        <f>K1123*L1123*N1123</f>
        <v>1498.4576000000002</v>
      </c>
    </row>
    <row r="1124" spans="1:24" s="8" customFormat="1" ht="41.5" customHeight="1">
      <c r="A1124" s="8" t="s">
        <v>2463</v>
      </c>
      <c r="B1124" s="8" t="s">
        <v>2829</v>
      </c>
      <c r="C1124" s="9">
        <v>45770.654378969899</v>
      </c>
      <c r="D1124" s="8" t="s">
        <v>2056</v>
      </c>
      <c r="E1124" s="8" t="s">
        <v>2057</v>
      </c>
      <c r="F1124" s="8">
        <v>11</v>
      </c>
      <c r="G1124" s="22" t="s">
        <v>952</v>
      </c>
      <c r="H1124" s="8" t="s">
        <v>952</v>
      </c>
      <c r="I1124" s="2" t="str">
        <f t="shared" si="33"/>
        <v>Nối góc 90 độ phun PPR DN 25 PN20</v>
      </c>
      <c r="J1124" s="8" t="s">
        <v>15</v>
      </c>
      <c r="K1124" s="10">
        <v>35</v>
      </c>
      <c r="L1124" s="10">
        <v>2860</v>
      </c>
      <c r="M1124" s="11">
        <v>100100</v>
      </c>
      <c r="N1124" s="8" t="s">
        <v>16</v>
      </c>
      <c r="O1124" s="8" t="s">
        <v>17</v>
      </c>
      <c r="P1124" s="8" t="s">
        <v>18</v>
      </c>
      <c r="Q1124" s="8" t="s">
        <v>18</v>
      </c>
      <c r="R1124" s="8" t="s">
        <v>2115</v>
      </c>
      <c r="S1124" s="8" t="s">
        <v>2465</v>
      </c>
      <c r="T1124" s="8" t="s">
        <v>2466</v>
      </c>
      <c r="U1124" s="8" t="s">
        <v>2702</v>
      </c>
      <c r="V1124" s="8" t="s">
        <v>944</v>
      </c>
      <c r="W1124" s="8">
        <f t="shared" si="34"/>
        <v>2</v>
      </c>
      <c r="X1124" s="8">
        <f>K1124*L1124*N1124</f>
        <v>8008</v>
      </c>
    </row>
    <row r="1125" spans="1:24" s="8" customFormat="1" ht="41.5" customHeight="1">
      <c r="A1125" s="8" t="s">
        <v>2463</v>
      </c>
      <c r="B1125" s="8" t="s">
        <v>2829</v>
      </c>
      <c r="C1125" s="9">
        <v>45770.654378969899</v>
      </c>
      <c r="D1125" s="8" t="s">
        <v>2056</v>
      </c>
      <c r="E1125" s="8" t="s">
        <v>2057</v>
      </c>
      <c r="F1125" s="8">
        <v>12</v>
      </c>
      <c r="G1125" s="22" t="s">
        <v>2831</v>
      </c>
      <c r="H1125" s="8" t="s">
        <v>953</v>
      </c>
      <c r="I1125" s="2" t="str">
        <f t="shared" si="33"/>
        <v>Nối góc ren trong phun PPR DN20*1/2 PN20</v>
      </c>
      <c r="J1125" s="8" t="s">
        <v>15</v>
      </c>
      <c r="K1125" s="10">
        <v>46</v>
      </c>
      <c r="L1125" s="10">
        <v>14575.56</v>
      </c>
      <c r="M1125" s="11">
        <v>670476</v>
      </c>
      <c r="N1125" s="8" t="s">
        <v>16</v>
      </c>
      <c r="O1125" s="8" t="s">
        <v>17</v>
      </c>
      <c r="P1125" s="8" t="s">
        <v>18</v>
      </c>
      <c r="Q1125" s="8" t="s">
        <v>18</v>
      </c>
      <c r="R1125" s="8" t="s">
        <v>2115</v>
      </c>
      <c r="S1125" s="8" t="s">
        <v>2465</v>
      </c>
      <c r="T1125" s="8" t="s">
        <v>2466</v>
      </c>
      <c r="U1125" s="8" t="s">
        <v>2702</v>
      </c>
      <c r="V1125" s="8" t="s">
        <v>944</v>
      </c>
      <c r="W1125" s="8">
        <f t="shared" si="34"/>
        <v>2</v>
      </c>
      <c r="X1125" s="8">
        <f>K1125*L1125*N1125</f>
        <v>53638.060799999999</v>
      </c>
    </row>
    <row r="1126" spans="1:24" s="8" customFormat="1" ht="41.5" customHeight="1">
      <c r="A1126" s="8" t="s">
        <v>2463</v>
      </c>
      <c r="B1126" s="8" t="s">
        <v>2829</v>
      </c>
      <c r="C1126" s="9">
        <v>45770.654378969899</v>
      </c>
      <c r="D1126" s="8" t="s">
        <v>2056</v>
      </c>
      <c r="E1126" s="8" t="s">
        <v>2057</v>
      </c>
      <c r="F1126" s="8">
        <v>13</v>
      </c>
      <c r="G1126" s="22" t="s">
        <v>2832</v>
      </c>
      <c r="H1126" s="8" t="s">
        <v>954</v>
      </c>
      <c r="I1126" s="2" t="str">
        <f t="shared" si="33"/>
        <v>Nối thẳng CB phun PPR DN 32-25 PN20</v>
      </c>
      <c r="J1126" s="8" t="s">
        <v>15</v>
      </c>
      <c r="K1126" s="10">
        <v>1</v>
      </c>
      <c r="L1126" s="10">
        <v>2341.34</v>
      </c>
      <c r="M1126" s="11">
        <v>2341</v>
      </c>
      <c r="N1126" s="8" t="s">
        <v>16</v>
      </c>
      <c r="O1126" s="8" t="s">
        <v>17</v>
      </c>
      <c r="P1126" s="8" t="s">
        <v>18</v>
      </c>
      <c r="Q1126" s="8" t="s">
        <v>18</v>
      </c>
      <c r="R1126" s="8" t="s">
        <v>2115</v>
      </c>
      <c r="S1126" s="8" t="s">
        <v>2465</v>
      </c>
      <c r="T1126" s="8" t="s">
        <v>2466</v>
      </c>
      <c r="U1126" s="8" t="s">
        <v>2702</v>
      </c>
      <c r="V1126" s="8" t="s">
        <v>944</v>
      </c>
      <c r="W1126" s="8">
        <f t="shared" si="34"/>
        <v>2</v>
      </c>
      <c r="X1126" s="8">
        <f>K1126*L1126*N1126</f>
        <v>187.30720000000002</v>
      </c>
    </row>
    <row r="1127" spans="1:24" s="8" customFormat="1" ht="41.5" customHeight="1">
      <c r="A1127" s="8" t="s">
        <v>2463</v>
      </c>
      <c r="B1127" s="8" t="s">
        <v>2829</v>
      </c>
      <c r="C1127" s="9">
        <v>45770.654378969899</v>
      </c>
      <c r="D1127" s="8" t="s">
        <v>2056</v>
      </c>
      <c r="E1127" s="8" t="s">
        <v>2057</v>
      </c>
      <c r="F1127" s="8">
        <v>14</v>
      </c>
      <c r="G1127" s="22" t="s">
        <v>2833</v>
      </c>
      <c r="H1127" s="8" t="s">
        <v>955</v>
      </c>
      <c r="I1127" s="2" t="str">
        <f t="shared" si="33"/>
        <v>Nối thẳng phun PPR DN 32 PN20</v>
      </c>
      <c r="J1127" s="8" t="s">
        <v>15</v>
      </c>
      <c r="K1127" s="10">
        <v>3</v>
      </c>
      <c r="L1127" s="10">
        <v>2769.77</v>
      </c>
      <c r="M1127" s="11">
        <v>8309</v>
      </c>
      <c r="N1127" s="8" t="s">
        <v>16</v>
      </c>
      <c r="O1127" s="8" t="s">
        <v>17</v>
      </c>
      <c r="P1127" s="8" t="s">
        <v>18</v>
      </c>
      <c r="Q1127" s="8" t="s">
        <v>18</v>
      </c>
      <c r="R1127" s="8" t="s">
        <v>2115</v>
      </c>
      <c r="S1127" s="8" t="s">
        <v>2465</v>
      </c>
      <c r="T1127" s="8" t="s">
        <v>2466</v>
      </c>
      <c r="U1127" s="8" t="s">
        <v>2702</v>
      </c>
      <c r="V1127" s="8" t="s">
        <v>944</v>
      </c>
      <c r="W1127" s="8">
        <f t="shared" si="34"/>
        <v>2</v>
      </c>
      <c r="X1127" s="8">
        <f>K1127*L1127*N1127</f>
        <v>664.74479999999994</v>
      </c>
    </row>
    <row r="1128" spans="1:24" s="8" customFormat="1" ht="41.5" customHeight="1">
      <c r="A1128" s="8" t="s">
        <v>2463</v>
      </c>
      <c r="B1128" s="8" t="s">
        <v>2829</v>
      </c>
      <c r="C1128" s="9">
        <v>45770.654378969899</v>
      </c>
      <c r="D1128" s="8" t="s">
        <v>2056</v>
      </c>
      <c r="E1128" s="8" t="s">
        <v>2057</v>
      </c>
      <c r="F1128" s="8">
        <v>15</v>
      </c>
      <c r="G1128" s="22" t="s">
        <v>1606</v>
      </c>
      <c r="H1128" s="8" t="s">
        <v>956</v>
      </c>
      <c r="I1128" s="2" t="str">
        <f t="shared" si="33"/>
        <v>Nối thẳng phun PPR DN 25 PN20</v>
      </c>
      <c r="J1128" s="8" t="s">
        <v>15</v>
      </c>
      <c r="K1128" s="10">
        <v>20</v>
      </c>
      <c r="L1128" s="10">
        <v>1780.78</v>
      </c>
      <c r="M1128" s="11">
        <v>35616</v>
      </c>
      <c r="N1128" s="8" t="s">
        <v>16</v>
      </c>
      <c r="O1128" s="8" t="s">
        <v>17</v>
      </c>
      <c r="P1128" s="8" t="s">
        <v>18</v>
      </c>
      <c r="Q1128" s="8" t="s">
        <v>18</v>
      </c>
      <c r="R1128" s="8" t="s">
        <v>2115</v>
      </c>
      <c r="S1128" s="8" t="s">
        <v>2465</v>
      </c>
      <c r="T1128" s="8" t="s">
        <v>2466</v>
      </c>
      <c r="U1128" s="8" t="s">
        <v>2702</v>
      </c>
      <c r="V1128" s="8" t="s">
        <v>944</v>
      </c>
      <c r="W1128" s="8">
        <f t="shared" si="34"/>
        <v>2</v>
      </c>
      <c r="X1128" s="8">
        <f>K1128*L1128*N1128</f>
        <v>2849.248</v>
      </c>
    </row>
    <row r="1129" spans="1:24" s="8" customFormat="1" ht="41.5" customHeight="1">
      <c r="A1129" s="8" t="s">
        <v>2463</v>
      </c>
      <c r="B1129" s="8" t="s">
        <v>2829</v>
      </c>
      <c r="C1129" s="9">
        <v>45770.654378969899</v>
      </c>
      <c r="D1129" s="8" t="s">
        <v>2056</v>
      </c>
      <c r="E1129" s="8" t="s">
        <v>2057</v>
      </c>
      <c r="F1129" s="8">
        <v>16</v>
      </c>
      <c r="G1129" s="22" t="s">
        <v>957</v>
      </c>
      <c r="H1129" s="8" t="s">
        <v>957</v>
      </c>
      <c r="I1129" s="2" t="str">
        <f t="shared" si="33"/>
        <v>Đầu bịt phun PPR DN 25 PN20</v>
      </c>
      <c r="J1129" s="8" t="s">
        <v>15</v>
      </c>
      <c r="K1129" s="10">
        <v>30</v>
      </c>
      <c r="L1129" s="10">
        <v>1714.71</v>
      </c>
      <c r="M1129" s="11">
        <v>51441</v>
      </c>
      <c r="N1129" s="8" t="s">
        <v>16</v>
      </c>
      <c r="O1129" s="8" t="s">
        <v>17</v>
      </c>
      <c r="P1129" s="8" t="s">
        <v>18</v>
      </c>
      <c r="Q1129" s="8" t="s">
        <v>18</v>
      </c>
      <c r="R1129" s="8" t="s">
        <v>2115</v>
      </c>
      <c r="S1129" s="8" t="s">
        <v>2465</v>
      </c>
      <c r="T1129" s="8" t="s">
        <v>2466</v>
      </c>
      <c r="U1129" s="8" t="s">
        <v>2702</v>
      </c>
      <c r="V1129" s="8" t="s">
        <v>944</v>
      </c>
      <c r="W1129" s="8">
        <f t="shared" si="34"/>
        <v>2</v>
      </c>
      <c r="X1129" s="8">
        <f>K1129*L1129*N1129</f>
        <v>4115.3040000000001</v>
      </c>
    </row>
    <row r="1130" spans="1:24" s="8" customFormat="1" ht="41.5" customHeight="1">
      <c r="A1130" s="8" t="s">
        <v>2463</v>
      </c>
      <c r="B1130" s="8" t="s">
        <v>2829</v>
      </c>
      <c r="C1130" s="9">
        <v>45770.654378969899</v>
      </c>
      <c r="D1130" s="8" t="s">
        <v>2056</v>
      </c>
      <c r="E1130" s="8" t="s">
        <v>2057</v>
      </c>
      <c r="F1130" s="8">
        <v>17</v>
      </c>
      <c r="G1130" s="22" t="s">
        <v>958</v>
      </c>
      <c r="H1130" s="8" t="s">
        <v>958</v>
      </c>
      <c r="I1130" s="2" t="str">
        <f t="shared" si="33"/>
        <v>Van chặn PPR DN 32-1</v>
      </c>
      <c r="J1130" s="8" t="s">
        <v>15</v>
      </c>
      <c r="K1130" s="10">
        <v>1</v>
      </c>
      <c r="L1130" s="10">
        <v>81986.91</v>
      </c>
      <c r="M1130" s="11">
        <v>81987</v>
      </c>
      <c r="N1130" s="8" t="s">
        <v>16</v>
      </c>
      <c r="O1130" s="8" t="s">
        <v>17</v>
      </c>
      <c r="P1130" s="8" t="s">
        <v>18</v>
      </c>
      <c r="Q1130" s="8" t="s">
        <v>18</v>
      </c>
      <c r="R1130" s="8" t="s">
        <v>2115</v>
      </c>
      <c r="S1130" s="8" t="s">
        <v>2465</v>
      </c>
      <c r="T1130" s="8" t="s">
        <v>2466</v>
      </c>
      <c r="U1130" s="8" t="s">
        <v>2702</v>
      </c>
      <c r="V1130" s="8" t="s">
        <v>944</v>
      </c>
      <c r="W1130" s="8">
        <f t="shared" si="34"/>
        <v>2</v>
      </c>
      <c r="X1130" s="8">
        <f>K1130*L1130*N1130</f>
        <v>6558.9528</v>
      </c>
    </row>
    <row r="1131" spans="1:24" s="8" customFormat="1" ht="41.5" customHeight="1">
      <c r="A1131" s="8" t="s">
        <v>2463</v>
      </c>
      <c r="B1131" s="8" t="s">
        <v>2829</v>
      </c>
      <c r="C1131" s="9">
        <v>45770.654378969899</v>
      </c>
      <c r="D1131" s="8" t="s">
        <v>2056</v>
      </c>
      <c r="E1131" s="8" t="s">
        <v>2057</v>
      </c>
      <c r="F1131" s="8">
        <v>18</v>
      </c>
      <c r="G1131" s="22" t="s">
        <v>959</v>
      </c>
      <c r="H1131" s="8" t="s">
        <v>959</v>
      </c>
      <c r="I1131" s="2" t="str">
        <f t="shared" si="33"/>
        <v>Van chặn PPR DN 25</v>
      </c>
      <c r="J1131" s="8" t="s">
        <v>15</v>
      </c>
      <c r="K1131" s="10">
        <v>6</v>
      </c>
      <c r="L1131" s="10">
        <v>69611.539999999994</v>
      </c>
      <c r="M1131" s="11">
        <v>417669</v>
      </c>
      <c r="N1131" s="8" t="s">
        <v>16</v>
      </c>
      <c r="O1131" s="8" t="s">
        <v>17</v>
      </c>
      <c r="P1131" s="8" t="s">
        <v>18</v>
      </c>
      <c r="Q1131" s="8" t="s">
        <v>18</v>
      </c>
      <c r="R1131" s="8" t="s">
        <v>2115</v>
      </c>
      <c r="S1131" s="8" t="s">
        <v>2465</v>
      </c>
      <c r="T1131" s="8" t="s">
        <v>2466</v>
      </c>
      <c r="U1131" s="8" t="s">
        <v>2702</v>
      </c>
      <c r="V1131" s="8" t="s">
        <v>944</v>
      </c>
      <c r="W1131" s="8">
        <f t="shared" si="34"/>
        <v>2</v>
      </c>
      <c r="X1131" s="8">
        <f>K1131*L1131*N1131</f>
        <v>33413.539199999999</v>
      </c>
    </row>
    <row r="1132" spans="1:24" s="8" customFormat="1" ht="41.5" customHeight="1">
      <c r="A1132" s="8" t="s">
        <v>2463</v>
      </c>
      <c r="B1132" s="8" t="s">
        <v>2829</v>
      </c>
      <c r="C1132" s="9">
        <v>45770.654378969899</v>
      </c>
      <c r="D1132" s="8" t="s">
        <v>2056</v>
      </c>
      <c r="E1132" s="8" t="s">
        <v>2057</v>
      </c>
      <c r="F1132" s="8">
        <v>19</v>
      </c>
      <c r="G1132" s="22" t="s">
        <v>2834</v>
      </c>
      <c r="H1132" s="8" t="s">
        <v>960</v>
      </c>
      <c r="I1132" s="2" t="str">
        <f t="shared" si="33"/>
        <v>Zắc co PPR đk 32 PN10</v>
      </c>
      <c r="J1132" s="8" t="s">
        <v>15</v>
      </c>
      <c r="K1132" s="10">
        <v>2</v>
      </c>
      <c r="L1132" s="10">
        <v>27765.74</v>
      </c>
      <c r="M1132" s="11">
        <v>55531</v>
      </c>
      <c r="N1132" s="8" t="s">
        <v>16</v>
      </c>
      <c r="O1132" s="8" t="s">
        <v>17</v>
      </c>
      <c r="P1132" s="8" t="s">
        <v>18</v>
      </c>
      <c r="Q1132" s="8" t="s">
        <v>18</v>
      </c>
      <c r="R1132" s="8" t="s">
        <v>2115</v>
      </c>
      <c r="S1132" s="8" t="s">
        <v>2465</v>
      </c>
      <c r="T1132" s="8" t="s">
        <v>2466</v>
      </c>
      <c r="U1132" s="8" t="s">
        <v>2702</v>
      </c>
      <c r="V1132" s="8" t="s">
        <v>944</v>
      </c>
      <c r="W1132" s="8">
        <f t="shared" si="34"/>
        <v>2</v>
      </c>
      <c r="X1132" s="8">
        <f>K1132*L1132*N1132</f>
        <v>4442.5183999999999</v>
      </c>
    </row>
    <row r="1133" spans="1:24" s="8" customFormat="1" ht="41.5" customHeight="1">
      <c r="A1133" s="8" t="s">
        <v>2463</v>
      </c>
      <c r="B1133" s="8" t="s">
        <v>2829</v>
      </c>
      <c r="C1133" s="9">
        <v>45770.654378969899</v>
      </c>
      <c r="D1133" s="8" t="s">
        <v>2056</v>
      </c>
      <c r="E1133" s="8" t="s">
        <v>2057</v>
      </c>
      <c r="F1133" s="8">
        <v>20</v>
      </c>
      <c r="G1133" s="22" t="s">
        <v>1784</v>
      </c>
      <c r="H1133" s="8" t="s">
        <v>961</v>
      </c>
      <c r="I1133" s="2" t="str">
        <f t="shared" si="33"/>
        <v>Zắc co PPR DN25</v>
      </c>
      <c r="J1133" s="8" t="s">
        <v>15</v>
      </c>
      <c r="K1133" s="10">
        <v>4</v>
      </c>
      <c r="L1133" s="10">
        <v>19291.27</v>
      </c>
      <c r="M1133" s="11">
        <v>77165</v>
      </c>
      <c r="N1133" s="8" t="s">
        <v>16</v>
      </c>
      <c r="O1133" s="8" t="s">
        <v>17</v>
      </c>
      <c r="P1133" s="8" t="s">
        <v>18</v>
      </c>
      <c r="Q1133" s="8" t="s">
        <v>18</v>
      </c>
      <c r="R1133" s="8" t="s">
        <v>2115</v>
      </c>
      <c r="S1133" s="8" t="s">
        <v>2465</v>
      </c>
      <c r="T1133" s="8" t="s">
        <v>2466</v>
      </c>
      <c r="U1133" s="8" t="s">
        <v>2702</v>
      </c>
      <c r="V1133" s="8" t="s">
        <v>944</v>
      </c>
      <c r="W1133" s="8">
        <f t="shared" si="34"/>
        <v>2</v>
      </c>
      <c r="X1133" s="8">
        <f>K1133*L1133*N1133</f>
        <v>6173.2064</v>
      </c>
    </row>
    <row r="1134" spans="1:24" s="8" customFormat="1" ht="41.5" customHeight="1">
      <c r="A1134" s="8" t="s">
        <v>2463</v>
      </c>
      <c r="B1134" s="8" t="s">
        <v>2829</v>
      </c>
      <c r="C1134" s="9">
        <v>45770.654378969899</v>
      </c>
      <c r="D1134" s="8" t="s">
        <v>2056</v>
      </c>
      <c r="E1134" s="8" t="s">
        <v>2057</v>
      </c>
      <c r="F1134" s="8">
        <v>21</v>
      </c>
      <c r="G1134" s="22" t="s">
        <v>2835</v>
      </c>
      <c r="H1134" s="8" t="s">
        <v>962</v>
      </c>
      <c r="I1134" s="2" t="str">
        <f t="shared" si="33"/>
        <v>Óng PVCĐK 110 C1</v>
      </c>
      <c r="J1134" s="8" t="s">
        <v>47</v>
      </c>
      <c r="K1134" s="10">
        <v>25</v>
      </c>
      <c r="L1134" s="10">
        <v>63712.65</v>
      </c>
      <c r="M1134" s="11">
        <v>1592816</v>
      </c>
      <c r="N1134" s="8" t="s">
        <v>16</v>
      </c>
      <c r="O1134" s="8" t="s">
        <v>17</v>
      </c>
      <c r="P1134" s="8" t="s">
        <v>18</v>
      </c>
      <c r="Q1134" s="8" t="s">
        <v>18</v>
      </c>
      <c r="R1134" s="8" t="s">
        <v>2115</v>
      </c>
      <c r="S1134" s="8" t="s">
        <v>2465</v>
      </c>
      <c r="T1134" s="8" t="s">
        <v>2466</v>
      </c>
      <c r="U1134" s="8" t="s">
        <v>2702</v>
      </c>
      <c r="V1134" s="8" t="s">
        <v>944</v>
      </c>
      <c r="W1134" s="8">
        <f t="shared" si="34"/>
        <v>2</v>
      </c>
      <c r="X1134" s="8">
        <f>K1134*L1134*N1134</f>
        <v>127425.3</v>
      </c>
    </row>
    <row r="1135" spans="1:24" s="8" customFormat="1" ht="41.5" customHeight="1">
      <c r="A1135" s="8" t="s">
        <v>2463</v>
      </c>
      <c r="B1135" s="8" t="s">
        <v>2829</v>
      </c>
      <c r="C1135" s="9">
        <v>45770.654378969899</v>
      </c>
      <c r="D1135" s="8" t="s">
        <v>2056</v>
      </c>
      <c r="E1135" s="8" t="s">
        <v>2057</v>
      </c>
      <c r="F1135" s="8">
        <v>22</v>
      </c>
      <c r="G1135" s="22" t="s">
        <v>2836</v>
      </c>
      <c r="H1135" s="8" t="s">
        <v>963</v>
      </c>
      <c r="I1135" s="2" t="str">
        <f t="shared" si="33"/>
        <v>Ống PVCĐK 90 C1</v>
      </c>
      <c r="J1135" s="8" t="s">
        <v>47</v>
      </c>
      <c r="K1135" s="10">
        <v>40</v>
      </c>
      <c r="L1135" s="10">
        <v>42800.76</v>
      </c>
      <c r="M1135" s="11">
        <v>1712030</v>
      </c>
      <c r="N1135" s="8" t="s">
        <v>16</v>
      </c>
      <c r="O1135" s="8" t="s">
        <v>17</v>
      </c>
      <c r="P1135" s="8" t="s">
        <v>18</v>
      </c>
      <c r="Q1135" s="8" t="s">
        <v>18</v>
      </c>
      <c r="R1135" s="8" t="s">
        <v>2115</v>
      </c>
      <c r="S1135" s="8" t="s">
        <v>2465</v>
      </c>
      <c r="T1135" s="8" t="s">
        <v>2466</v>
      </c>
      <c r="U1135" s="8" t="s">
        <v>2702</v>
      </c>
      <c r="V1135" s="8" t="s">
        <v>944</v>
      </c>
      <c r="W1135" s="8">
        <f t="shared" si="34"/>
        <v>2</v>
      </c>
      <c r="X1135" s="8">
        <f>K1135*L1135*N1135</f>
        <v>136962.432</v>
      </c>
    </row>
    <row r="1136" spans="1:24" s="8" customFormat="1" ht="41.5" customHeight="1">
      <c r="A1136" s="8" t="s">
        <v>2463</v>
      </c>
      <c r="B1136" s="8" t="s">
        <v>2829</v>
      </c>
      <c r="C1136" s="9">
        <v>45770.654378969899</v>
      </c>
      <c r="D1136" s="8" t="s">
        <v>2056</v>
      </c>
      <c r="E1136" s="8" t="s">
        <v>2057</v>
      </c>
      <c r="F1136" s="8">
        <v>23</v>
      </c>
      <c r="G1136" s="22" t="s">
        <v>2837</v>
      </c>
      <c r="H1136" s="8" t="s">
        <v>964</v>
      </c>
      <c r="I1136" s="2" t="str">
        <f t="shared" si="33"/>
        <v>Ống uPVC C1 đk 75 PN6</v>
      </c>
      <c r="J1136" s="8" t="s">
        <v>47</v>
      </c>
      <c r="K1136" s="10">
        <v>28</v>
      </c>
      <c r="L1136" s="10">
        <v>34663.629999999997</v>
      </c>
      <c r="M1136" s="11">
        <v>970582</v>
      </c>
      <c r="N1136" s="8" t="s">
        <v>16</v>
      </c>
      <c r="O1136" s="8" t="s">
        <v>17</v>
      </c>
      <c r="P1136" s="8" t="s">
        <v>18</v>
      </c>
      <c r="Q1136" s="8" t="s">
        <v>18</v>
      </c>
      <c r="R1136" s="8" t="s">
        <v>2115</v>
      </c>
      <c r="S1136" s="8" t="s">
        <v>2465</v>
      </c>
      <c r="T1136" s="8" t="s">
        <v>2466</v>
      </c>
      <c r="U1136" s="8" t="s">
        <v>2702</v>
      </c>
      <c r="V1136" s="8" t="s">
        <v>944</v>
      </c>
      <c r="W1136" s="8">
        <f t="shared" si="34"/>
        <v>2</v>
      </c>
      <c r="X1136" s="8">
        <f>K1136*L1136*N1136</f>
        <v>77646.531199999998</v>
      </c>
    </row>
    <row r="1137" spans="1:24" s="8" customFormat="1" ht="41.5" customHeight="1">
      <c r="A1137" s="8" t="s">
        <v>2463</v>
      </c>
      <c r="B1137" s="8" t="s">
        <v>2829</v>
      </c>
      <c r="C1137" s="9">
        <v>45770.654378969899</v>
      </c>
      <c r="D1137" s="8" t="s">
        <v>2056</v>
      </c>
      <c r="E1137" s="8" t="s">
        <v>2057</v>
      </c>
      <c r="F1137" s="8">
        <v>24</v>
      </c>
      <c r="G1137" s="22" t="s">
        <v>2838</v>
      </c>
      <c r="H1137" s="8" t="s">
        <v>965</v>
      </c>
      <c r="I1137" s="2" t="str">
        <f t="shared" si="33"/>
        <v>Ống PVCĐK 48 C1</v>
      </c>
      <c r="J1137" s="8" t="s">
        <v>47</v>
      </c>
      <c r="K1137" s="10">
        <v>20</v>
      </c>
      <c r="L1137" s="10">
        <v>19284.27</v>
      </c>
      <c r="M1137" s="11">
        <v>385685</v>
      </c>
      <c r="N1137" s="8" t="s">
        <v>16</v>
      </c>
      <c r="O1137" s="8" t="s">
        <v>17</v>
      </c>
      <c r="P1137" s="8" t="s">
        <v>18</v>
      </c>
      <c r="Q1137" s="8" t="s">
        <v>18</v>
      </c>
      <c r="R1137" s="8" t="s">
        <v>2115</v>
      </c>
      <c r="S1137" s="8" t="s">
        <v>2465</v>
      </c>
      <c r="T1137" s="8" t="s">
        <v>2466</v>
      </c>
      <c r="U1137" s="8" t="s">
        <v>2702</v>
      </c>
      <c r="V1137" s="8" t="s">
        <v>944</v>
      </c>
      <c r="W1137" s="8">
        <f t="shared" si="34"/>
        <v>2</v>
      </c>
      <c r="X1137" s="8">
        <f>K1137*L1137*N1137</f>
        <v>30854.832000000002</v>
      </c>
    </row>
    <row r="1138" spans="1:24" s="8" customFormat="1" ht="41.5" customHeight="1">
      <c r="A1138" s="8" t="s">
        <v>2463</v>
      </c>
      <c r="B1138" s="8" t="s">
        <v>2829</v>
      </c>
      <c r="C1138" s="9">
        <v>45770.654378969899</v>
      </c>
      <c r="D1138" s="8" t="s">
        <v>2056</v>
      </c>
      <c r="E1138" s="8" t="s">
        <v>2057</v>
      </c>
      <c r="F1138" s="8">
        <v>25</v>
      </c>
      <c r="G1138" s="22" t="s">
        <v>2839</v>
      </c>
      <c r="H1138" s="8" t="s">
        <v>966</v>
      </c>
      <c r="I1138" s="2" t="str">
        <f t="shared" si="33"/>
        <v>Ống PVC ĐK 42 C1</v>
      </c>
      <c r="J1138" s="8" t="s">
        <v>47</v>
      </c>
      <c r="K1138" s="10">
        <v>12</v>
      </c>
      <c r="L1138" s="10">
        <v>16193.18</v>
      </c>
      <c r="M1138" s="11">
        <v>194318</v>
      </c>
      <c r="N1138" s="8" t="s">
        <v>16</v>
      </c>
      <c r="O1138" s="8" t="s">
        <v>17</v>
      </c>
      <c r="P1138" s="8" t="s">
        <v>18</v>
      </c>
      <c r="Q1138" s="8" t="s">
        <v>18</v>
      </c>
      <c r="R1138" s="8" t="s">
        <v>2115</v>
      </c>
      <c r="S1138" s="8" t="s">
        <v>2465</v>
      </c>
      <c r="T1138" s="8" t="s">
        <v>2466</v>
      </c>
      <c r="U1138" s="8" t="s">
        <v>2702</v>
      </c>
      <c r="V1138" s="8" t="s">
        <v>944</v>
      </c>
      <c r="W1138" s="8">
        <f t="shared" si="34"/>
        <v>2</v>
      </c>
      <c r="X1138" s="8">
        <f>K1138*L1138*N1138</f>
        <v>15545.452800000001</v>
      </c>
    </row>
    <row r="1139" spans="1:24" s="8" customFormat="1" ht="41.5" customHeight="1">
      <c r="A1139" s="8" t="s">
        <v>2463</v>
      </c>
      <c r="B1139" s="8" t="s">
        <v>2829</v>
      </c>
      <c r="C1139" s="9">
        <v>45770.654378969899</v>
      </c>
      <c r="D1139" s="8" t="s">
        <v>2056</v>
      </c>
      <c r="E1139" s="8" t="s">
        <v>2057</v>
      </c>
      <c r="F1139" s="8">
        <v>26</v>
      </c>
      <c r="G1139" s="22" t="s">
        <v>967</v>
      </c>
      <c r="H1139" s="8" t="s">
        <v>967</v>
      </c>
      <c r="I1139" s="2" t="str">
        <f t="shared" si="33"/>
        <v>Ba chạc 90 độ phun uPVC đk 110 PN6</v>
      </c>
      <c r="J1139" s="8" t="s">
        <v>15</v>
      </c>
      <c r="K1139" s="10">
        <v>3</v>
      </c>
      <c r="L1139" s="10">
        <v>51182.13</v>
      </c>
      <c r="M1139" s="11">
        <v>153546</v>
      </c>
      <c r="N1139" s="8" t="s">
        <v>16</v>
      </c>
      <c r="O1139" s="8" t="s">
        <v>17</v>
      </c>
      <c r="P1139" s="8" t="s">
        <v>18</v>
      </c>
      <c r="Q1139" s="8" t="s">
        <v>18</v>
      </c>
      <c r="R1139" s="8" t="s">
        <v>2115</v>
      </c>
      <c r="S1139" s="8" t="s">
        <v>2465</v>
      </c>
      <c r="T1139" s="8" t="s">
        <v>2466</v>
      </c>
      <c r="U1139" s="8" t="s">
        <v>2702</v>
      </c>
      <c r="V1139" s="8" t="s">
        <v>944</v>
      </c>
      <c r="W1139" s="8">
        <f t="shared" si="34"/>
        <v>2</v>
      </c>
      <c r="X1139" s="8">
        <f>K1139*L1139*N1139</f>
        <v>12283.7112</v>
      </c>
    </row>
    <row r="1140" spans="1:24" s="8" customFormat="1" ht="41.5" customHeight="1">
      <c r="A1140" s="8" t="s">
        <v>2463</v>
      </c>
      <c r="B1140" s="8" t="s">
        <v>2829</v>
      </c>
      <c r="C1140" s="9">
        <v>45770.654378969899</v>
      </c>
      <c r="D1140" s="8" t="s">
        <v>2056</v>
      </c>
      <c r="E1140" s="8" t="s">
        <v>2057</v>
      </c>
      <c r="F1140" s="8">
        <v>27</v>
      </c>
      <c r="G1140" s="27" t="s">
        <v>1602</v>
      </c>
      <c r="H1140" s="8" t="s">
        <v>968</v>
      </c>
      <c r="I1140" s="2" t="str">
        <f t="shared" si="33"/>
        <v>Ba chạc 90 độ fun uPVC đk 90 PN6</v>
      </c>
      <c r="J1140" s="8" t="s">
        <v>15</v>
      </c>
      <c r="K1140" s="10">
        <v>2</v>
      </c>
      <c r="L1140" s="10">
        <v>30854.59</v>
      </c>
      <c r="M1140" s="11">
        <v>61709</v>
      </c>
      <c r="N1140" s="8" t="s">
        <v>16</v>
      </c>
      <c r="O1140" s="8" t="s">
        <v>17</v>
      </c>
      <c r="P1140" s="8" t="s">
        <v>18</v>
      </c>
      <c r="Q1140" s="8" t="s">
        <v>18</v>
      </c>
      <c r="R1140" s="8" t="s">
        <v>2115</v>
      </c>
      <c r="S1140" s="8" t="s">
        <v>2465</v>
      </c>
      <c r="T1140" s="8" t="s">
        <v>2466</v>
      </c>
      <c r="U1140" s="8" t="s">
        <v>2702</v>
      </c>
      <c r="V1140" s="8" t="s">
        <v>944</v>
      </c>
      <c r="W1140" s="8">
        <f t="shared" si="34"/>
        <v>2</v>
      </c>
      <c r="X1140" s="8">
        <f>K1140*L1140*N1140</f>
        <v>4936.7344000000003</v>
      </c>
    </row>
    <row r="1141" spans="1:24" s="8" customFormat="1" ht="41.5" customHeight="1">
      <c r="A1141" s="8" t="s">
        <v>2463</v>
      </c>
      <c r="B1141" s="8" t="s">
        <v>2829</v>
      </c>
      <c r="C1141" s="9">
        <v>45770.654378969899</v>
      </c>
      <c r="D1141" s="8" t="s">
        <v>2056</v>
      </c>
      <c r="E1141" s="8" t="s">
        <v>2057</v>
      </c>
      <c r="F1141" s="8">
        <v>28</v>
      </c>
      <c r="G1141" s="22" t="s">
        <v>1570</v>
      </c>
      <c r="H1141" s="8" t="s">
        <v>969</v>
      </c>
      <c r="I1141" s="2" t="str">
        <f t="shared" si="33"/>
        <v>Ba chạc 90 độ fun uPVC đk 75 PN8</v>
      </c>
      <c r="J1141" s="8" t="s">
        <v>15</v>
      </c>
      <c r="K1141" s="10">
        <v>2</v>
      </c>
      <c r="L1141" s="10">
        <v>22371.65</v>
      </c>
      <c r="M1141" s="11">
        <v>44743</v>
      </c>
      <c r="N1141" s="8" t="s">
        <v>16</v>
      </c>
      <c r="O1141" s="8" t="s">
        <v>17</v>
      </c>
      <c r="P1141" s="8" t="s">
        <v>18</v>
      </c>
      <c r="Q1141" s="8" t="s">
        <v>18</v>
      </c>
      <c r="R1141" s="8" t="s">
        <v>2115</v>
      </c>
      <c r="S1141" s="8" t="s">
        <v>2465</v>
      </c>
      <c r="T1141" s="8" t="s">
        <v>2466</v>
      </c>
      <c r="U1141" s="8" t="s">
        <v>2702</v>
      </c>
      <c r="V1141" s="8" t="s">
        <v>944</v>
      </c>
      <c r="W1141" s="8">
        <f t="shared" si="34"/>
        <v>2</v>
      </c>
      <c r="X1141" s="8">
        <f>K1141*L1141*N1141</f>
        <v>3579.4640000000004</v>
      </c>
    </row>
    <row r="1142" spans="1:24" s="8" customFormat="1" ht="41.5" customHeight="1">
      <c r="A1142" s="8" t="s">
        <v>2463</v>
      </c>
      <c r="B1142" s="8" t="s">
        <v>2829</v>
      </c>
      <c r="C1142" s="9">
        <v>45770.654378969899</v>
      </c>
      <c r="D1142" s="8" t="s">
        <v>2056</v>
      </c>
      <c r="E1142" s="8" t="s">
        <v>2057</v>
      </c>
      <c r="F1142" s="8">
        <v>29</v>
      </c>
      <c r="G1142" s="27" t="s">
        <v>151</v>
      </c>
      <c r="H1142" s="8" t="s">
        <v>151</v>
      </c>
      <c r="I1142" s="2" t="str">
        <f t="shared" si="33"/>
        <v>Ba chạc 90 độ fun ĐK 48</v>
      </c>
      <c r="J1142" s="8" t="s">
        <v>15</v>
      </c>
      <c r="K1142" s="10">
        <v>3</v>
      </c>
      <c r="L1142" s="10">
        <v>8316.6</v>
      </c>
      <c r="M1142" s="11">
        <v>24950</v>
      </c>
      <c r="N1142" s="8" t="s">
        <v>16</v>
      </c>
      <c r="O1142" s="8" t="s">
        <v>17</v>
      </c>
      <c r="P1142" s="8" t="s">
        <v>18</v>
      </c>
      <c r="Q1142" s="8" t="s">
        <v>18</v>
      </c>
      <c r="R1142" s="8" t="s">
        <v>2115</v>
      </c>
      <c r="S1142" s="8" t="s">
        <v>2465</v>
      </c>
      <c r="T1142" s="8" t="s">
        <v>2466</v>
      </c>
      <c r="U1142" s="8" t="s">
        <v>2702</v>
      </c>
      <c r="V1142" s="8" t="s">
        <v>944</v>
      </c>
      <c r="W1142" s="8">
        <f t="shared" si="34"/>
        <v>2</v>
      </c>
      <c r="X1142" s="8">
        <f>K1142*L1142*N1142</f>
        <v>1995.9840000000004</v>
      </c>
    </row>
    <row r="1143" spans="1:24" s="8" customFormat="1" ht="41.5" customHeight="1">
      <c r="A1143" s="8" t="s">
        <v>2463</v>
      </c>
      <c r="B1143" s="8" t="s">
        <v>2829</v>
      </c>
      <c r="C1143" s="9">
        <v>45770.654378969899</v>
      </c>
      <c r="D1143" s="8" t="s">
        <v>2056</v>
      </c>
      <c r="E1143" s="8" t="s">
        <v>2057</v>
      </c>
      <c r="F1143" s="8">
        <v>30</v>
      </c>
      <c r="G1143" s="22" t="s">
        <v>970</v>
      </c>
      <c r="H1143" s="8" t="s">
        <v>970</v>
      </c>
      <c r="I1143" s="2" t="str">
        <f t="shared" si="33"/>
        <v>Nối góc 90 độ phun uPVC đk 110 PN6</v>
      </c>
      <c r="J1143" s="8" t="s">
        <v>15</v>
      </c>
      <c r="K1143" s="10">
        <v>6</v>
      </c>
      <c r="L1143" s="10">
        <v>38543.14</v>
      </c>
      <c r="M1143" s="11">
        <v>231259</v>
      </c>
      <c r="N1143" s="8" t="s">
        <v>16</v>
      </c>
      <c r="O1143" s="8" t="s">
        <v>17</v>
      </c>
      <c r="P1143" s="8" t="s">
        <v>18</v>
      </c>
      <c r="Q1143" s="8" t="s">
        <v>18</v>
      </c>
      <c r="R1143" s="8" t="s">
        <v>2115</v>
      </c>
      <c r="S1143" s="8" t="s">
        <v>2465</v>
      </c>
      <c r="T1143" s="8" t="s">
        <v>2466</v>
      </c>
      <c r="U1143" s="8" t="s">
        <v>2702</v>
      </c>
      <c r="V1143" s="8" t="s">
        <v>944</v>
      </c>
      <c r="W1143" s="8">
        <f t="shared" si="34"/>
        <v>2</v>
      </c>
      <c r="X1143" s="8">
        <f>K1143*L1143*N1143</f>
        <v>18500.707200000001</v>
      </c>
    </row>
    <row r="1144" spans="1:24" s="8" customFormat="1" ht="41.5" customHeight="1">
      <c r="A1144" s="8" t="s">
        <v>2463</v>
      </c>
      <c r="B1144" s="8" t="s">
        <v>2829</v>
      </c>
      <c r="C1144" s="9">
        <v>45770.654378969899</v>
      </c>
      <c r="D1144" s="8" t="s">
        <v>2056</v>
      </c>
      <c r="E1144" s="8" t="s">
        <v>2057</v>
      </c>
      <c r="F1144" s="8">
        <v>31</v>
      </c>
      <c r="G1144" s="22" t="s">
        <v>729</v>
      </c>
      <c r="H1144" s="8" t="s">
        <v>729</v>
      </c>
      <c r="I1144" s="2" t="str">
        <f t="shared" si="33"/>
        <v>Nối góc 90 độ phun uPVC DN90 PN6</v>
      </c>
      <c r="J1144" s="8" t="s">
        <v>15</v>
      </c>
      <c r="K1144" s="10">
        <v>4</v>
      </c>
      <c r="L1144" s="10">
        <v>23958</v>
      </c>
      <c r="M1144" s="11">
        <v>95832</v>
      </c>
      <c r="N1144" s="8" t="s">
        <v>16</v>
      </c>
      <c r="O1144" s="8" t="s">
        <v>17</v>
      </c>
      <c r="P1144" s="8" t="s">
        <v>18</v>
      </c>
      <c r="Q1144" s="8" t="s">
        <v>18</v>
      </c>
      <c r="R1144" s="8" t="s">
        <v>2115</v>
      </c>
      <c r="S1144" s="8" t="s">
        <v>2465</v>
      </c>
      <c r="T1144" s="8" t="s">
        <v>2466</v>
      </c>
      <c r="U1144" s="8" t="s">
        <v>2702</v>
      </c>
      <c r="V1144" s="8" t="s">
        <v>944</v>
      </c>
      <c r="W1144" s="8">
        <f t="shared" si="34"/>
        <v>2</v>
      </c>
      <c r="X1144" s="8">
        <f>K1144*L1144*N1144</f>
        <v>7666.56</v>
      </c>
    </row>
    <row r="1145" spans="1:24" s="8" customFormat="1" ht="41.5" customHeight="1">
      <c r="A1145" s="8" t="s">
        <v>2463</v>
      </c>
      <c r="B1145" s="8" t="s">
        <v>2829</v>
      </c>
      <c r="C1145" s="9">
        <v>45770.654378969899</v>
      </c>
      <c r="D1145" s="8" t="s">
        <v>2056</v>
      </c>
      <c r="E1145" s="8" t="s">
        <v>2057</v>
      </c>
      <c r="F1145" s="8">
        <v>32</v>
      </c>
      <c r="G1145" s="22" t="s">
        <v>971</v>
      </c>
      <c r="H1145" s="8" t="s">
        <v>971</v>
      </c>
      <c r="I1145" s="2" t="str">
        <f t="shared" si="33"/>
        <v>Nối góc 90 độ fun ĐK 75</v>
      </c>
      <c r="J1145" s="8" t="s">
        <v>15</v>
      </c>
      <c r="K1145" s="10">
        <v>4</v>
      </c>
      <c r="L1145" s="10">
        <v>18150</v>
      </c>
      <c r="M1145" s="11">
        <v>72600</v>
      </c>
      <c r="N1145" s="8" t="s">
        <v>16</v>
      </c>
      <c r="O1145" s="8" t="s">
        <v>17</v>
      </c>
      <c r="P1145" s="8" t="s">
        <v>18</v>
      </c>
      <c r="Q1145" s="8" t="s">
        <v>18</v>
      </c>
      <c r="R1145" s="8" t="s">
        <v>2115</v>
      </c>
      <c r="S1145" s="8" t="s">
        <v>2465</v>
      </c>
      <c r="T1145" s="8" t="s">
        <v>2466</v>
      </c>
      <c r="U1145" s="8" t="s">
        <v>2702</v>
      </c>
      <c r="V1145" s="8" t="s">
        <v>944</v>
      </c>
      <c r="W1145" s="8">
        <f t="shared" si="34"/>
        <v>2</v>
      </c>
      <c r="X1145" s="8">
        <f>K1145*L1145*N1145</f>
        <v>5808</v>
      </c>
    </row>
    <row r="1146" spans="1:24" s="8" customFormat="1" ht="41.5" customHeight="1">
      <c r="A1146" s="8" t="s">
        <v>2463</v>
      </c>
      <c r="B1146" s="8" t="s">
        <v>2829</v>
      </c>
      <c r="C1146" s="9">
        <v>45770.654378969899</v>
      </c>
      <c r="D1146" s="8" t="s">
        <v>2056</v>
      </c>
      <c r="E1146" s="8" t="s">
        <v>2057</v>
      </c>
      <c r="F1146" s="8">
        <v>33</v>
      </c>
      <c r="G1146" s="22" t="s">
        <v>972</v>
      </c>
      <c r="H1146" s="8" t="s">
        <v>972</v>
      </c>
      <c r="I1146" s="2" t="str">
        <f t="shared" si="33"/>
        <v>Nối góc 90 độ phun uPVC đk 48 PN10</v>
      </c>
      <c r="J1146" s="8" t="s">
        <v>15</v>
      </c>
      <c r="K1146" s="10">
        <v>6</v>
      </c>
      <c r="L1146" s="10">
        <v>7018</v>
      </c>
      <c r="M1146" s="11">
        <v>42108</v>
      </c>
      <c r="N1146" s="8" t="s">
        <v>16</v>
      </c>
      <c r="O1146" s="8" t="s">
        <v>17</v>
      </c>
      <c r="P1146" s="8" t="s">
        <v>18</v>
      </c>
      <c r="Q1146" s="8" t="s">
        <v>18</v>
      </c>
      <c r="R1146" s="8" t="s">
        <v>2115</v>
      </c>
      <c r="S1146" s="8" t="s">
        <v>2465</v>
      </c>
      <c r="T1146" s="8" t="s">
        <v>2466</v>
      </c>
      <c r="U1146" s="8" t="s">
        <v>2702</v>
      </c>
      <c r="V1146" s="8" t="s">
        <v>944</v>
      </c>
      <c r="W1146" s="8">
        <f t="shared" si="34"/>
        <v>2</v>
      </c>
      <c r="X1146" s="8">
        <f>K1146*L1146*N1146</f>
        <v>3368.64</v>
      </c>
    </row>
    <row r="1147" spans="1:24" s="8" customFormat="1" ht="41.5" customHeight="1">
      <c r="A1147" s="8" t="s">
        <v>2463</v>
      </c>
      <c r="B1147" s="8" t="s">
        <v>2829</v>
      </c>
      <c r="C1147" s="9">
        <v>45770.654378969899</v>
      </c>
      <c r="D1147" s="8" t="s">
        <v>2056</v>
      </c>
      <c r="E1147" s="8" t="s">
        <v>2057</v>
      </c>
      <c r="F1147" s="8">
        <v>34</v>
      </c>
      <c r="G1147" s="22" t="s">
        <v>973</v>
      </c>
      <c r="H1147" s="8" t="s">
        <v>973</v>
      </c>
      <c r="I1147" s="2" t="str">
        <f t="shared" si="33"/>
        <v>Nối góc 90 độ phun uPVC DN42 PN10</v>
      </c>
      <c r="J1147" s="8" t="s">
        <v>15</v>
      </c>
      <c r="K1147" s="10">
        <v>4</v>
      </c>
      <c r="L1147" s="10">
        <v>4477</v>
      </c>
      <c r="M1147" s="11">
        <v>17908</v>
      </c>
      <c r="N1147" s="8" t="s">
        <v>16</v>
      </c>
      <c r="O1147" s="8" t="s">
        <v>17</v>
      </c>
      <c r="P1147" s="8" t="s">
        <v>18</v>
      </c>
      <c r="Q1147" s="8" t="s">
        <v>18</v>
      </c>
      <c r="R1147" s="8" t="s">
        <v>2115</v>
      </c>
      <c r="S1147" s="8" t="s">
        <v>2465</v>
      </c>
      <c r="T1147" s="8" t="s">
        <v>2466</v>
      </c>
      <c r="U1147" s="8" t="s">
        <v>2702</v>
      </c>
      <c r="V1147" s="8" t="s">
        <v>944</v>
      </c>
      <c r="W1147" s="8">
        <f t="shared" si="34"/>
        <v>2</v>
      </c>
      <c r="X1147" s="8">
        <f>K1147*L1147*N1147</f>
        <v>1432.64</v>
      </c>
    </row>
    <row r="1148" spans="1:24" s="8" customFormat="1" ht="41.5" customHeight="1">
      <c r="A1148" s="8" t="s">
        <v>2463</v>
      </c>
      <c r="B1148" s="8" t="s">
        <v>2829</v>
      </c>
      <c r="C1148" s="9">
        <v>45770.654378969899</v>
      </c>
      <c r="D1148" s="8" t="s">
        <v>2056</v>
      </c>
      <c r="E1148" s="8" t="s">
        <v>2057</v>
      </c>
      <c r="F1148" s="8">
        <v>35</v>
      </c>
      <c r="G1148" s="22" t="s">
        <v>2840</v>
      </c>
      <c r="H1148" s="8" t="s">
        <v>974</v>
      </c>
      <c r="I1148" s="2" t="str">
        <f t="shared" si="33"/>
        <v>Đầu nối cb fun ĐK 110-90 PN6</v>
      </c>
      <c r="J1148" s="8" t="s">
        <v>15</v>
      </c>
      <c r="K1148" s="10">
        <v>3</v>
      </c>
      <c r="L1148" s="10">
        <v>17381.689999999999</v>
      </c>
      <c r="M1148" s="11">
        <v>52145</v>
      </c>
      <c r="N1148" s="8" t="s">
        <v>16</v>
      </c>
      <c r="O1148" s="8" t="s">
        <v>17</v>
      </c>
      <c r="P1148" s="8" t="s">
        <v>18</v>
      </c>
      <c r="Q1148" s="8" t="s">
        <v>18</v>
      </c>
      <c r="R1148" s="8" t="s">
        <v>2115</v>
      </c>
      <c r="S1148" s="8" t="s">
        <v>2465</v>
      </c>
      <c r="T1148" s="8" t="s">
        <v>2466</v>
      </c>
      <c r="U1148" s="8" t="s">
        <v>2702</v>
      </c>
      <c r="V1148" s="8" t="s">
        <v>944</v>
      </c>
      <c r="W1148" s="8">
        <f t="shared" si="34"/>
        <v>2</v>
      </c>
      <c r="X1148" s="8">
        <f>K1148*L1148*N1148</f>
        <v>4171.6055999999999</v>
      </c>
    </row>
    <row r="1149" spans="1:24" s="8" customFormat="1" ht="41.5" customHeight="1">
      <c r="A1149" s="8" t="s">
        <v>2463</v>
      </c>
      <c r="B1149" s="8" t="s">
        <v>2829</v>
      </c>
      <c r="C1149" s="9">
        <v>45770.654378969899</v>
      </c>
      <c r="D1149" s="8" t="s">
        <v>2056</v>
      </c>
      <c r="E1149" s="8" t="s">
        <v>2057</v>
      </c>
      <c r="F1149" s="8">
        <v>36</v>
      </c>
      <c r="G1149" s="22" t="s">
        <v>2841</v>
      </c>
      <c r="H1149" s="8" t="s">
        <v>975</v>
      </c>
      <c r="I1149" s="2" t="str">
        <f t="shared" ref="I1149:I1212" si="35">G1149</f>
        <v>Đầu nối cb fun ĐK 110-76 PN6</v>
      </c>
      <c r="J1149" s="8" t="s">
        <v>15</v>
      </c>
      <c r="K1149" s="10">
        <v>2</v>
      </c>
      <c r="L1149" s="10">
        <v>16599.580000000002</v>
      </c>
      <c r="M1149" s="11">
        <v>33199</v>
      </c>
      <c r="N1149" s="8" t="s">
        <v>16</v>
      </c>
      <c r="O1149" s="8" t="s">
        <v>17</v>
      </c>
      <c r="P1149" s="8" t="s">
        <v>18</v>
      </c>
      <c r="Q1149" s="8" t="s">
        <v>18</v>
      </c>
      <c r="R1149" s="8" t="s">
        <v>2115</v>
      </c>
      <c r="S1149" s="8" t="s">
        <v>2465</v>
      </c>
      <c r="T1149" s="8" t="s">
        <v>2466</v>
      </c>
      <c r="U1149" s="8" t="s">
        <v>2702</v>
      </c>
      <c r="V1149" s="8" t="s">
        <v>944</v>
      </c>
      <c r="W1149" s="8">
        <f t="shared" si="34"/>
        <v>2</v>
      </c>
      <c r="X1149" s="8">
        <f>K1149*L1149*N1149</f>
        <v>2655.9328000000005</v>
      </c>
    </row>
    <row r="1150" spans="1:24" s="8" customFormat="1" ht="41.5" customHeight="1">
      <c r="A1150" s="8" t="s">
        <v>2463</v>
      </c>
      <c r="B1150" s="8" t="s">
        <v>2829</v>
      </c>
      <c r="C1150" s="9">
        <v>45770.654378969899</v>
      </c>
      <c r="D1150" s="8" t="s">
        <v>2056</v>
      </c>
      <c r="E1150" s="8" t="s">
        <v>2057</v>
      </c>
      <c r="F1150" s="8">
        <v>37</v>
      </c>
      <c r="G1150" s="22" t="s">
        <v>976</v>
      </c>
      <c r="H1150" s="8" t="s">
        <v>976</v>
      </c>
      <c r="I1150" s="2" t="str">
        <f t="shared" si="35"/>
        <v>Đầu nối cb ĐK 75-42</v>
      </c>
      <c r="J1150" s="8" t="s">
        <v>15</v>
      </c>
      <c r="K1150" s="10">
        <v>6</v>
      </c>
      <c r="L1150" s="10">
        <v>7486.48</v>
      </c>
      <c r="M1150" s="11">
        <v>44919</v>
      </c>
      <c r="N1150" s="8" t="s">
        <v>16</v>
      </c>
      <c r="O1150" s="8" t="s">
        <v>17</v>
      </c>
      <c r="P1150" s="8" t="s">
        <v>18</v>
      </c>
      <c r="Q1150" s="8" t="s">
        <v>18</v>
      </c>
      <c r="R1150" s="8" t="s">
        <v>2115</v>
      </c>
      <c r="S1150" s="8" t="s">
        <v>2465</v>
      </c>
      <c r="T1150" s="8" t="s">
        <v>2466</v>
      </c>
      <c r="U1150" s="8" t="s">
        <v>2702</v>
      </c>
      <c r="V1150" s="8" t="s">
        <v>944</v>
      </c>
      <c r="W1150" s="8">
        <f t="shared" si="34"/>
        <v>2</v>
      </c>
      <c r="X1150" s="8">
        <f>K1150*L1150*N1150</f>
        <v>3593.5103999999997</v>
      </c>
    </row>
    <row r="1151" spans="1:24" s="8" customFormat="1" ht="41.5" customHeight="1">
      <c r="A1151" s="8" t="s">
        <v>2463</v>
      </c>
      <c r="B1151" s="8" t="s">
        <v>2829</v>
      </c>
      <c r="C1151" s="9">
        <v>45770.654378969899</v>
      </c>
      <c r="D1151" s="8" t="s">
        <v>2056</v>
      </c>
      <c r="E1151" s="8" t="s">
        <v>2057</v>
      </c>
      <c r="F1151" s="8">
        <v>38</v>
      </c>
      <c r="G1151" s="22" t="s">
        <v>1283</v>
      </c>
      <c r="H1151" s="8" t="s">
        <v>977</v>
      </c>
      <c r="I1151" s="2" t="str">
        <f t="shared" si="35"/>
        <v>Nối góc 45 độ DK 110 PN6</v>
      </c>
      <c r="J1151" s="8" t="s">
        <v>15</v>
      </c>
      <c r="K1151" s="10">
        <v>18</v>
      </c>
      <c r="L1151" s="10">
        <v>29108.1</v>
      </c>
      <c r="M1151" s="11">
        <v>523946</v>
      </c>
      <c r="N1151" s="8" t="s">
        <v>16</v>
      </c>
      <c r="O1151" s="8" t="s">
        <v>17</v>
      </c>
      <c r="P1151" s="8" t="s">
        <v>18</v>
      </c>
      <c r="Q1151" s="8" t="s">
        <v>18</v>
      </c>
      <c r="R1151" s="8" t="s">
        <v>2115</v>
      </c>
      <c r="S1151" s="8" t="s">
        <v>2465</v>
      </c>
      <c r="T1151" s="8" t="s">
        <v>2466</v>
      </c>
      <c r="U1151" s="8" t="s">
        <v>2702</v>
      </c>
      <c r="V1151" s="8" t="s">
        <v>944</v>
      </c>
      <c r="W1151" s="8">
        <f t="shared" si="34"/>
        <v>2</v>
      </c>
      <c r="X1151" s="8">
        <f>K1151*L1151*N1151</f>
        <v>41915.663999999997</v>
      </c>
    </row>
    <row r="1152" spans="1:24" s="8" customFormat="1" ht="41.5" customHeight="1">
      <c r="A1152" s="8" t="s">
        <v>2463</v>
      </c>
      <c r="B1152" s="8" t="s">
        <v>2829</v>
      </c>
      <c r="C1152" s="9">
        <v>45770.654378969899</v>
      </c>
      <c r="D1152" s="8" t="s">
        <v>2056</v>
      </c>
      <c r="E1152" s="8" t="s">
        <v>2057</v>
      </c>
      <c r="F1152" s="8">
        <v>39</v>
      </c>
      <c r="G1152" s="27" t="s">
        <v>2842</v>
      </c>
      <c r="H1152" s="8" t="s">
        <v>978</v>
      </c>
      <c r="I1152" s="2" t="str">
        <f t="shared" si="35"/>
        <v>Nối góc 45 độ phun uPVC DN 90 PN6</v>
      </c>
      <c r="J1152" s="8" t="s">
        <v>15</v>
      </c>
      <c r="K1152" s="10">
        <v>12</v>
      </c>
      <c r="L1152" s="10">
        <v>19045.009999999998</v>
      </c>
      <c r="M1152" s="11">
        <v>228540</v>
      </c>
      <c r="N1152" s="8" t="s">
        <v>16</v>
      </c>
      <c r="O1152" s="8" t="s">
        <v>17</v>
      </c>
      <c r="P1152" s="8" t="s">
        <v>18</v>
      </c>
      <c r="Q1152" s="8" t="s">
        <v>18</v>
      </c>
      <c r="R1152" s="8" t="s">
        <v>2115</v>
      </c>
      <c r="S1152" s="8" t="s">
        <v>2465</v>
      </c>
      <c r="T1152" s="8" t="s">
        <v>2466</v>
      </c>
      <c r="U1152" s="8" t="s">
        <v>2702</v>
      </c>
      <c r="V1152" s="8" t="s">
        <v>944</v>
      </c>
      <c r="W1152" s="8">
        <f t="shared" si="34"/>
        <v>2</v>
      </c>
      <c r="X1152" s="8">
        <f>K1152*L1152*N1152</f>
        <v>18283.209599999998</v>
      </c>
    </row>
    <row r="1153" spans="1:24" s="8" customFormat="1" ht="41.5" customHeight="1">
      <c r="A1153" s="8" t="s">
        <v>2463</v>
      </c>
      <c r="B1153" s="8" t="s">
        <v>2829</v>
      </c>
      <c r="C1153" s="9">
        <v>45770.654378969899</v>
      </c>
      <c r="D1153" s="8" t="s">
        <v>2056</v>
      </c>
      <c r="E1153" s="8" t="s">
        <v>2057</v>
      </c>
      <c r="F1153" s="8">
        <v>40</v>
      </c>
      <c r="G1153" s="22" t="s">
        <v>2843</v>
      </c>
      <c r="H1153" s="8" t="s">
        <v>979</v>
      </c>
      <c r="I1153" s="2" t="str">
        <f t="shared" si="35"/>
        <v>Nối góc 45 đội đk 75 PN8</v>
      </c>
      <c r="J1153" s="8" t="s">
        <v>15</v>
      </c>
      <c r="K1153" s="10">
        <v>26</v>
      </c>
      <c r="L1153" s="10">
        <v>14554.05</v>
      </c>
      <c r="M1153" s="11">
        <v>378405</v>
      </c>
      <c r="N1153" s="8" t="s">
        <v>16</v>
      </c>
      <c r="O1153" s="8" t="s">
        <v>17</v>
      </c>
      <c r="P1153" s="8" t="s">
        <v>18</v>
      </c>
      <c r="Q1153" s="8" t="s">
        <v>18</v>
      </c>
      <c r="R1153" s="8" t="s">
        <v>2115</v>
      </c>
      <c r="S1153" s="8" t="s">
        <v>2465</v>
      </c>
      <c r="T1153" s="8" t="s">
        <v>2466</v>
      </c>
      <c r="U1153" s="8" t="s">
        <v>2702</v>
      </c>
      <c r="V1153" s="8" t="s">
        <v>944</v>
      </c>
      <c r="W1153" s="8">
        <f t="shared" si="34"/>
        <v>2</v>
      </c>
      <c r="X1153" s="8">
        <f>K1153*L1153*N1153</f>
        <v>30272.423999999999</v>
      </c>
    </row>
    <row r="1154" spans="1:24" s="8" customFormat="1" ht="41.5" customHeight="1">
      <c r="A1154" s="8" t="s">
        <v>2463</v>
      </c>
      <c r="B1154" s="8" t="s">
        <v>2829</v>
      </c>
      <c r="C1154" s="9">
        <v>45770.654378969899</v>
      </c>
      <c r="D1154" s="8" t="s">
        <v>2056</v>
      </c>
      <c r="E1154" s="8" t="s">
        <v>2057</v>
      </c>
      <c r="F1154" s="8">
        <v>41</v>
      </c>
      <c r="G1154" s="22" t="s">
        <v>1625</v>
      </c>
      <c r="H1154" s="8" t="s">
        <v>980</v>
      </c>
      <c r="I1154" s="2" t="str">
        <f t="shared" si="35"/>
        <v>Ba chạc 45 độ phun uPVC DN110 (T-10)</v>
      </c>
      <c r="J1154" s="8" t="s">
        <v>15</v>
      </c>
      <c r="K1154" s="10">
        <v>8</v>
      </c>
      <c r="L1154" s="10">
        <v>59220.52</v>
      </c>
      <c r="M1154" s="11">
        <v>473764</v>
      </c>
      <c r="N1154" s="8" t="s">
        <v>16</v>
      </c>
      <c r="O1154" s="8" t="s">
        <v>17</v>
      </c>
      <c r="P1154" s="8" t="s">
        <v>18</v>
      </c>
      <c r="Q1154" s="8" t="s">
        <v>18</v>
      </c>
      <c r="R1154" s="8" t="s">
        <v>2115</v>
      </c>
      <c r="S1154" s="8" t="s">
        <v>2465</v>
      </c>
      <c r="T1154" s="8" t="s">
        <v>2466</v>
      </c>
      <c r="U1154" s="8" t="s">
        <v>2702</v>
      </c>
      <c r="V1154" s="8" t="s">
        <v>944</v>
      </c>
      <c r="W1154" s="8">
        <f t="shared" si="34"/>
        <v>2</v>
      </c>
      <c r="X1154" s="8">
        <f>K1154*L1154*N1154</f>
        <v>37901.132799999999</v>
      </c>
    </row>
    <row r="1155" spans="1:24" s="8" customFormat="1" ht="41.5" customHeight="1">
      <c r="A1155" s="8" t="s">
        <v>2463</v>
      </c>
      <c r="B1155" s="8" t="s">
        <v>2829</v>
      </c>
      <c r="C1155" s="9">
        <v>45770.654378969899</v>
      </c>
      <c r="D1155" s="8" t="s">
        <v>2056</v>
      </c>
      <c r="E1155" s="8" t="s">
        <v>2057</v>
      </c>
      <c r="F1155" s="8">
        <v>42</v>
      </c>
      <c r="G1155" s="22" t="s">
        <v>1886</v>
      </c>
      <c r="H1155" s="8" t="s">
        <v>981</v>
      </c>
      <c r="I1155" s="2" t="str">
        <f t="shared" si="35"/>
        <v>Ba chạc 45 độ phun uPVC DN90 (T-10)</v>
      </c>
      <c r="J1155" s="8" t="s">
        <v>15</v>
      </c>
      <c r="K1155" s="10">
        <v>12</v>
      </c>
      <c r="L1155" s="10">
        <v>37349.31</v>
      </c>
      <c r="M1155" s="11">
        <v>448192</v>
      </c>
      <c r="N1155" s="8" t="s">
        <v>16</v>
      </c>
      <c r="O1155" s="8" t="s">
        <v>17</v>
      </c>
      <c r="P1155" s="8" t="s">
        <v>18</v>
      </c>
      <c r="Q1155" s="8" t="s">
        <v>18</v>
      </c>
      <c r="R1155" s="8" t="s">
        <v>2115</v>
      </c>
      <c r="S1155" s="8" t="s">
        <v>2465</v>
      </c>
      <c r="T1155" s="8" t="s">
        <v>2466</v>
      </c>
      <c r="U1155" s="8" t="s">
        <v>2702</v>
      </c>
      <c r="V1155" s="8" t="s">
        <v>944</v>
      </c>
      <c r="W1155" s="8">
        <f t="shared" si="34"/>
        <v>2</v>
      </c>
      <c r="X1155" s="8">
        <f>K1155*L1155*N1155</f>
        <v>35855.337599999999</v>
      </c>
    </row>
    <row r="1156" spans="1:24" s="8" customFormat="1" ht="41.5" customHeight="1">
      <c r="A1156" s="8" t="s">
        <v>2463</v>
      </c>
      <c r="B1156" s="8" t="s">
        <v>2829</v>
      </c>
      <c r="C1156" s="9">
        <v>45770.654378969899</v>
      </c>
      <c r="D1156" s="8" t="s">
        <v>2056</v>
      </c>
      <c r="E1156" s="8" t="s">
        <v>2057</v>
      </c>
      <c r="F1156" s="8">
        <v>43</v>
      </c>
      <c r="G1156" s="22" t="s">
        <v>982</v>
      </c>
      <c r="H1156" s="8" t="s">
        <v>982</v>
      </c>
      <c r="I1156" s="2" t="str">
        <f t="shared" si="35"/>
        <v>Ba chạc 45 độ ĐK 75</v>
      </c>
      <c r="J1156" s="8" t="s">
        <v>15</v>
      </c>
      <c r="K1156" s="10">
        <v>26</v>
      </c>
      <c r="L1156" s="10">
        <v>30513.48</v>
      </c>
      <c r="M1156" s="11">
        <v>793350</v>
      </c>
      <c r="N1156" s="8" t="s">
        <v>16</v>
      </c>
      <c r="O1156" s="8" t="s">
        <v>17</v>
      </c>
      <c r="P1156" s="8" t="s">
        <v>18</v>
      </c>
      <c r="Q1156" s="8" t="s">
        <v>18</v>
      </c>
      <c r="R1156" s="8" t="s">
        <v>2115</v>
      </c>
      <c r="S1156" s="8" t="s">
        <v>2465</v>
      </c>
      <c r="T1156" s="8" t="s">
        <v>2466</v>
      </c>
      <c r="U1156" s="8" t="s">
        <v>2702</v>
      </c>
      <c r="V1156" s="8" t="s">
        <v>944</v>
      </c>
      <c r="W1156" s="8">
        <f t="shared" si="34"/>
        <v>2</v>
      </c>
      <c r="X1156" s="8">
        <f>K1156*L1156*N1156</f>
        <v>63468.038399999998</v>
      </c>
    </row>
    <row r="1157" spans="1:24" s="8" customFormat="1" ht="41.5" customHeight="1">
      <c r="A1157" s="8" t="s">
        <v>2463</v>
      </c>
      <c r="B1157" s="8" t="s">
        <v>2829</v>
      </c>
      <c r="C1157" s="9">
        <v>45770.654378969899</v>
      </c>
      <c r="D1157" s="8" t="s">
        <v>2056</v>
      </c>
      <c r="E1157" s="8" t="s">
        <v>2057</v>
      </c>
      <c r="F1157" s="8">
        <v>44</v>
      </c>
      <c r="G1157" s="22" t="s">
        <v>1940</v>
      </c>
      <c r="H1157" s="8" t="s">
        <v>983</v>
      </c>
      <c r="I1157" s="2" t="str">
        <f t="shared" si="35"/>
        <v>Đầu bịt ngoài phun ĐK 110 PN6</v>
      </c>
      <c r="J1157" s="8" t="s">
        <v>15</v>
      </c>
      <c r="K1157" s="10">
        <v>4</v>
      </c>
      <c r="L1157" s="10">
        <v>17982.97</v>
      </c>
      <c r="M1157" s="11">
        <v>71932</v>
      </c>
      <c r="N1157" s="8" t="s">
        <v>16</v>
      </c>
      <c r="O1157" s="8" t="s">
        <v>17</v>
      </c>
      <c r="P1157" s="8" t="s">
        <v>18</v>
      </c>
      <c r="Q1157" s="8" t="s">
        <v>18</v>
      </c>
      <c r="R1157" s="8" t="s">
        <v>2115</v>
      </c>
      <c r="S1157" s="8" t="s">
        <v>2465</v>
      </c>
      <c r="T1157" s="8" t="s">
        <v>2466</v>
      </c>
      <c r="U1157" s="8" t="s">
        <v>2702</v>
      </c>
      <c r="V1157" s="8" t="s">
        <v>944</v>
      </c>
      <c r="W1157" s="8">
        <f t="shared" si="34"/>
        <v>2</v>
      </c>
      <c r="X1157" s="8">
        <f>K1157*L1157*N1157</f>
        <v>5754.5504000000001</v>
      </c>
    </row>
    <row r="1158" spans="1:24" s="8" customFormat="1" ht="41.5" customHeight="1">
      <c r="A1158" s="8" t="s">
        <v>2463</v>
      </c>
      <c r="B1158" s="8" t="s">
        <v>2829</v>
      </c>
      <c r="C1158" s="9">
        <v>45770.654378969899</v>
      </c>
      <c r="D1158" s="8" t="s">
        <v>2056</v>
      </c>
      <c r="E1158" s="8" t="s">
        <v>2057</v>
      </c>
      <c r="F1158" s="8">
        <v>45</v>
      </c>
      <c r="G1158" s="22" t="s">
        <v>2844</v>
      </c>
      <c r="H1158" s="8" t="s">
        <v>984</v>
      </c>
      <c r="I1158" s="2" t="str">
        <f t="shared" si="35"/>
        <v>Đầu bịt ngoài phun uPVC ĐK 90 PN6</v>
      </c>
      <c r="J1158" s="8" t="s">
        <v>15</v>
      </c>
      <c r="K1158" s="10">
        <v>4</v>
      </c>
      <c r="L1158" s="10">
        <v>8625.6200000000008</v>
      </c>
      <c r="M1158" s="11">
        <v>34502</v>
      </c>
      <c r="N1158" s="8" t="s">
        <v>16</v>
      </c>
      <c r="O1158" s="8" t="s">
        <v>17</v>
      </c>
      <c r="P1158" s="8" t="s">
        <v>18</v>
      </c>
      <c r="Q1158" s="8" t="s">
        <v>18</v>
      </c>
      <c r="R1158" s="8" t="s">
        <v>2115</v>
      </c>
      <c r="S1158" s="8" t="s">
        <v>2465</v>
      </c>
      <c r="T1158" s="8" t="s">
        <v>2466</v>
      </c>
      <c r="U1158" s="8" t="s">
        <v>2702</v>
      </c>
      <c r="V1158" s="8" t="s">
        <v>944</v>
      </c>
      <c r="W1158" s="8">
        <f t="shared" si="34"/>
        <v>2</v>
      </c>
      <c r="X1158" s="8">
        <f>K1158*L1158*N1158</f>
        <v>2760.1984000000002</v>
      </c>
    </row>
    <row r="1159" spans="1:24" s="8" customFormat="1" ht="41.5" customHeight="1">
      <c r="A1159" s="8" t="s">
        <v>2463</v>
      </c>
      <c r="B1159" s="8" t="s">
        <v>2829</v>
      </c>
      <c r="C1159" s="9">
        <v>45770.654378969899</v>
      </c>
      <c r="D1159" s="8" t="s">
        <v>2056</v>
      </c>
      <c r="E1159" s="8" t="s">
        <v>2057</v>
      </c>
      <c r="F1159" s="8">
        <v>46</v>
      </c>
      <c r="G1159" s="22" t="s">
        <v>2845</v>
      </c>
      <c r="H1159" s="8" t="s">
        <v>985</v>
      </c>
      <c r="I1159" s="2" t="str">
        <f t="shared" si="35"/>
        <v>Đầu bịt ngoài phun uPVC ĐK 75 PN8</v>
      </c>
      <c r="J1159" s="8" t="s">
        <v>15</v>
      </c>
      <c r="K1159" s="10">
        <v>8</v>
      </c>
      <c r="L1159" s="10">
        <v>7973.97</v>
      </c>
      <c r="M1159" s="11">
        <v>63792</v>
      </c>
      <c r="N1159" s="8" t="s">
        <v>16</v>
      </c>
      <c r="O1159" s="8" t="s">
        <v>17</v>
      </c>
      <c r="P1159" s="8" t="s">
        <v>18</v>
      </c>
      <c r="Q1159" s="8" t="s">
        <v>18</v>
      </c>
      <c r="R1159" s="8" t="s">
        <v>2115</v>
      </c>
      <c r="S1159" s="8" t="s">
        <v>2465</v>
      </c>
      <c r="T1159" s="8" t="s">
        <v>2466</v>
      </c>
      <c r="U1159" s="8" t="s">
        <v>2702</v>
      </c>
      <c r="V1159" s="8" t="s">
        <v>944</v>
      </c>
      <c r="W1159" s="8">
        <f t="shared" si="34"/>
        <v>2</v>
      </c>
      <c r="X1159" s="8">
        <f>K1159*L1159*N1159</f>
        <v>5103.3407999999999</v>
      </c>
    </row>
    <row r="1160" spans="1:24" s="8" customFormat="1" ht="41.5" customHeight="1">
      <c r="A1160" s="8" t="s">
        <v>2463</v>
      </c>
      <c r="B1160" s="8" t="s">
        <v>2829</v>
      </c>
      <c r="C1160" s="9">
        <v>45770.654378969899</v>
      </c>
      <c r="D1160" s="8" t="s">
        <v>2056</v>
      </c>
      <c r="E1160" s="8" t="s">
        <v>2057</v>
      </c>
      <c r="F1160" s="8">
        <v>47</v>
      </c>
      <c r="G1160" s="22" t="s">
        <v>986</v>
      </c>
      <c r="H1160" s="8" t="s">
        <v>986</v>
      </c>
      <c r="I1160" s="2" t="str">
        <f t="shared" si="35"/>
        <v>Đầu bịt ngoài phun uPVC đk 48 PN6</v>
      </c>
      <c r="J1160" s="8" t="s">
        <v>15</v>
      </c>
      <c r="K1160" s="10">
        <v>1</v>
      </c>
      <c r="L1160" s="10">
        <v>2575.5700000000002</v>
      </c>
      <c r="M1160" s="11">
        <v>2576</v>
      </c>
      <c r="N1160" s="8" t="s">
        <v>16</v>
      </c>
      <c r="O1160" s="8" t="s">
        <v>17</v>
      </c>
      <c r="P1160" s="8" t="s">
        <v>18</v>
      </c>
      <c r="Q1160" s="8" t="s">
        <v>18</v>
      </c>
      <c r="R1160" s="8" t="s">
        <v>2115</v>
      </c>
      <c r="S1160" s="8" t="s">
        <v>2465</v>
      </c>
      <c r="T1160" s="8" t="s">
        <v>2466</v>
      </c>
      <c r="U1160" s="8" t="s">
        <v>2702</v>
      </c>
      <c r="V1160" s="8" t="s">
        <v>944</v>
      </c>
      <c r="W1160" s="8">
        <f t="shared" si="34"/>
        <v>2</v>
      </c>
      <c r="X1160" s="8">
        <f>K1160*L1160*N1160</f>
        <v>206.04560000000001</v>
      </c>
    </row>
    <row r="1161" spans="1:24" s="8" customFormat="1" ht="41.5" customHeight="1">
      <c r="A1161" s="8" t="s">
        <v>2463</v>
      </c>
      <c r="B1161" s="8" t="s">
        <v>2829</v>
      </c>
      <c r="C1161" s="9">
        <v>45770.654378969899</v>
      </c>
      <c r="D1161" s="8" t="s">
        <v>2056</v>
      </c>
      <c r="E1161" s="8" t="s">
        <v>2057</v>
      </c>
      <c r="F1161" s="8">
        <v>48</v>
      </c>
      <c r="G1161" s="22" t="s">
        <v>987</v>
      </c>
      <c r="H1161" s="8" t="s">
        <v>987</v>
      </c>
      <c r="I1161" s="2" t="str">
        <f t="shared" si="35"/>
        <v>Đầu bịt ngoài phun uPVC DN42 PN10</v>
      </c>
      <c r="J1161" s="8" t="s">
        <v>15</v>
      </c>
      <c r="K1161" s="10">
        <v>3</v>
      </c>
      <c r="L1161" s="10">
        <v>1744.74</v>
      </c>
      <c r="M1161" s="11">
        <v>5234</v>
      </c>
      <c r="N1161" s="8" t="s">
        <v>16</v>
      </c>
      <c r="O1161" s="8" t="s">
        <v>17</v>
      </c>
      <c r="P1161" s="8" t="s">
        <v>18</v>
      </c>
      <c r="Q1161" s="8" t="s">
        <v>18</v>
      </c>
      <c r="R1161" s="8" t="s">
        <v>2115</v>
      </c>
      <c r="S1161" s="8" t="s">
        <v>2465</v>
      </c>
      <c r="T1161" s="8" t="s">
        <v>2466</v>
      </c>
      <c r="U1161" s="8" t="s">
        <v>2702</v>
      </c>
      <c r="V1161" s="8" t="s">
        <v>944</v>
      </c>
      <c r="W1161" s="8">
        <f t="shared" si="34"/>
        <v>2</v>
      </c>
      <c r="X1161" s="8">
        <f>K1161*L1161*N1161</f>
        <v>418.73760000000004</v>
      </c>
    </row>
    <row r="1162" spans="1:24" s="8" customFormat="1" ht="41.5" customHeight="1">
      <c r="A1162" s="8" t="s">
        <v>2463</v>
      </c>
      <c r="B1162" s="8" t="s">
        <v>2829</v>
      </c>
      <c r="C1162" s="9">
        <v>45770.654378969899</v>
      </c>
      <c r="D1162" s="8" t="s">
        <v>2056</v>
      </c>
      <c r="E1162" s="8" t="s">
        <v>2057</v>
      </c>
      <c r="F1162" s="8">
        <v>49</v>
      </c>
      <c r="G1162" s="22" t="s">
        <v>988</v>
      </c>
      <c r="H1162" s="8" t="s">
        <v>988</v>
      </c>
      <c r="I1162" s="2" t="str">
        <f t="shared" si="35"/>
        <v>Vỏ tủ điện 6 đường</v>
      </c>
      <c r="J1162" s="8" t="s">
        <v>15</v>
      </c>
      <c r="K1162" s="10">
        <v>1</v>
      </c>
      <c r="L1162" s="10">
        <v>87800.71</v>
      </c>
      <c r="M1162" s="11">
        <v>87801</v>
      </c>
      <c r="N1162" s="8" t="s">
        <v>16</v>
      </c>
      <c r="O1162" s="8" t="s">
        <v>17</v>
      </c>
      <c r="P1162" s="8" t="s">
        <v>18</v>
      </c>
      <c r="Q1162" s="8" t="s">
        <v>18</v>
      </c>
      <c r="R1162" s="8" t="s">
        <v>2115</v>
      </c>
      <c r="S1162" s="8" t="s">
        <v>2465</v>
      </c>
      <c r="T1162" s="8" t="s">
        <v>2466</v>
      </c>
      <c r="U1162" s="8" t="s">
        <v>2702</v>
      </c>
      <c r="V1162" s="8" t="s">
        <v>944</v>
      </c>
      <c r="W1162" s="8">
        <f t="shared" si="34"/>
        <v>2</v>
      </c>
      <c r="X1162" s="8">
        <f>K1162*L1162*N1162</f>
        <v>7024.0568000000003</v>
      </c>
    </row>
    <row r="1163" spans="1:24" s="8" customFormat="1" ht="41.5" customHeight="1">
      <c r="A1163" s="8" t="s">
        <v>2463</v>
      </c>
      <c r="B1163" s="8" t="s">
        <v>2829</v>
      </c>
      <c r="C1163" s="9">
        <v>45770.654378969899</v>
      </c>
      <c r="D1163" s="8" t="s">
        <v>2056</v>
      </c>
      <c r="E1163" s="8" t="s">
        <v>2057</v>
      </c>
      <c r="F1163" s="8">
        <v>50</v>
      </c>
      <c r="G1163" s="22" t="s">
        <v>2846</v>
      </c>
      <c r="H1163" s="8" t="s">
        <v>989</v>
      </c>
      <c r="I1163" s="2" t="str">
        <f t="shared" si="35"/>
        <v>Cầu dao 1 pha 16A 6kA</v>
      </c>
      <c r="J1163" s="8" t="s">
        <v>15</v>
      </c>
      <c r="K1163" s="10">
        <v>1</v>
      </c>
      <c r="L1163" s="10">
        <v>26492.47</v>
      </c>
      <c r="M1163" s="11">
        <v>26492</v>
      </c>
      <c r="N1163" s="8" t="s">
        <v>16</v>
      </c>
      <c r="O1163" s="8" t="s">
        <v>17</v>
      </c>
      <c r="P1163" s="8" t="s">
        <v>18</v>
      </c>
      <c r="Q1163" s="8" t="s">
        <v>18</v>
      </c>
      <c r="R1163" s="8" t="s">
        <v>2115</v>
      </c>
      <c r="S1163" s="8" t="s">
        <v>2465</v>
      </c>
      <c r="T1163" s="8" t="s">
        <v>2466</v>
      </c>
      <c r="U1163" s="8" t="s">
        <v>2702</v>
      </c>
      <c r="V1163" s="8" t="s">
        <v>944</v>
      </c>
      <c r="W1163" s="8">
        <f t="shared" si="34"/>
        <v>2</v>
      </c>
      <c r="X1163" s="8">
        <f>K1163*L1163*N1163</f>
        <v>2119.3976000000002</v>
      </c>
    </row>
    <row r="1164" spans="1:24" s="8" customFormat="1" ht="41.5" customHeight="1">
      <c r="A1164" s="8" t="s">
        <v>2463</v>
      </c>
      <c r="B1164" s="8" t="s">
        <v>2829</v>
      </c>
      <c r="C1164" s="9">
        <v>45770.654378969899</v>
      </c>
      <c r="D1164" s="8" t="s">
        <v>2056</v>
      </c>
      <c r="E1164" s="8" t="s">
        <v>2057</v>
      </c>
      <c r="F1164" s="8">
        <v>51</v>
      </c>
      <c r="G1164" s="22" t="s">
        <v>990</v>
      </c>
      <c r="H1164" s="8" t="s">
        <v>990</v>
      </c>
      <c r="I1164" s="2" t="str">
        <f t="shared" si="35"/>
        <v>Cầu dao MCB 1P 25A 6kA</v>
      </c>
      <c r="J1164" s="8" t="s">
        <v>15</v>
      </c>
      <c r="K1164" s="10">
        <v>1</v>
      </c>
      <c r="L1164" s="10">
        <v>26250.22</v>
      </c>
      <c r="M1164" s="11">
        <v>26250</v>
      </c>
      <c r="N1164" s="8" t="s">
        <v>16</v>
      </c>
      <c r="O1164" s="8" t="s">
        <v>17</v>
      </c>
      <c r="P1164" s="8" t="s">
        <v>18</v>
      </c>
      <c r="Q1164" s="8" t="s">
        <v>18</v>
      </c>
      <c r="R1164" s="8" t="s">
        <v>2115</v>
      </c>
      <c r="S1164" s="8" t="s">
        <v>2465</v>
      </c>
      <c r="T1164" s="8" t="s">
        <v>2466</v>
      </c>
      <c r="U1164" s="8" t="s">
        <v>2702</v>
      </c>
      <c r="V1164" s="8" t="s">
        <v>944</v>
      </c>
      <c r="W1164" s="8">
        <f t="shared" si="34"/>
        <v>2</v>
      </c>
      <c r="X1164" s="8">
        <f>K1164*L1164*N1164</f>
        <v>2100.0176000000001</v>
      </c>
    </row>
    <row r="1165" spans="1:24" s="8" customFormat="1" ht="41.5" customHeight="1">
      <c r="A1165" s="8" t="s">
        <v>2463</v>
      </c>
      <c r="B1165" s="8" t="s">
        <v>2829</v>
      </c>
      <c r="C1165" s="9">
        <v>45770.654378969899</v>
      </c>
      <c r="D1165" s="8" t="s">
        <v>2056</v>
      </c>
      <c r="E1165" s="8" t="s">
        <v>2057</v>
      </c>
      <c r="F1165" s="8">
        <v>52</v>
      </c>
      <c r="G1165" s="22" t="s">
        <v>991</v>
      </c>
      <c r="H1165" s="8" t="s">
        <v>991</v>
      </c>
      <c r="I1165" s="2" t="str">
        <f t="shared" si="35"/>
        <v>Cầu dao 3P 16A</v>
      </c>
      <c r="J1165" s="8" t="s">
        <v>15</v>
      </c>
      <c r="K1165" s="10">
        <v>1</v>
      </c>
      <c r="L1165" s="10">
        <v>48000</v>
      </c>
      <c r="M1165" s="11">
        <v>48000</v>
      </c>
      <c r="N1165" s="8" t="s">
        <v>16</v>
      </c>
      <c r="O1165" s="8" t="s">
        <v>17</v>
      </c>
      <c r="P1165" s="8" t="s">
        <v>18</v>
      </c>
      <c r="Q1165" s="8" t="s">
        <v>18</v>
      </c>
      <c r="R1165" s="8" t="s">
        <v>2115</v>
      </c>
      <c r="S1165" s="8" t="s">
        <v>2465</v>
      </c>
      <c r="T1165" s="8" t="s">
        <v>2466</v>
      </c>
      <c r="U1165" s="8" t="s">
        <v>2702</v>
      </c>
      <c r="V1165" s="8" t="s">
        <v>944</v>
      </c>
      <c r="W1165" s="8">
        <f t="shared" si="34"/>
        <v>2</v>
      </c>
      <c r="X1165" s="8">
        <f>K1165*L1165*N1165</f>
        <v>3840</v>
      </c>
    </row>
    <row r="1166" spans="1:24" s="8" customFormat="1" ht="41.5" customHeight="1">
      <c r="A1166" s="8" t="s">
        <v>2463</v>
      </c>
      <c r="B1166" s="8" t="s">
        <v>2829</v>
      </c>
      <c r="C1166" s="9">
        <v>45770.654378969899</v>
      </c>
      <c r="D1166" s="8" t="s">
        <v>2056</v>
      </c>
      <c r="E1166" s="8" t="s">
        <v>2057</v>
      </c>
      <c r="F1166" s="8">
        <v>53</v>
      </c>
      <c r="G1166" s="22" t="s">
        <v>2847</v>
      </c>
      <c r="H1166" s="8" t="s">
        <v>992</v>
      </c>
      <c r="I1166" s="2" t="str">
        <f t="shared" si="35"/>
        <v>MCCB BS121/2P25A-BS121/25A</v>
      </c>
      <c r="J1166" s="8" t="s">
        <v>15</v>
      </c>
      <c r="K1166" s="10">
        <v>6</v>
      </c>
      <c r="L1166" s="10">
        <v>27133.11</v>
      </c>
      <c r="M1166" s="11">
        <v>162799</v>
      </c>
      <c r="N1166" s="8" t="s">
        <v>16</v>
      </c>
      <c r="O1166" s="8" t="s">
        <v>17</v>
      </c>
      <c r="P1166" s="8" t="s">
        <v>18</v>
      </c>
      <c r="Q1166" s="8" t="s">
        <v>18</v>
      </c>
      <c r="R1166" s="8" t="s">
        <v>2115</v>
      </c>
      <c r="S1166" s="8" t="s">
        <v>2465</v>
      </c>
      <c r="T1166" s="8" t="s">
        <v>2466</v>
      </c>
      <c r="U1166" s="8" t="s">
        <v>2702</v>
      </c>
      <c r="V1166" s="8" t="s">
        <v>944</v>
      </c>
      <c r="W1166" s="8">
        <f t="shared" si="34"/>
        <v>2</v>
      </c>
      <c r="X1166" s="8">
        <f>K1166*L1166*N1166</f>
        <v>13023.892800000001</v>
      </c>
    </row>
    <row r="1167" spans="1:24" s="8" customFormat="1" ht="41.5" customHeight="1">
      <c r="A1167" s="8" t="s">
        <v>2463</v>
      </c>
      <c r="B1167" s="8" t="s">
        <v>2829</v>
      </c>
      <c r="C1167" s="9">
        <v>45770.654378969899</v>
      </c>
      <c r="D1167" s="8" t="s">
        <v>2056</v>
      </c>
      <c r="E1167" s="8" t="s">
        <v>2057</v>
      </c>
      <c r="F1167" s="8">
        <v>54</v>
      </c>
      <c r="G1167" s="22" t="s">
        <v>993</v>
      </c>
      <c r="H1167" s="8" t="s">
        <v>993</v>
      </c>
      <c r="I1167" s="2" t="str">
        <f t="shared" si="35"/>
        <v>A30/1 (Công tắc 1 chiều 10A)</v>
      </c>
      <c r="J1167" s="8" t="s">
        <v>15</v>
      </c>
      <c r="K1167" s="10">
        <v>1</v>
      </c>
      <c r="L1167" s="10">
        <v>5500</v>
      </c>
      <c r="M1167" s="11">
        <v>5500</v>
      </c>
      <c r="N1167" s="8" t="s">
        <v>16</v>
      </c>
      <c r="O1167" s="8" t="s">
        <v>17</v>
      </c>
      <c r="P1167" s="8" t="s">
        <v>18</v>
      </c>
      <c r="Q1167" s="8" t="s">
        <v>18</v>
      </c>
      <c r="R1167" s="8" t="s">
        <v>2115</v>
      </c>
      <c r="S1167" s="8" t="s">
        <v>2465</v>
      </c>
      <c r="T1167" s="8" t="s">
        <v>2466</v>
      </c>
      <c r="U1167" s="8" t="s">
        <v>2702</v>
      </c>
      <c r="V1167" s="8" t="s">
        <v>944</v>
      </c>
      <c r="W1167" s="8">
        <f t="shared" si="34"/>
        <v>2</v>
      </c>
      <c r="X1167" s="8">
        <f>K1167*L1167*N1167</f>
        <v>440</v>
      </c>
    </row>
    <row r="1168" spans="1:24" s="8" customFormat="1" ht="41.5" customHeight="1">
      <c r="A1168" s="8" t="s">
        <v>2463</v>
      </c>
      <c r="B1168" s="8" t="s">
        <v>2829</v>
      </c>
      <c r="C1168" s="9">
        <v>45770.654378969899</v>
      </c>
      <c r="D1168" s="8" t="s">
        <v>2056</v>
      </c>
      <c r="E1168" s="8" t="s">
        <v>2057</v>
      </c>
      <c r="F1168" s="8">
        <v>55</v>
      </c>
      <c r="G1168" s="22" t="s">
        <v>994</v>
      </c>
      <c r="H1168" s="8" t="s">
        <v>994</v>
      </c>
      <c r="I1168" s="2" t="str">
        <f t="shared" si="35"/>
        <v>Ổ cắm đôi 3 chấu</v>
      </c>
      <c r="J1168" s="8" t="s">
        <v>15</v>
      </c>
      <c r="K1168" s="10">
        <v>40</v>
      </c>
      <c r="L1168" s="10">
        <v>14113.1</v>
      </c>
      <c r="M1168" s="11">
        <v>564524</v>
      </c>
      <c r="N1168" s="8" t="s">
        <v>16</v>
      </c>
      <c r="O1168" s="8" t="s">
        <v>17</v>
      </c>
      <c r="P1168" s="8" t="s">
        <v>18</v>
      </c>
      <c r="Q1168" s="8" t="s">
        <v>18</v>
      </c>
      <c r="R1168" s="8" t="s">
        <v>2115</v>
      </c>
      <c r="S1168" s="8" t="s">
        <v>2465</v>
      </c>
      <c r="T1168" s="8" t="s">
        <v>2466</v>
      </c>
      <c r="U1168" s="8" t="s">
        <v>2702</v>
      </c>
      <c r="V1168" s="8" t="s">
        <v>944</v>
      </c>
      <c r="W1168" s="8">
        <f t="shared" si="34"/>
        <v>2</v>
      </c>
      <c r="X1168" s="8">
        <f>K1168*L1168*N1168</f>
        <v>45161.919999999998</v>
      </c>
    </row>
    <row r="1169" spans="1:24" s="8" customFormat="1" ht="41.5" customHeight="1">
      <c r="A1169" s="8" t="s">
        <v>2463</v>
      </c>
      <c r="B1169" s="8" t="s">
        <v>2829</v>
      </c>
      <c r="C1169" s="9">
        <v>45770.654378969899</v>
      </c>
      <c r="D1169" s="8" t="s">
        <v>2056</v>
      </c>
      <c r="E1169" s="8" t="s">
        <v>2057</v>
      </c>
      <c r="F1169" s="8">
        <v>56</v>
      </c>
      <c r="G1169" s="22" t="s">
        <v>995</v>
      </c>
      <c r="H1169" s="8" t="s">
        <v>995</v>
      </c>
      <c r="I1169" s="2" t="str">
        <f t="shared" si="35"/>
        <v>Đèn led thanh nhà xưởng 200W AST</v>
      </c>
      <c r="J1169" s="8" t="s">
        <v>15</v>
      </c>
      <c r="K1169" s="10">
        <v>20</v>
      </c>
      <c r="L1169" s="10">
        <v>569000</v>
      </c>
      <c r="M1169" s="11">
        <v>11380000</v>
      </c>
      <c r="N1169" s="8" t="s">
        <v>16</v>
      </c>
      <c r="O1169" s="8" t="s">
        <v>17</v>
      </c>
      <c r="P1169" s="8" t="s">
        <v>18</v>
      </c>
      <c r="Q1169" s="8" t="s">
        <v>18</v>
      </c>
      <c r="R1169" s="8" t="s">
        <v>2115</v>
      </c>
      <c r="S1169" s="8" t="s">
        <v>2465</v>
      </c>
      <c r="T1169" s="8" t="s">
        <v>2466</v>
      </c>
      <c r="U1169" s="8" t="s">
        <v>2702</v>
      </c>
      <c r="V1169" s="8" t="s">
        <v>944</v>
      </c>
      <c r="W1169" s="8">
        <f t="shared" si="34"/>
        <v>2</v>
      </c>
      <c r="X1169" s="8">
        <f>K1169*L1169*N1169</f>
        <v>910400</v>
      </c>
    </row>
    <row r="1170" spans="1:24" s="8" customFormat="1" ht="41.5" customHeight="1">
      <c r="A1170" s="8" t="s">
        <v>2463</v>
      </c>
      <c r="B1170" s="8" t="s">
        <v>2829</v>
      </c>
      <c r="C1170" s="9">
        <v>45770.654378969899</v>
      </c>
      <c r="D1170" s="8" t="s">
        <v>2056</v>
      </c>
      <c r="E1170" s="8" t="s">
        <v>2057</v>
      </c>
      <c r="F1170" s="8">
        <v>57</v>
      </c>
      <c r="G1170" s="22" t="s">
        <v>1296</v>
      </c>
      <c r="H1170" s="8" t="s">
        <v>148</v>
      </c>
      <c r="I1170" s="2" t="str">
        <f t="shared" si="35"/>
        <v>Ống uPVC DN27 PN16  C2</v>
      </c>
      <c r="J1170" s="8" t="s">
        <v>47</v>
      </c>
      <c r="K1170" s="10">
        <v>2000</v>
      </c>
      <c r="L1170" s="10">
        <v>10645.25</v>
      </c>
      <c r="M1170" s="11">
        <v>21290500</v>
      </c>
      <c r="N1170" s="8" t="s">
        <v>16</v>
      </c>
      <c r="O1170" s="8" t="s">
        <v>17</v>
      </c>
      <c r="P1170" s="8" t="s">
        <v>18</v>
      </c>
      <c r="Q1170" s="8" t="s">
        <v>18</v>
      </c>
      <c r="R1170" s="8" t="s">
        <v>2115</v>
      </c>
      <c r="S1170" s="8" t="s">
        <v>2465</v>
      </c>
      <c r="T1170" s="8" t="s">
        <v>2466</v>
      </c>
      <c r="U1170" s="8" t="s">
        <v>2702</v>
      </c>
      <c r="V1170" s="8" t="s">
        <v>944</v>
      </c>
      <c r="W1170" s="8">
        <f t="shared" si="34"/>
        <v>2</v>
      </c>
      <c r="X1170" s="8">
        <f>K1170*L1170*N1170</f>
        <v>1703240</v>
      </c>
    </row>
    <row r="1171" spans="1:24" s="8" customFormat="1" ht="41.5" customHeight="1">
      <c r="A1171" s="8" t="s">
        <v>2463</v>
      </c>
      <c r="B1171" s="8" t="s">
        <v>2829</v>
      </c>
      <c r="C1171" s="9">
        <v>45770.654378969899</v>
      </c>
      <c r="D1171" s="8" t="s">
        <v>2056</v>
      </c>
      <c r="E1171" s="8" t="s">
        <v>2057</v>
      </c>
      <c r="F1171" s="8">
        <v>58</v>
      </c>
      <c r="G1171" s="22" t="s">
        <v>1270</v>
      </c>
      <c r="H1171" s="8" t="s">
        <v>545</v>
      </c>
      <c r="I1171" s="2" t="str">
        <f t="shared" si="35"/>
        <v>Ống uPVC DN90 PN6 C2</v>
      </c>
      <c r="J1171" s="8" t="s">
        <v>47</v>
      </c>
      <c r="K1171" s="10">
        <v>1000</v>
      </c>
      <c r="L1171" s="10">
        <v>49564.93</v>
      </c>
      <c r="M1171" s="11">
        <v>49564930</v>
      </c>
      <c r="N1171" s="8" t="s">
        <v>16</v>
      </c>
      <c r="O1171" s="8" t="s">
        <v>17</v>
      </c>
      <c r="P1171" s="8" t="s">
        <v>18</v>
      </c>
      <c r="Q1171" s="8" t="s">
        <v>18</v>
      </c>
      <c r="R1171" s="8" t="s">
        <v>2115</v>
      </c>
      <c r="S1171" s="8" t="s">
        <v>2465</v>
      </c>
      <c r="T1171" s="8" t="s">
        <v>2466</v>
      </c>
      <c r="U1171" s="8" t="s">
        <v>2702</v>
      </c>
      <c r="V1171" s="8" t="s">
        <v>944</v>
      </c>
      <c r="W1171" s="8">
        <f t="shared" si="34"/>
        <v>2</v>
      </c>
      <c r="X1171" s="8">
        <f>K1171*L1171*N1171</f>
        <v>3965194.4</v>
      </c>
    </row>
    <row r="1172" spans="1:24" s="8" customFormat="1" ht="41.5" customHeight="1">
      <c r="A1172" s="8" t="s">
        <v>2463</v>
      </c>
      <c r="B1172" s="8" t="s">
        <v>2829</v>
      </c>
      <c r="C1172" s="9">
        <v>45770.654378969899</v>
      </c>
      <c r="D1172" s="8" t="s">
        <v>2056</v>
      </c>
      <c r="E1172" s="8" t="s">
        <v>2057</v>
      </c>
      <c r="F1172" s="8">
        <v>59</v>
      </c>
      <c r="G1172" s="22" t="s">
        <v>1278</v>
      </c>
      <c r="H1172" s="8" t="s">
        <v>827</v>
      </c>
      <c r="I1172" s="2" t="str">
        <f t="shared" si="35"/>
        <v>Ống luồn dây điện</v>
      </c>
      <c r="J1172" s="8" t="s">
        <v>247</v>
      </c>
      <c r="K1172" s="10">
        <v>2000</v>
      </c>
      <c r="L1172" s="10">
        <v>13744.61</v>
      </c>
      <c r="M1172" s="11">
        <v>27489220</v>
      </c>
      <c r="N1172" s="8" t="s">
        <v>16</v>
      </c>
      <c r="O1172" s="8" t="s">
        <v>17</v>
      </c>
      <c r="P1172" s="8" t="s">
        <v>18</v>
      </c>
      <c r="Q1172" s="8" t="s">
        <v>18</v>
      </c>
      <c r="R1172" s="8" t="s">
        <v>2115</v>
      </c>
      <c r="S1172" s="8" t="s">
        <v>2465</v>
      </c>
      <c r="T1172" s="8" t="s">
        <v>2466</v>
      </c>
      <c r="U1172" s="8" t="s">
        <v>2702</v>
      </c>
      <c r="V1172" s="8" t="s">
        <v>944</v>
      </c>
      <c r="W1172" s="8">
        <f t="shared" si="34"/>
        <v>2</v>
      </c>
      <c r="X1172" s="8">
        <f>K1172*L1172*N1172</f>
        <v>2199137.6</v>
      </c>
    </row>
    <row r="1173" spans="1:24" s="8" customFormat="1" ht="41.5" customHeight="1">
      <c r="A1173" s="8" t="s">
        <v>2463</v>
      </c>
      <c r="B1173" s="8" t="s">
        <v>2829</v>
      </c>
      <c r="C1173" s="9">
        <v>45770.654378969899</v>
      </c>
      <c r="D1173" s="8" t="s">
        <v>2056</v>
      </c>
      <c r="E1173" s="8" t="s">
        <v>2057</v>
      </c>
      <c r="F1173" s="8">
        <v>60</v>
      </c>
      <c r="G1173" s="22" t="s">
        <v>2088</v>
      </c>
      <c r="H1173" s="8" t="s">
        <v>547</v>
      </c>
      <c r="I1173" s="2" t="str">
        <f t="shared" si="35"/>
        <v>ống uPVC DN110 PN6 C2</v>
      </c>
      <c r="J1173" s="8" t="s">
        <v>47</v>
      </c>
      <c r="K1173" s="10">
        <v>400</v>
      </c>
      <c r="L1173" s="10">
        <v>72500.91</v>
      </c>
      <c r="M1173" s="11">
        <v>29000364</v>
      </c>
      <c r="N1173" s="8" t="s">
        <v>16</v>
      </c>
      <c r="O1173" s="8" t="s">
        <v>17</v>
      </c>
      <c r="P1173" s="8" t="s">
        <v>18</v>
      </c>
      <c r="Q1173" s="8" t="s">
        <v>18</v>
      </c>
      <c r="R1173" s="8" t="s">
        <v>2115</v>
      </c>
      <c r="S1173" s="8" t="s">
        <v>2465</v>
      </c>
      <c r="T1173" s="8" t="s">
        <v>2466</v>
      </c>
      <c r="U1173" s="8" t="s">
        <v>2702</v>
      </c>
      <c r="V1173" s="8" t="s">
        <v>944</v>
      </c>
      <c r="W1173" s="8">
        <f t="shared" si="34"/>
        <v>2</v>
      </c>
      <c r="X1173" s="8">
        <f>K1173*L1173*N1173</f>
        <v>2320029.12</v>
      </c>
    </row>
    <row r="1174" spans="1:24" s="8" customFormat="1" ht="41.5" customHeight="1">
      <c r="A1174" s="8" t="s">
        <v>2463</v>
      </c>
      <c r="B1174" s="8" t="s">
        <v>2829</v>
      </c>
      <c r="C1174" s="9">
        <v>45770.654378969899</v>
      </c>
      <c r="D1174" s="8" t="s">
        <v>2056</v>
      </c>
      <c r="E1174" s="8" t="s">
        <v>2057</v>
      </c>
      <c r="F1174" s="8">
        <v>61</v>
      </c>
      <c r="G1174" s="22" t="s">
        <v>1280</v>
      </c>
      <c r="H1174" s="8" t="s">
        <v>996</v>
      </c>
      <c r="I1174" s="2" t="str">
        <f t="shared" si="35"/>
        <v>Ống uPVC DN60 PN8 C2</v>
      </c>
      <c r="J1174" s="8" t="s">
        <v>47</v>
      </c>
      <c r="K1174" s="10">
        <v>200</v>
      </c>
      <c r="L1174" s="10">
        <v>32434.74</v>
      </c>
      <c r="M1174" s="11">
        <v>6486948</v>
      </c>
      <c r="N1174" s="8" t="s">
        <v>16</v>
      </c>
      <c r="O1174" s="8" t="s">
        <v>17</v>
      </c>
      <c r="P1174" s="8" t="s">
        <v>18</v>
      </c>
      <c r="Q1174" s="8" t="s">
        <v>18</v>
      </c>
      <c r="R1174" s="8" t="s">
        <v>2115</v>
      </c>
      <c r="S1174" s="8" t="s">
        <v>2465</v>
      </c>
      <c r="T1174" s="8" t="s">
        <v>2466</v>
      </c>
      <c r="U1174" s="8" t="s">
        <v>2702</v>
      </c>
      <c r="V1174" s="8" t="s">
        <v>944</v>
      </c>
      <c r="W1174" s="8">
        <f t="shared" si="34"/>
        <v>2</v>
      </c>
      <c r="X1174" s="8">
        <f>K1174*L1174*N1174</f>
        <v>518955.84</v>
      </c>
    </row>
    <row r="1175" spans="1:24" s="8" customFormat="1" ht="41.5" customHeight="1">
      <c r="A1175" s="8" t="s">
        <v>2463</v>
      </c>
      <c r="B1175" s="8" t="s">
        <v>2829</v>
      </c>
      <c r="C1175" s="9">
        <v>45770.654378969899</v>
      </c>
      <c r="D1175" s="8" t="s">
        <v>2056</v>
      </c>
      <c r="E1175" s="8" t="s">
        <v>2057</v>
      </c>
      <c r="F1175" s="8">
        <v>62</v>
      </c>
      <c r="G1175" s="22" t="s">
        <v>1300</v>
      </c>
      <c r="H1175" s="8" t="s">
        <v>997</v>
      </c>
      <c r="I1175" s="2" t="str">
        <f t="shared" si="35"/>
        <v>Nối góc 90 độ phun uPVC DN27 PN10</v>
      </c>
      <c r="J1175" s="8" t="s">
        <v>15</v>
      </c>
      <c r="K1175" s="10">
        <v>500</v>
      </c>
      <c r="L1175" s="10">
        <v>1742.4</v>
      </c>
      <c r="M1175" s="11">
        <v>871200</v>
      </c>
      <c r="N1175" s="8" t="s">
        <v>16</v>
      </c>
      <c r="O1175" s="8" t="s">
        <v>17</v>
      </c>
      <c r="P1175" s="8" t="s">
        <v>18</v>
      </c>
      <c r="Q1175" s="8" t="s">
        <v>18</v>
      </c>
      <c r="R1175" s="8" t="s">
        <v>2115</v>
      </c>
      <c r="S1175" s="8" t="s">
        <v>2465</v>
      </c>
      <c r="T1175" s="8" t="s">
        <v>2466</v>
      </c>
      <c r="U1175" s="8" t="s">
        <v>2702</v>
      </c>
      <c r="V1175" s="8" t="s">
        <v>944</v>
      </c>
      <c r="W1175" s="8">
        <f t="shared" si="34"/>
        <v>2</v>
      </c>
      <c r="X1175" s="8">
        <f>K1175*L1175*N1175</f>
        <v>69696</v>
      </c>
    </row>
    <row r="1176" spans="1:24" s="8" customFormat="1" ht="41.5" customHeight="1">
      <c r="A1176" s="8" t="s">
        <v>2463</v>
      </c>
      <c r="B1176" s="8" t="s">
        <v>2829</v>
      </c>
      <c r="C1176" s="9">
        <v>45770.654378969899</v>
      </c>
      <c r="D1176" s="8" t="s">
        <v>2056</v>
      </c>
      <c r="E1176" s="8" t="s">
        <v>2057</v>
      </c>
      <c r="F1176" s="8">
        <v>63</v>
      </c>
      <c r="G1176" s="27" t="s">
        <v>1336</v>
      </c>
      <c r="H1176" s="8" t="s">
        <v>998</v>
      </c>
      <c r="I1176" s="2" t="str">
        <f t="shared" si="35"/>
        <v>Bộ đèn led M26 1200/50W 6500K</v>
      </c>
      <c r="J1176" s="8" t="s">
        <v>15</v>
      </c>
      <c r="K1176" s="10">
        <v>100</v>
      </c>
      <c r="L1176" s="10">
        <v>119819.7</v>
      </c>
      <c r="M1176" s="11">
        <v>11981970</v>
      </c>
      <c r="N1176" s="8" t="s">
        <v>16</v>
      </c>
      <c r="O1176" s="8" t="s">
        <v>17</v>
      </c>
      <c r="P1176" s="8" t="s">
        <v>18</v>
      </c>
      <c r="Q1176" s="8" t="s">
        <v>18</v>
      </c>
      <c r="R1176" s="8" t="s">
        <v>2115</v>
      </c>
      <c r="S1176" s="8" t="s">
        <v>2465</v>
      </c>
      <c r="T1176" s="8" t="s">
        <v>2466</v>
      </c>
      <c r="U1176" s="8" t="s">
        <v>2702</v>
      </c>
      <c r="V1176" s="8" t="s">
        <v>944</v>
      </c>
      <c r="W1176" s="8">
        <f t="shared" si="34"/>
        <v>2</v>
      </c>
      <c r="X1176" s="8">
        <f>K1176*L1176*N1176</f>
        <v>958557.6</v>
      </c>
    </row>
    <row r="1177" spans="1:24" s="8" customFormat="1" ht="41.5" customHeight="1">
      <c r="A1177" s="8" t="s">
        <v>2281</v>
      </c>
      <c r="B1177" s="8" t="s">
        <v>2259</v>
      </c>
      <c r="C1177" s="9">
        <v>45762.662473009303</v>
      </c>
      <c r="D1177" s="8" t="s">
        <v>2056</v>
      </c>
      <c r="E1177" s="8" t="s">
        <v>2057</v>
      </c>
      <c r="F1177" s="8">
        <v>1</v>
      </c>
      <c r="G1177" s="22" t="s">
        <v>999</v>
      </c>
      <c r="H1177" s="8" t="s">
        <v>999</v>
      </c>
      <c r="I1177" s="2" t="str">
        <f t="shared" si="35"/>
        <v>Áo mưa bộ Lion A6 (2 lớp)</v>
      </c>
      <c r="J1177" s="8" t="s">
        <v>53</v>
      </c>
      <c r="K1177" s="10">
        <v>10</v>
      </c>
      <c r="L1177" s="10">
        <v>183000</v>
      </c>
      <c r="M1177" s="11">
        <v>1830000</v>
      </c>
      <c r="N1177" s="8" t="s">
        <v>16</v>
      </c>
      <c r="O1177" s="8" t="s">
        <v>17</v>
      </c>
      <c r="P1177" s="8" t="s">
        <v>18</v>
      </c>
      <c r="Q1177" s="8" t="s">
        <v>18</v>
      </c>
      <c r="R1177" s="8" t="s">
        <v>2283</v>
      </c>
      <c r="S1177" s="8" t="s">
        <v>2058</v>
      </c>
      <c r="T1177" s="8" t="s">
        <v>2059</v>
      </c>
      <c r="U1177" s="8" t="s">
        <v>2709</v>
      </c>
      <c r="V1177" s="8" t="s">
        <v>1000</v>
      </c>
      <c r="W1177" s="8">
        <f t="shared" si="34"/>
        <v>2</v>
      </c>
      <c r="X1177" s="8">
        <f>K1177*L1177*N1177</f>
        <v>146400</v>
      </c>
    </row>
    <row r="1178" spans="1:24" s="8" customFormat="1" ht="41.5" customHeight="1">
      <c r="A1178" s="8" t="s">
        <v>2281</v>
      </c>
      <c r="B1178" s="8" t="s">
        <v>2259</v>
      </c>
      <c r="C1178" s="9">
        <v>45762.662473009303</v>
      </c>
      <c r="D1178" s="8" t="s">
        <v>2056</v>
      </c>
      <c r="E1178" s="8" t="s">
        <v>2057</v>
      </c>
      <c r="F1178" s="8">
        <v>2</v>
      </c>
      <c r="G1178" s="22" t="s">
        <v>24</v>
      </c>
      <c r="H1178" s="8" t="s">
        <v>24</v>
      </c>
      <c r="I1178" s="2" t="str">
        <f t="shared" si="35"/>
        <v>Găng tay sợi phủ lòng cao su</v>
      </c>
      <c r="J1178" s="8" t="s">
        <v>22</v>
      </c>
      <c r="K1178" s="10">
        <v>1000</v>
      </c>
      <c r="L1178" s="10">
        <v>2400</v>
      </c>
      <c r="M1178" s="11">
        <v>2400000</v>
      </c>
      <c r="N1178" s="8" t="s">
        <v>16</v>
      </c>
      <c r="O1178" s="8" t="s">
        <v>17</v>
      </c>
      <c r="P1178" s="8" t="s">
        <v>18</v>
      </c>
      <c r="Q1178" s="8" t="s">
        <v>18</v>
      </c>
      <c r="R1178" s="8" t="s">
        <v>2283</v>
      </c>
      <c r="S1178" s="8" t="s">
        <v>2058</v>
      </c>
      <c r="T1178" s="8" t="s">
        <v>2059</v>
      </c>
      <c r="U1178" s="8" t="s">
        <v>2709</v>
      </c>
      <c r="V1178" s="8" t="s">
        <v>1000</v>
      </c>
      <c r="W1178" s="8">
        <f t="shared" si="34"/>
        <v>2</v>
      </c>
      <c r="X1178" s="8">
        <f>K1178*L1178*N1178</f>
        <v>192000</v>
      </c>
    </row>
    <row r="1179" spans="1:24" s="8" customFormat="1" ht="41.5" customHeight="1">
      <c r="A1179" s="8" t="s">
        <v>2281</v>
      </c>
      <c r="B1179" s="8" t="s">
        <v>2259</v>
      </c>
      <c r="C1179" s="9">
        <v>45762.662473009303</v>
      </c>
      <c r="D1179" s="8" t="s">
        <v>2056</v>
      </c>
      <c r="E1179" s="8" t="s">
        <v>2057</v>
      </c>
      <c r="F1179" s="8">
        <v>3</v>
      </c>
      <c r="G1179" s="22" t="s">
        <v>1001</v>
      </c>
      <c r="H1179" s="8" t="s">
        <v>1001</v>
      </c>
      <c r="I1179" s="2" t="str">
        <f t="shared" si="35"/>
        <v>Áo mưa tiện lợi</v>
      </c>
      <c r="J1179" s="8" t="s">
        <v>15</v>
      </c>
      <c r="K1179" s="10">
        <v>100</v>
      </c>
      <c r="L1179" s="10">
        <v>7000</v>
      </c>
      <c r="M1179" s="11">
        <v>700000</v>
      </c>
      <c r="N1179" s="8" t="s">
        <v>16</v>
      </c>
      <c r="O1179" s="8" t="s">
        <v>17</v>
      </c>
      <c r="P1179" s="8" t="s">
        <v>18</v>
      </c>
      <c r="Q1179" s="8" t="s">
        <v>18</v>
      </c>
      <c r="R1179" s="8" t="s">
        <v>2283</v>
      </c>
      <c r="S1179" s="8" t="s">
        <v>2058</v>
      </c>
      <c r="T1179" s="8" t="s">
        <v>2059</v>
      </c>
      <c r="U1179" s="8" t="s">
        <v>2709</v>
      </c>
      <c r="V1179" s="8" t="s">
        <v>1000</v>
      </c>
      <c r="W1179" s="8">
        <f t="shared" si="34"/>
        <v>2</v>
      </c>
      <c r="X1179" s="8">
        <f>K1179*L1179*N1179</f>
        <v>56000</v>
      </c>
    </row>
    <row r="1180" spans="1:24" s="8" customFormat="1" ht="41.5" customHeight="1">
      <c r="A1180" s="8" t="s">
        <v>2281</v>
      </c>
      <c r="B1180" s="8" t="s">
        <v>2259</v>
      </c>
      <c r="C1180" s="9">
        <v>45762.662473009303</v>
      </c>
      <c r="D1180" s="8" t="s">
        <v>2056</v>
      </c>
      <c r="E1180" s="8" t="s">
        <v>2057</v>
      </c>
      <c r="F1180" s="8">
        <v>4</v>
      </c>
      <c r="G1180" s="22" t="s">
        <v>562</v>
      </c>
      <c r="H1180" s="8" t="s">
        <v>562</v>
      </c>
      <c r="I1180" s="2" t="str">
        <f t="shared" si="35"/>
        <v>Áo mưa phương tiện</v>
      </c>
      <c r="J1180" s="8" t="s">
        <v>15</v>
      </c>
      <c r="K1180" s="10">
        <v>100</v>
      </c>
      <c r="L1180" s="10">
        <v>4800</v>
      </c>
      <c r="M1180" s="11">
        <v>480000</v>
      </c>
      <c r="N1180" s="8" t="s">
        <v>16</v>
      </c>
      <c r="O1180" s="8" t="s">
        <v>17</v>
      </c>
      <c r="P1180" s="8" t="s">
        <v>18</v>
      </c>
      <c r="Q1180" s="8" t="s">
        <v>18</v>
      </c>
      <c r="R1180" s="8" t="s">
        <v>2283</v>
      </c>
      <c r="S1180" s="8" t="s">
        <v>2058</v>
      </c>
      <c r="T1180" s="8" t="s">
        <v>2059</v>
      </c>
      <c r="U1180" s="8" t="s">
        <v>2709</v>
      </c>
      <c r="V1180" s="8" t="s">
        <v>1000</v>
      </c>
      <c r="W1180" s="8">
        <f t="shared" si="34"/>
        <v>2</v>
      </c>
      <c r="X1180" s="8">
        <f>K1180*L1180*N1180</f>
        <v>38400</v>
      </c>
    </row>
    <row r="1181" spans="1:24" s="8" customFormat="1" ht="41.5" customHeight="1">
      <c r="A1181" s="8" t="s">
        <v>2281</v>
      </c>
      <c r="B1181" s="8" t="s">
        <v>2848</v>
      </c>
      <c r="C1181" s="9">
        <v>45770.608212442101</v>
      </c>
      <c r="D1181" s="8" t="s">
        <v>2056</v>
      </c>
      <c r="E1181" s="8" t="s">
        <v>2057</v>
      </c>
      <c r="F1181" s="8">
        <v>1</v>
      </c>
      <c r="G1181" s="22" t="s">
        <v>914</v>
      </c>
      <c r="H1181" s="8" t="s">
        <v>914</v>
      </c>
      <c r="I1181" s="2" t="str">
        <f t="shared" si="35"/>
        <v>Bình chữa cháy MFZL4</v>
      </c>
      <c r="J1181" s="8" t="s">
        <v>565</v>
      </c>
      <c r="K1181" s="10">
        <v>3</v>
      </c>
      <c r="L1181" s="10">
        <v>215000</v>
      </c>
      <c r="M1181" s="11">
        <v>645000</v>
      </c>
      <c r="N1181" s="8" t="s">
        <v>16</v>
      </c>
      <c r="O1181" s="8" t="s">
        <v>17</v>
      </c>
      <c r="P1181" s="8" t="s">
        <v>18</v>
      </c>
      <c r="Q1181" s="8" t="s">
        <v>18</v>
      </c>
      <c r="R1181" s="8" t="s">
        <v>2283</v>
      </c>
      <c r="S1181" s="8" t="s">
        <v>2058</v>
      </c>
      <c r="T1181" s="8" t="s">
        <v>2059</v>
      </c>
      <c r="U1181" s="8" t="s">
        <v>2709</v>
      </c>
      <c r="V1181" s="8" t="s">
        <v>944</v>
      </c>
      <c r="W1181" s="8">
        <f t="shared" ref="W1181:W1244" si="36">ROUNDUP(MONTH(V1181)/3,0)</f>
        <v>2</v>
      </c>
      <c r="X1181" s="8">
        <f>K1181*L1181*N1181</f>
        <v>51600</v>
      </c>
    </row>
    <row r="1182" spans="1:24" s="8" customFormat="1" ht="41.5" customHeight="1">
      <c r="A1182" s="8" t="s">
        <v>2286</v>
      </c>
      <c r="B1182" s="8" t="s">
        <v>2849</v>
      </c>
      <c r="C1182" s="9">
        <v>45775.418873205999</v>
      </c>
      <c r="D1182" s="8" t="s">
        <v>2056</v>
      </c>
      <c r="E1182" s="8" t="s">
        <v>2057</v>
      </c>
      <c r="F1182" s="8">
        <v>1</v>
      </c>
      <c r="G1182" s="22" t="s">
        <v>258</v>
      </c>
      <c r="H1182" s="8" t="s">
        <v>258</v>
      </c>
      <c r="I1182" s="2" t="str">
        <f t="shared" si="35"/>
        <v>Nhũ NT26 1kg</v>
      </c>
      <c r="J1182" s="8" t="s">
        <v>27</v>
      </c>
      <c r="K1182" s="10">
        <v>1</v>
      </c>
      <c r="L1182" s="10">
        <v>430909</v>
      </c>
      <c r="M1182" s="11">
        <v>430909</v>
      </c>
      <c r="N1182" s="8" t="s">
        <v>30</v>
      </c>
      <c r="O1182" s="8" t="s">
        <v>17</v>
      </c>
      <c r="P1182" s="8" t="s">
        <v>18</v>
      </c>
      <c r="Q1182" s="8" t="s">
        <v>18</v>
      </c>
      <c r="R1182" s="8" t="s">
        <v>2110</v>
      </c>
      <c r="S1182" s="8" t="s">
        <v>2120</v>
      </c>
      <c r="T1182" s="8" t="s">
        <v>2121</v>
      </c>
      <c r="U1182" s="8" t="s">
        <v>2789</v>
      </c>
      <c r="V1182" s="8" t="s">
        <v>1002</v>
      </c>
      <c r="W1182" s="8">
        <f t="shared" si="36"/>
        <v>2</v>
      </c>
      <c r="X1182" s="8">
        <f>K1182*L1182*N1182</f>
        <v>43090.9</v>
      </c>
    </row>
    <row r="1183" spans="1:24" s="8" customFormat="1" ht="41.5" customHeight="1">
      <c r="A1183" s="8" t="s">
        <v>2286</v>
      </c>
      <c r="B1183" s="8" t="s">
        <v>2849</v>
      </c>
      <c r="C1183" s="9">
        <v>45775.418873205999</v>
      </c>
      <c r="D1183" s="8" t="s">
        <v>2056</v>
      </c>
      <c r="E1183" s="8" t="s">
        <v>2057</v>
      </c>
      <c r="F1183" s="8">
        <v>2</v>
      </c>
      <c r="G1183" s="22" t="s">
        <v>1299</v>
      </c>
      <c r="H1183" s="8" t="s">
        <v>100</v>
      </c>
      <c r="I1183" s="2" t="str">
        <f t="shared" si="35"/>
        <v>Majestic đẹp hoàn hảo bóng base A 4.5L</v>
      </c>
      <c r="J1183" s="8" t="s">
        <v>56</v>
      </c>
      <c r="K1183" s="10">
        <v>1</v>
      </c>
      <c r="L1183" s="10">
        <v>629091</v>
      </c>
      <c r="M1183" s="11">
        <v>629091</v>
      </c>
      <c r="N1183" s="8" t="s">
        <v>30</v>
      </c>
      <c r="O1183" s="8" t="s">
        <v>17</v>
      </c>
      <c r="P1183" s="8" t="s">
        <v>18</v>
      </c>
      <c r="Q1183" s="8" t="s">
        <v>18</v>
      </c>
      <c r="R1183" s="8" t="s">
        <v>2110</v>
      </c>
      <c r="S1183" s="8" t="s">
        <v>2120</v>
      </c>
      <c r="T1183" s="8" t="s">
        <v>2121</v>
      </c>
      <c r="U1183" s="8" t="s">
        <v>2789</v>
      </c>
      <c r="V1183" s="8" t="s">
        <v>1002</v>
      </c>
      <c r="W1183" s="8">
        <f t="shared" si="36"/>
        <v>2</v>
      </c>
      <c r="X1183" s="8">
        <f>K1183*L1183*N1183</f>
        <v>62909.100000000006</v>
      </c>
    </row>
    <row r="1184" spans="1:24" s="8" customFormat="1" ht="41.5" customHeight="1">
      <c r="A1184" s="8" t="s">
        <v>2286</v>
      </c>
      <c r="B1184" s="8" t="s">
        <v>2849</v>
      </c>
      <c r="C1184" s="9">
        <v>45775.418873205999</v>
      </c>
      <c r="D1184" s="8" t="s">
        <v>2056</v>
      </c>
      <c r="E1184" s="8" t="s">
        <v>2057</v>
      </c>
      <c r="F1184" s="8">
        <v>3</v>
      </c>
      <c r="G1184" s="22" t="s">
        <v>102</v>
      </c>
      <c r="H1184" s="8" t="s">
        <v>102</v>
      </c>
      <c r="I1184" s="2" t="str">
        <f t="shared" si="35"/>
        <v>Majestic Primer 17L</v>
      </c>
      <c r="J1184" s="8" t="s">
        <v>54</v>
      </c>
      <c r="K1184" s="10">
        <v>3</v>
      </c>
      <c r="L1184" s="10">
        <v>1381818</v>
      </c>
      <c r="M1184" s="11">
        <v>4145454</v>
      </c>
      <c r="N1184" s="8" t="s">
        <v>30</v>
      </c>
      <c r="O1184" s="8" t="s">
        <v>17</v>
      </c>
      <c r="P1184" s="8" t="s">
        <v>18</v>
      </c>
      <c r="Q1184" s="8" t="s">
        <v>18</v>
      </c>
      <c r="R1184" s="8" t="s">
        <v>2110</v>
      </c>
      <c r="S1184" s="8" t="s">
        <v>2120</v>
      </c>
      <c r="T1184" s="8" t="s">
        <v>2121</v>
      </c>
      <c r="U1184" s="8" t="s">
        <v>2789</v>
      </c>
      <c r="V1184" s="8" t="s">
        <v>1002</v>
      </c>
      <c r="W1184" s="8">
        <f t="shared" si="36"/>
        <v>2</v>
      </c>
      <c r="X1184" s="8">
        <f>K1184*L1184*N1184</f>
        <v>414545.4</v>
      </c>
    </row>
    <row r="1185" spans="1:24" s="8" customFormat="1" ht="41.5" customHeight="1">
      <c r="A1185" s="8" t="s">
        <v>2286</v>
      </c>
      <c r="B1185" s="8" t="s">
        <v>2849</v>
      </c>
      <c r="C1185" s="9">
        <v>45775.418873205999</v>
      </c>
      <c r="D1185" s="8" t="s">
        <v>2056</v>
      </c>
      <c r="E1185" s="8" t="s">
        <v>2057</v>
      </c>
      <c r="F1185" s="8">
        <v>4</v>
      </c>
      <c r="G1185" s="22" t="s">
        <v>101</v>
      </c>
      <c r="H1185" s="8" t="s">
        <v>101</v>
      </c>
      <c r="I1185" s="2" t="str">
        <f t="shared" si="35"/>
        <v>Majestic đẹp hoàn hảo bóng base A 13.5L</v>
      </c>
      <c r="J1185" s="8" t="s">
        <v>54</v>
      </c>
      <c r="K1185" s="10">
        <v>1</v>
      </c>
      <c r="L1185" s="10">
        <v>1796364</v>
      </c>
      <c r="M1185" s="11">
        <v>1796364</v>
      </c>
      <c r="N1185" s="8" t="s">
        <v>30</v>
      </c>
      <c r="O1185" s="8" t="s">
        <v>17</v>
      </c>
      <c r="P1185" s="8" t="s">
        <v>18</v>
      </c>
      <c r="Q1185" s="8" t="s">
        <v>18</v>
      </c>
      <c r="R1185" s="8" t="s">
        <v>2110</v>
      </c>
      <c r="S1185" s="8" t="s">
        <v>2120</v>
      </c>
      <c r="T1185" s="8" t="s">
        <v>2121</v>
      </c>
      <c r="U1185" s="8" t="s">
        <v>2789</v>
      </c>
      <c r="V1185" s="8" t="s">
        <v>1002</v>
      </c>
      <c r="W1185" s="8">
        <f t="shared" si="36"/>
        <v>2</v>
      </c>
      <c r="X1185" s="8">
        <f>K1185*L1185*N1185</f>
        <v>179636.40000000002</v>
      </c>
    </row>
    <row r="1186" spans="1:24" s="8" customFormat="1" ht="41.5" customHeight="1">
      <c r="A1186" s="8" t="s">
        <v>2286</v>
      </c>
      <c r="B1186" s="8" t="s">
        <v>2850</v>
      </c>
      <c r="C1186" s="9">
        <v>45775.4187849769</v>
      </c>
      <c r="D1186" s="8" t="s">
        <v>2056</v>
      </c>
      <c r="E1186" s="8" t="s">
        <v>2057</v>
      </c>
      <c r="F1186" s="8">
        <v>1</v>
      </c>
      <c r="G1186" s="27" t="s">
        <v>1260</v>
      </c>
      <c r="H1186" s="8" t="s">
        <v>1003</v>
      </c>
      <c r="I1186" s="2" t="str">
        <f t="shared" si="35"/>
        <v>Vữa rót sikagrout 214-11</v>
      </c>
      <c r="J1186" s="8" t="s">
        <v>35</v>
      </c>
      <c r="K1186" s="10">
        <v>375</v>
      </c>
      <c r="L1186" s="10">
        <v>9630</v>
      </c>
      <c r="M1186" s="11">
        <v>3611250</v>
      </c>
      <c r="N1186" s="8" t="s">
        <v>16</v>
      </c>
      <c r="O1186" s="8" t="s">
        <v>17</v>
      </c>
      <c r="P1186" s="8" t="s">
        <v>18</v>
      </c>
      <c r="Q1186" s="8" t="s">
        <v>18</v>
      </c>
      <c r="R1186" s="8" t="s">
        <v>2110</v>
      </c>
      <c r="S1186" s="8" t="s">
        <v>2120</v>
      </c>
      <c r="T1186" s="8" t="s">
        <v>2121</v>
      </c>
      <c r="U1186" s="8" t="s">
        <v>2789</v>
      </c>
      <c r="V1186" s="8" t="s">
        <v>1002</v>
      </c>
      <c r="W1186" s="8">
        <f t="shared" si="36"/>
        <v>2</v>
      </c>
      <c r="X1186" s="8">
        <f>K1186*L1186*N1186</f>
        <v>288900</v>
      </c>
    </row>
    <row r="1187" spans="1:24" s="8" customFormat="1" ht="41.5" customHeight="1">
      <c r="A1187" s="8" t="s">
        <v>2286</v>
      </c>
      <c r="B1187" s="8" t="s">
        <v>2850</v>
      </c>
      <c r="C1187" s="9">
        <v>45775.4187849769</v>
      </c>
      <c r="D1187" s="8" t="s">
        <v>2056</v>
      </c>
      <c r="E1187" s="8" t="s">
        <v>2057</v>
      </c>
      <c r="F1187" s="8">
        <v>2</v>
      </c>
      <c r="G1187" s="27" t="s">
        <v>397</v>
      </c>
      <c r="H1187" s="8" t="s">
        <v>397</v>
      </c>
      <c r="I1187" s="2" t="str">
        <f t="shared" si="35"/>
        <v>Phụ gia bê tông chống thấm Sika Latex TH 5L</v>
      </c>
      <c r="J1187" s="8" t="s">
        <v>27</v>
      </c>
      <c r="K1187" s="10">
        <v>25</v>
      </c>
      <c r="L1187" s="10">
        <v>49074</v>
      </c>
      <c r="M1187" s="11">
        <v>1226850</v>
      </c>
      <c r="N1187" s="8" t="s">
        <v>16</v>
      </c>
      <c r="O1187" s="8" t="s">
        <v>17</v>
      </c>
      <c r="P1187" s="8" t="s">
        <v>18</v>
      </c>
      <c r="Q1187" s="8" t="s">
        <v>18</v>
      </c>
      <c r="R1187" s="8" t="s">
        <v>2110</v>
      </c>
      <c r="S1187" s="8" t="s">
        <v>2120</v>
      </c>
      <c r="T1187" s="8" t="s">
        <v>2121</v>
      </c>
      <c r="U1187" s="8" t="s">
        <v>2789</v>
      </c>
      <c r="V1187" s="8" t="s">
        <v>1002</v>
      </c>
      <c r="W1187" s="8">
        <f t="shared" si="36"/>
        <v>2</v>
      </c>
      <c r="X1187" s="8">
        <f>K1187*L1187*N1187</f>
        <v>98148</v>
      </c>
    </row>
    <row r="1188" spans="1:24" s="8" customFormat="1" ht="41.5" customHeight="1">
      <c r="A1188" s="8" t="s">
        <v>2286</v>
      </c>
      <c r="B1188" s="8" t="s">
        <v>2850</v>
      </c>
      <c r="C1188" s="9">
        <v>45775.4187849769</v>
      </c>
      <c r="D1188" s="8" t="s">
        <v>2056</v>
      </c>
      <c r="E1188" s="8" t="s">
        <v>2057</v>
      </c>
      <c r="F1188" s="8">
        <v>3</v>
      </c>
      <c r="G1188" s="22" t="s">
        <v>128</v>
      </c>
      <c r="H1188" s="8" t="s">
        <v>128</v>
      </c>
      <c r="I1188" s="2" t="str">
        <f t="shared" si="35"/>
        <v>Phụ gia bê tông chống thấm Sika Latex TH 25L</v>
      </c>
      <c r="J1188" s="8" t="s">
        <v>27</v>
      </c>
      <c r="K1188" s="10">
        <v>25</v>
      </c>
      <c r="L1188" s="10">
        <v>48148</v>
      </c>
      <c r="M1188" s="11">
        <v>1203700</v>
      </c>
      <c r="N1188" s="8" t="s">
        <v>16</v>
      </c>
      <c r="O1188" s="8" t="s">
        <v>17</v>
      </c>
      <c r="P1188" s="8" t="s">
        <v>18</v>
      </c>
      <c r="Q1188" s="8" t="s">
        <v>18</v>
      </c>
      <c r="R1188" s="8" t="s">
        <v>2110</v>
      </c>
      <c r="S1188" s="8" t="s">
        <v>2120</v>
      </c>
      <c r="T1188" s="8" t="s">
        <v>2121</v>
      </c>
      <c r="U1188" s="8" t="s">
        <v>2789</v>
      </c>
      <c r="V1188" s="8" t="s">
        <v>1002</v>
      </c>
      <c r="W1188" s="8">
        <f t="shared" si="36"/>
        <v>2</v>
      </c>
      <c r="X1188" s="8">
        <f>K1188*L1188*N1188</f>
        <v>96296</v>
      </c>
    </row>
    <row r="1189" spans="1:24" s="8" customFormat="1" ht="41.5" customHeight="1">
      <c r="A1189" s="8" t="s">
        <v>2286</v>
      </c>
      <c r="B1189" s="8" t="s">
        <v>2850</v>
      </c>
      <c r="C1189" s="9">
        <v>45775.4187849769</v>
      </c>
      <c r="D1189" s="8" t="s">
        <v>2056</v>
      </c>
      <c r="E1189" s="8" t="s">
        <v>2057</v>
      </c>
      <c r="F1189" s="8">
        <v>4</v>
      </c>
      <c r="G1189" s="27" t="s">
        <v>397</v>
      </c>
      <c r="H1189" s="8" t="s">
        <v>1004</v>
      </c>
      <c r="I1189" s="2" t="str">
        <f t="shared" si="35"/>
        <v>Phụ gia bê tông chống thấm Sika Latex TH 5L</v>
      </c>
      <c r="J1189" s="8" t="s">
        <v>27</v>
      </c>
      <c r="K1189" s="10">
        <v>5</v>
      </c>
      <c r="L1189" s="10">
        <v>0</v>
      </c>
      <c r="M1189" s="11">
        <v>0</v>
      </c>
      <c r="N1189" s="8" t="s">
        <v>16</v>
      </c>
      <c r="O1189" s="8" t="s">
        <v>17</v>
      </c>
      <c r="P1189" s="8" t="s">
        <v>18</v>
      </c>
      <c r="Q1189" s="8" t="s">
        <v>18</v>
      </c>
      <c r="R1189" s="8" t="s">
        <v>2110</v>
      </c>
      <c r="S1189" s="8" t="s">
        <v>2120</v>
      </c>
      <c r="T1189" s="8" t="s">
        <v>2121</v>
      </c>
      <c r="U1189" s="8" t="s">
        <v>2789</v>
      </c>
      <c r="V1189" s="8" t="s">
        <v>1002</v>
      </c>
      <c r="W1189" s="8">
        <f t="shared" si="36"/>
        <v>2</v>
      </c>
      <c r="X1189" s="8">
        <f>K1189*L1189*N1189</f>
        <v>0</v>
      </c>
    </row>
    <row r="1190" spans="1:24" s="8" customFormat="1" ht="41.5" customHeight="1">
      <c r="A1190" s="8" t="s">
        <v>2280</v>
      </c>
      <c r="B1190" s="8" t="s">
        <v>1005</v>
      </c>
      <c r="C1190" s="9">
        <v>45775.644700138902</v>
      </c>
      <c r="D1190" s="8" t="s">
        <v>2056</v>
      </c>
      <c r="E1190" s="8" t="s">
        <v>2057</v>
      </c>
      <c r="F1190" s="8">
        <v>1</v>
      </c>
      <c r="G1190" s="22" t="s">
        <v>1330</v>
      </c>
      <c r="H1190" s="8" t="s">
        <v>749</v>
      </c>
      <c r="I1190" s="2" t="str">
        <f t="shared" si="35"/>
        <v>Dung môi cao cấp</v>
      </c>
      <c r="J1190" s="8" t="s">
        <v>35</v>
      </c>
      <c r="K1190" s="10">
        <v>60</v>
      </c>
      <c r="L1190" s="10">
        <v>34500</v>
      </c>
      <c r="M1190" s="11">
        <v>2070000</v>
      </c>
      <c r="N1190" s="8" t="s">
        <v>30</v>
      </c>
      <c r="O1190" s="8" t="s">
        <v>17</v>
      </c>
      <c r="P1190" s="8" t="s">
        <v>18</v>
      </c>
      <c r="Q1190" s="8" t="s">
        <v>18</v>
      </c>
      <c r="R1190" s="8" t="s">
        <v>2110</v>
      </c>
      <c r="S1190" s="8" t="s">
        <v>2292</v>
      </c>
      <c r="T1190" s="8" t="s">
        <v>2293</v>
      </c>
      <c r="U1190" s="8" t="s">
        <v>2710</v>
      </c>
      <c r="V1190" s="8" t="s">
        <v>1002</v>
      </c>
      <c r="W1190" s="8">
        <f t="shared" si="36"/>
        <v>2</v>
      </c>
      <c r="X1190" s="8">
        <f>K1190*L1190*N1190</f>
        <v>207000</v>
      </c>
    </row>
    <row r="1191" spans="1:24" s="8" customFormat="1" ht="41.5" customHeight="1">
      <c r="A1191" s="8" t="s">
        <v>2280</v>
      </c>
      <c r="B1191" s="8" t="s">
        <v>1005</v>
      </c>
      <c r="C1191" s="9">
        <v>45775.644700138902</v>
      </c>
      <c r="D1191" s="8" t="s">
        <v>2056</v>
      </c>
      <c r="E1191" s="8" t="s">
        <v>2057</v>
      </c>
      <c r="F1191" s="8">
        <v>2</v>
      </c>
      <c r="G1191" s="22" t="s">
        <v>2628</v>
      </c>
      <c r="H1191" s="8" t="s">
        <v>756</v>
      </c>
      <c r="I1191" s="2" t="str">
        <f t="shared" si="35"/>
        <v>sơn sắt mạ kẽm màu ghi sáng E361</v>
      </c>
      <c r="J1191" s="8" t="s">
        <v>35</v>
      </c>
      <c r="K1191" s="10">
        <v>150.01</v>
      </c>
      <c r="L1191" s="10">
        <v>68500</v>
      </c>
      <c r="M1191" s="11">
        <v>10275685</v>
      </c>
      <c r="N1191" s="8" t="s">
        <v>30</v>
      </c>
      <c r="O1191" s="8" t="s">
        <v>17</v>
      </c>
      <c r="P1191" s="8" t="s">
        <v>18</v>
      </c>
      <c r="Q1191" s="8" t="s">
        <v>18</v>
      </c>
      <c r="R1191" s="8" t="s">
        <v>2110</v>
      </c>
      <c r="S1191" s="8" t="s">
        <v>2292</v>
      </c>
      <c r="T1191" s="8" t="s">
        <v>2293</v>
      </c>
      <c r="U1191" s="8" t="s">
        <v>2710</v>
      </c>
      <c r="V1191" s="8" t="s">
        <v>1002</v>
      </c>
      <c r="W1191" s="8">
        <f t="shared" si="36"/>
        <v>2</v>
      </c>
      <c r="X1191" s="8">
        <f>K1191*L1191*N1191</f>
        <v>1027568.5</v>
      </c>
    </row>
    <row r="1192" spans="1:24" s="8" customFormat="1" ht="41.5" customHeight="1">
      <c r="A1192" s="8" t="s">
        <v>2280</v>
      </c>
      <c r="B1192" s="8" t="s">
        <v>1005</v>
      </c>
      <c r="C1192" s="9">
        <v>45775.644700138902</v>
      </c>
      <c r="D1192" s="8" t="s">
        <v>2056</v>
      </c>
      <c r="E1192" s="8" t="s">
        <v>2057</v>
      </c>
      <c r="F1192" s="8">
        <v>3</v>
      </c>
      <c r="G1192" s="22" t="s">
        <v>1006</v>
      </c>
      <c r="H1192" s="8" t="s">
        <v>1006</v>
      </c>
      <c r="I1192" s="2" t="str">
        <f t="shared" si="35"/>
        <v>Sơn sắt mạ kẽm màu Xingfa đen Z33</v>
      </c>
      <c r="J1192" s="8" t="s">
        <v>35</v>
      </c>
      <c r="K1192" s="10">
        <v>102</v>
      </c>
      <c r="L1192" s="10">
        <v>73500</v>
      </c>
      <c r="M1192" s="11">
        <v>7497000</v>
      </c>
      <c r="N1192" s="8" t="s">
        <v>30</v>
      </c>
      <c r="O1192" s="8" t="s">
        <v>17</v>
      </c>
      <c r="P1192" s="8" t="s">
        <v>18</v>
      </c>
      <c r="Q1192" s="8" t="s">
        <v>18</v>
      </c>
      <c r="R1192" s="8" t="s">
        <v>2110</v>
      </c>
      <c r="S1192" s="8" t="s">
        <v>2292</v>
      </c>
      <c r="T1192" s="8" t="s">
        <v>2293</v>
      </c>
      <c r="U1192" s="8" t="s">
        <v>2710</v>
      </c>
      <c r="V1192" s="8" t="s">
        <v>1002</v>
      </c>
      <c r="W1192" s="8">
        <f t="shared" si="36"/>
        <v>2</v>
      </c>
      <c r="X1192" s="8">
        <f>K1192*L1192*N1192</f>
        <v>749700</v>
      </c>
    </row>
    <row r="1193" spans="1:24" s="8" customFormat="1" ht="41.5" customHeight="1">
      <c r="A1193" s="8" t="s">
        <v>2280</v>
      </c>
      <c r="B1193" s="8" t="s">
        <v>1005</v>
      </c>
      <c r="C1193" s="9">
        <v>45775.644700138902</v>
      </c>
      <c r="D1193" s="8" t="s">
        <v>2056</v>
      </c>
      <c r="E1193" s="8" t="s">
        <v>2057</v>
      </c>
      <c r="F1193" s="8">
        <v>4</v>
      </c>
      <c r="G1193" s="22" t="s">
        <v>2630</v>
      </c>
      <c r="H1193" s="8" t="s">
        <v>1007</v>
      </c>
      <c r="I1193" s="2" t="str">
        <f t="shared" si="35"/>
        <v>Sơn sắt mạ kẽm màu xingfa đỏ Z34</v>
      </c>
      <c r="J1193" s="8" t="s">
        <v>35</v>
      </c>
      <c r="K1193" s="10">
        <v>60</v>
      </c>
      <c r="L1193" s="10">
        <v>73500</v>
      </c>
      <c r="M1193" s="11">
        <v>4410000</v>
      </c>
      <c r="N1193" s="8" t="s">
        <v>30</v>
      </c>
      <c r="O1193" s="8" t="s">
        <v>17</v>
      </c>
      <c r="P1193" s="8" t="s">
        <v>18</v>
      </c>
      <c r="Q1193" s="8" t="s">
        <v>18</v>
      </c>
      <c r="R1193" s="8" t="s">
        <v>2110</v>
      </c>
      <c r="S1193" s="8" t="s">
        <v>2292</v>
      </c>
      <c r="T1193" s="8" t="s">
        <v>2293</v>
      </c>
      <c r="U1193" s="8" t="s">
        <v>2710</v>
      </c>
      <c r="V1193" s="8" t="s">
        <v>1002</v>
      </c>
      <c r="W1193" s="8">
        <f t="shared" si="36"/>
        <v>2</v>
      </c>
      <c r="X1193" s="8">
        <f>K1193*L1193*N1193</f>
        <v>441000</v>
      </c>
    </row>
    <row r="1194" spans="1:24" s="8" customFormat="1" ht="41.5" customHeight="1">
      <c r="A1194" s="8" t="s">
        <v>2280</v>
      </c>
      <c r="B1194" s="8" t="s">
        <v>1005</v>
      </c>
      <c r="C1194" s="9">
        <v>45775.644700138902</v>
      </c>
      <c r="D1194" s="8" t="s">
        <v>2056</v>
      </c>
      <c r="E1194" s="8" t="s">
        <v>2057</v>
      </c>
      <c r="F1194" s="8">
        <v>5</v>
      </c>
      <c r="G1194" s="22" t="s">
        <v>1008</v>
      </c>
      <c r="H1194" s="8" t="s">
        <v>1008</v>
      </c>
      <c r="I1194" s="2" t="str">
        <f t="shared" si="35"/>
        <v>Sơn sắt mạ kẽm màu đen E860</v>
      </c>
      <c r="J1194" s="8" t="s">
        <v>35</v>
      </c>
      <c r="K1194" s="10">
        <v>150</v>
      </c>
      <c r="L1194" s="10">
        <v>68500</v>
      </c>
      <c r="M1194" s="11">
        <v>10275000</v>
      </c>
      <c r="N1194" s="8" t="s">
        <v>30</v>
      </c>
      <c r="O1194" s="8" t="s">
        <v>17</v>
      </c>
      <c r="P1194" s="8" t="s">
        <v>18</v>
      </c>
      <c r="Q1194" s="8" t="s">
        <v>18</v>
      </c>
      <c r="R1194" s="8" t="s">
        <v>2110</v>
      </c>
      <c r="S1194" s="8" t="s">
        <v>2292</v>
      </c>
      <c r="T1194" s="8" t="s">
        <v>2293</v>
      </c>
      <c r="U1194" s="8" t="s">
        <v>2710</v>
      </c>
      <c r="V1194" s="8" t="s">
        <v>1002</v>
      </c>
      <c r="W1194" s="8">
        <f t="shared" si="36"/>
        <v>2</v>
      </c>
      <c r="X1194" s="8">
        <f>K1194*L1194*N1194</f>
        <v>1027500</v>
      </c>
    </row>
    <row r="1195" spans="1:24" s="8" customFormat="1" ht="41.5" customHeight="1">
      <c r="A1195" s="8" t="s">
        <v>2280</v>
      </c>
      <c r="B1195" s="8" t="s">
        <v>1005</v>
      </c>
      <c r="C1195" s="9">
        <v>45775.644700138902</v>
      </c>
      <c r="D1195" s="8" t="s">
        <v>2056</v>
      </c>
      <c r="E1195" s="8" t="s">
        <v>2057</v>
      </c>
      <c r="F1195" s="8">
        <v>6</v>
      </c>
      <c r="G1195" s="22" t="s">
        <v>1009</v>
      </c>
      <c r="H1195" s="8" t="s">
        <v>1009</v>
      </c>
      <c r="I1195" s="2" t="str">
        <f t="shared" si="35"/>
        <v>Sơn dầu 9000</v>
      </c>
      <c r="J1195" s="8" t="s">
        <v>35</v>
      </c>
      <c r="K1195" s="10">
        <v>12</v>
      </c>
      <c r="L1195" s="10">
        <v>55500</v>
      </c>
      <c r="M1195" s="11">
        <v>666000</v>
      </c>
      <c r="N1195" s="8" t="s">
        <v>30</v>
      </c>
      <c r="O1195" s="8" t="s">
        <v>17</v>
      </c>
      <c r="P1195" s="8" t="s">
        <v>18</v>
      </c>
      <c r="Q1195" s="8" t="s">
        <v>18</v>
      </c>
      <c r="R1195" s="8" t="s">
        <v>2110</v>
      </c>
      <c r="S1195" s="8" t="s">
        <v>2292</v>
      </c>
      <c r="T1195" s="8" t="s">
        <v>2293</v>
      </c>
      <c r="U1195" s="8" t="s">
        <v>2710</v>
      </c>
      <c r="V1195" s="8" t="s">
        <v>1002</v>
      </c>
      <c r="W1195" s="8">
        <f t="shared" si="36"/>
        <v>2</v>
      </c>
      <c r="X1195" s="8">
        <f>K1195*L1195*N1195</f>
        <v>66600</v>
      </c>
    </row>
    <row r="1196" spans="1:24" s="8" customFormat="1" ht="41.5" customHeight="1">
      <c r="A1196" s="8" t="s">
        <v>2280</v>
      </c>
      <c r="B1196" s="8" t="s">
        <v>1005</v>
      </c>
      <c r="C1196" s="9">
        <v>45775.644700138902</v>
      </c>
      <c r="D1196" s="8" t="s">
        <v>2056</v>
      </c>
      <c r="E1196" s="8" t="s">
        <v>2057</v>
      </c>
      <c r="F1196" s="8">
        <v>7</v>
      </c>
      <c r="G1196" s="22" t="s">
        <v>855</v>
      </c>
      <c r="H1196" s="8" t="s">
        <v>855</v>
      </c>
      <c r="I1196" s="2" t="str">
        <f t="shared" si="35"/>
        <v>Sơn dầu 9050</v>
      </c>
      <c r="J1196" s="8" t="s">
        <v>35</v>
      </c>
      <c r="K1196" s="10">
        <v>12</v>
      </c>
      <c r="L1196" s="10">
        <v>50500</v>
      </c>
      <c r="M1196" s="11">
        <v>606000</v>
      </c>
      <c r="N1196" s="8" t="s">
        <v>30</v>
      </c>
      <c r="O1196" s="8" t="s">
        <v>17</v>
      </c>
      <c r="P1196" s="8" t="s">
        <v>18</v>
      </c>
      <c r="Q1196" s="8" t="s">
        <v>18</v>
      </c>
      <c r="R1196" s="8" t="s">
        <v>2110</v>
      </c>
      <c r="S1196" s="8" t="s">
        <v>2292</v>
      </c>
      <c r="T1196" s="8" t="s">
        <v>2293</v>
      </c>
      <c r="U1196" s="8" t="s">
        <v>2710</v>
      </c>
      <c r="V1196" s="8" t="s">
        <v>1002</v>
      </c>
      <c r="W1196" s="8">
        <f t="shared" si="36"/>
        <v>2</v>
      </c>
      <c r="X1196" s="8">
        <f>K1196*L1196*N1196</f>
        <v>60600</v>
      </c>
    </row>
    <row r="1197" spans="1:24" s="8" customFormat="1" ht="41.5" customHeight="1">
      <c r="A1197" s="8" t="s">
        <v>2280</v>
      </c>
      <c r="B1197" s="8" t="s">
        <v>1005</v>
      </c>
      <c r="C1197" s="9">
        <v>45775.644700138902</v>
      </c>
      <c r="D1197" s="8" t="s">
        <v>2056</v>
      </c>
      <c r="E1197" s="8" t="s">
        <v>2057</v>
      </c>
      <c r="F1197" s="8">
        <v>8</v>
      </c>
      <c r="G1197" s="22" t="s">
        <v>854</v>
      </c>
      <c r="H1197" s="8" t="s">
        <v>854</v>
      </c>
      <c r="I1197" s="2" t="str">
        <f t="shared" si="35"/>
        <v>Sơn dầu 9200</v>
      </c>
      <c r="J1197" s="8" t="s">
        <v>35</v>
      </c>
      <c r="K1197" s="10">
        <v>12</v>
      </c>
      <c r="L1197" s="10">
        <v>55500</v>
      </c>
      <c r="M1197" s="11">
        <v>666000</v>
      </c>
      <c r="N1197" s="8" t="s">
        <v>30</v>
      </c>
      <c r="O1197" s="8" t="s">
        <v>17</v>
      </c>
      <c r="P1197" s="8" t="s">
        <v>18</v>
      </c>
      <c r="Q1197" s="8" t="s">
        <v>18</v>
      </c>
      <c r="R1197" s="8" t="s">
        <v>2110</v>
      </c>
      <c r="S1197" s="8" t="s">
        <v>2292</v>
      </c>
      <c r="T1197" s="8" t="s">
        <v>2293</v>
      </c>
      <c r="U1197" s="8" t="s">
        <v>2710</v>
      </c>
      <c r="V1197" s="8" t="s">
        <v>1002</v>
      </c>
      <c r="W1197" s="8">
        <f t="shared" si="36"/>
        <v>2</v>
      </c>
      <c r="X1197" s="8">
        <f>K1197*L1197*N1197</f>
        <v>66600</v>
      </c>
    </row>
    <row r="1198" spans="1:24" s="8" customFormat="1" ht="41.5" customHeight="1">
      <c r="A1198" s="8" t="s">
        <v>2280</v>
      </c>
      <c r="B1198" s="8" t="s">
        <v>1005</v>
      </c>
      <c r="C1198" s="9">
        <v>45775.644700138902</v>
      </c>
      <c r="D1198" s="8" t="s">
        <v>2056</v>
      </c>
      <c r="E1198" s="8" t="s">
        <v>2057</v>
      </c>
      <c r="F1198" s="8">
        <v>9</v>
      </c>
      <c r="G1198" s="22" t="s">
        <v>750</v>
      </c>
      <c r="H1198" s="8" t="s">
        <v>750</v>
      </c>
      <c r="I1198" s="2" t="str">
        <f t="shared" si="35"/>
        <v>Sơn sắt mạ kẽm màu nâu đỏ Z41</v>
      </c>
      <c r="J1198" s="8" t="s">
        <v>35</v>
      </c>
      <c r="K1198" s="10">
        <v>60</v>
      </c>
      <c r="L1198" s="10">
        <v>73500</v>
      </c>
      <c r="M1198" s="11">
        <v>4410000</v>
      </c>
      <c r="N1198" s="8" t="s">
        <v>30</v>
      </c>
      <c r="O1198" s="8" t="s">
        <v>17</v>
      </c>
      <c r="P1198" s="8" t="s">
        <v>18</v>
      </c>
      <c r="Q1198" s="8" t="s">
        <v>18</v>
      </c>
      <c r="R1198" s="8" t="s">
        <v>2110</v>
      </c>
      <c r="S1198" s="8" t="s">
        <v>2292</v>
      </c>
      <c r="T1198" s="8" t="s">
        <v>2293</v>
      </c>
      <c r="U1198" s="8" t="s">
        <v>2710</v>
      </c>
      <c r="V1198" s="8" t="s">
        <v>1002</v>
      </c>
      <c r="W1198" s="8">
        <f t="shared" si="36"/>
        <v>2</v>
      </c>
      <c r="X1198" s="8">
        <f>K1198*L1198*N1198</f>
        <v>441000</v>
      </c>
    </row>
    <row r="1199" spans="1:24" s="8" customFormat="1" ht="41.5" customHeight="1">
      <c r="A1199" s="8" t="s">
        <v>2280</v>
      </c>
      <c r="B1199" s="8" t="s">
        <v>1005</v>
      </c>
      <c r="C1199" s="9">
        <v>45775.644700138902</v>
      </c>
      <c r="D1199" s="8" t="s">
        <v>2056</v>
      </c>
      <c r="E1199" s="8" t="s">
        <v>2057</v>
      </c>
      <c r="F1199" s="8">
        <v>10</v>
      </c>
      <c r="G1199" s="22" t="s">
        <v>1010</v>
      </c>
      <c r="H1199" s="8" t="s">
        <v>1010</v>
      </c>
      <c r="I1199" s="2" t="str">
        <f t="shared" si="35"/>
        <v>Sơn dầu nhanh khô nhũ bạc A380</v>
      </c>
      <c r="J1199" s="8" t="s">
        <v>35</v>
      </c>
      <c r="K1199" s="10">
        <v>12</v>
      </c>
      <c r="L1199" s="10">
        <v>59500</v>
      </c>
      <c r="M1199" s="11">
        <v>714000</v>
      </c>
      <c r="N1199" s="8" t="s">
        <v>30</v>
      </c>
      <c r="O1199" s="8" t="s">
        <v>17</v>
      </c>
      <c r="P1199" s="8" t="s">
        <v>18</v>
      </c>
      <c r="Q1199" s="8" t="s">
        <v>18</v>
      </c>
      <c r="R1199" s="8" t="s">
        <v>2110</v>
      </c>
      <c r="S1199" s="8" t="s">
        <v>2292</v>
      </c>
      <c r="T1199" s="8" t="s">
        <v>2293</v>
      </c>
      <c r="U1199" s="8" t="s">
        <v>2710</v>
      </c>
      <c r="V1199" s="8" t="s">
        <v>1002</v>
      </c>
      <c r="W1199" s="8">
        <f t="shared" si="36"/>
        <v>2</v>
      </c>
      <c r="X1199" s="8">
        <f>K1199*L1199*N1199</f>
        <v>71400</v>
      </c>
    </row>
    <row r="1200" spans="1:24" s="8" customFormat="1" ht="41.5" customHeight="1">
      <c r="A1200" s="8" t="s">
        <v>2280</v>
      </c>
      <c r="B1200" s="8" t="s">
        <v>1005</v>
      </c>
      <c r="C1200" s="9">
        <v>45775.644700138902</v>
      </c>
      <c r="D1200" s="8" t="s">
        <v>2056</v>
      </c>
      <c r="E1200" s="8" t="s">
        <v>2057</v>
      </c>
      <c r="F1200" s="8">
        <v>11</v>
      </c>
      <c r="G1200" s="22" t="s">
        <v>684</v>
      </c>
      <c r="H1200" s="8" t="s">
        <v>684</v>
      </c>
      <c r="I1200" s="2" t="str">
        <f t="shared" si="35"/>
        <v>Sơn phun I300</v>
      </c>
      <c r="J1200" s="8" t="s">
        <v>56</v>
      </c>
      <c r="K1200" s="10">
        <v>122</v>
      </c>
      <c r="L1200" s="10">
        <v>25500</v>
      </c>
      <c r="M1200" s="11">
        <v>3111000</v>
      </c>
      <c r="N1200" s="8" t="s">
        <v>30</v>
      </c>
      <c r="O1200" s="8" t="s">
        <v>17</v>
      </c>
      <c r="P1200" s="8" t="s">
        <v>18</v>
      </c>
      <c r="Q1200" s="8" t="s">
        <v>18</v>
      </c>
      <c r="R1200" s="8" t="s">
        <v>2110</v>
      </c>
      <c r="S1200" s="8" t="s">
        <v>2292</v>
      </c>
      <c r="T1200" s="8" t="s">
        <v>2293</v>
      </c>
      <c r="U1200" s="8" t="s">
        <v>2710</v>
      </c>
      <c r="V1200" s="8" t="s">
        <v>1002</v>
      </c>
      <c r="W1200" s="8">
        <f t="shared" si="36"/>
        <v>2</v>
      </c>
      <c r="X1200" s="8">
        <f>K1200*L1200*N1200</f>
        <v>311100</v>
      </c>
    </row>
    <row r="1201" spans="1:24" s="8" customFormat="1" ht="41.5" customHeight="1">
      <c r="A1201" s="8" t="s">
        <v>2280</v>
      </c>
      <c r="B1201" s="8" t="s">
        <v>1005</v>
      </c>
      <c r="C1201" s="9">
        <v>45775.644700138902</v>
      </c>
      <c r="D1201" s="8" t="s">
        <v>2056</v>
      </c>
      <c r="E1201" s="8" t="s">
        <v>2057</v>
      </c>
      <c r="F1201" s="8">
        <v>12</v>
      </c>
      <c r="G1201" s="22" t="s">
        <v>1011</v>
      </c>
      <c r="H1201" s="8" t="s">
        <v>1011</v>
      </c>
      <c r="I1201" s="2" t="str">
        <f t="shared" si="35"/>
        <v>Sơn sắt mạ kẽm màu Xingfa xám E364</v>
      </c>
      <c r="J1201" s="8" t="s">
        <v>35</v>
      </c>
      <c r="K1201" s="10">
        <v>12</v>
      </c>
      <c r="L1201" s="10">
        <v>68500</v>
      </c>
      <c r="M1201" s="11">
        <v>822000</v>
      </c>
      <c r="N1201" s="8" t="s">
        <v>30</v>
      </c>
      <c r="O1201" s="8" t="s">
        <v>17</v>
      </c>
      <c r="P1201" s="8" t="s">
        <v>18</v>
      </c>
      <c r="Q1201" s="8" t="s">
        <v>18</v>
      </c>
      <c r="R1201" s="8" t="s">
        <v>2110</v>
      </c>
      <c r="S1201" s="8" t="s">
        <v>2292</v>
      </c>
      <c r="T1201" s="8" t="s">
        <v>2293</v>
      </c>
      <c r="U1201" s="8" t="s">
        <v>2710</v>
      </c>
      <c r="V1201" s="8" t="s">
        <v>1002</v>
      </c>
      <c r="W1201" s="8">
        <f t="shared" si="36"/>
        <v>2</v>
      </c>
      <c r="X1201" s="8">
        <f>K1201*L1201*N1201</f>
        <v>82200</v>
      </c>
    </row>
    <row r="1202" spans="1:24" s="8" customFormat="1" ht="41.5" customHeight="1">
      <c r="A1202" s="8" t="s">
        <v>2280</v>
      </c>
      <c r="B1202" s="8" t="s">
        <v>1005</v>
      </c>
      <c r="C1202" s="9">
        <v>45775.644700138902</v>
      </c>
      <c r="D1202" s="8" t="s">
        <v>2056</v>
      </c>
      <c r="E1202" s="8" t="s">
        <v>2057</v>
      </c>
      <c r="F1202" s="8">
        <v>13</v>
      </c>
      <c r="G1202" s="22" t="s">
        <v>1012</v>
      </c>
      <c r="H1202" s="8" t="s">
        <v>1012</v>
      </c>
      <c r="I1202" s="2" t="str">
        <f t="shared" si="35"/>
        <v>Sơn sắt mạ kẽm màu Xingfa xám Z35</v>
      </c>
      <c r="J1202" s="8" t="s">
        <v>35</v>
      </c>
      <c r="K1202" s="10">
        <v>12</v>
      </c>
      <c r="L1202" s="10">
        <v>73500</v>
      </c>
      <c r="M1202" s="11">
        <v>882000</v>
      </c>
      <c r="N1202" s="8" t="s">
        <v>30</v>
      </c>
      <c r="O1202" s="8" t="s">
        <v>17</v>
      </c>
      <c r="P1202" s="8" t="s">
        <v>18</v>
      </c>
      <c r="Q1202" s="8" t="s">
        <v>18</v>
      </c>
      <c r="R1202" s="8" t="s">
        <v>2110</v>
      </c>
      <c r="S1202" s="8" t="s">
        <v>2292</v>
      </c>
      <c r="T1202" s="8" t="s">
        <v>2293</v>
      </c>
      <c r="U1202" s="8" t="s">
        <v>2710</v>
      </c>
      <c r="V1202" s="8" t="s">
        <v>1002</v>
      </c>
      <c r="W1202" s="8">
        <f t="shared" si="36"/>
        <v>2</v>
      </c>
      <c r="X1202" s="8">
        <f>K1202*L1202*N1202</f>
        <v>88200</v>
      </c>
    </row>
    <row r="1203" spans="1:24" s="8" customFormat="1" ht="41.5" customHeight="1">
      <c r="A1203" s="8" t="s">
        <v>2280</v>
      </c>
      <c r="B1203" s="8" t="s">
        <v>1005</v>
      </c>
      <c r="C1203" s="9">
        <v>45775.644700138902</v>
      </c>
      <c r="D1203" s="8" t="s">
        <v>2056</v>
      </c>
      <c r="E1203" s="8" t="s">
        <v>2057</v>
      </c>
      <c r="F1203" s="8">
        <v>14</v>
      </c>
      <c r="G1203" s="22" t="s">
        <v>2629</v>
      </c>
      <c r="H1203" s="8" t="s">
        <v>1013</v>
      </c>
      <c r="I1203" s="2" t="str">
        <f t="shared" si="35"/>
        <v>lót chống rỉ nâu</v>
      </c>
      <c r="J1203" s="8" t="s">
        <v>35</v>
      </c>
      <c r="K1203" s="10">
        <v>100</v>
      </c>
      <c r="L1203" s="10">
        <v>38500</v>
      </c>
      <c r="M1203" s="11">
        <v>3850000</v>
      </c>
      <c r="N1203" s="8" t="s">
        <v>30</v>
      </c>
      <c r="O1203" s="8" t="s">
        <v>17</v>
      </c>
      <c r="P1203" s="8" t="s">
        <v>18</v>
      </c>
      <c r="Q1203" s="8" t="s">
        <v>18</v>
      </c>
      <c r="R1203" s="8" t="s">
        <v>2110</v>
      </c>
      <c r="S1203" s="8" t="s">
        <v>2292</v>
      </c>
      <c r="T1203" s="8" t="s">
        <v>2293</v>
      </c>
      <c r="U1203" s="8" t="s">
        <v>2710</v>
      </c>
      <c r="V1203" s="8" t="s">
        <v>1002</v>
      </c>
      <c r="W1203" s="8">
        <f t="shared" si="36"/>
        <v>2</v>
      </c>
      <c r="X1203" s="8">
        <f>K1203*L1203*N1203</f>
        <v>385000</v>
      </c>
    </row>
    <row r="1204" spans="1:24" s="8" customFormat="1" ht="41.5" customHeight="1">
      <c r="A1204" s="8" t="s">
        <v>2280</v>
      </c>
      <c r="B1204" s="8" t="s">
        <v>1005</v>
      </c>
      <c r="C1204" s="9">
        <v>45775.644700138902</v>
      </c>
      <c r="D1204" s="8" t="s">
        <v>2056</v>
      </c>
      <c r="E1204" s="8" t="s">
        <v>2057</v>
      </c>
      <c r="F1204" s="8">
        <v>15</v>
      </c>
      <c r="G1204" s="22" t="s">
        <v>1014</v>
      </c>
      <c r="H1204" s="8" t="s">
        <v>1014</v>
      </c>
      <c r="I1204" s="2" t="str">
        <f t="shared" si="35"/>
        <v>Sơn sắt mạ kẽm màu trắng E160</v>
      </c>
      <c r="J1204" s="8" t="s">
        <v>35</v>
      </c>
      <c r="K1204" s="10">
        <v>120</v>
      </c>
      <c r="L1204" s="10">
        <v>68500</v>
      </c>
      <c r="M1204" s="11">
        <v>8220000</v>
      </c>
      <c r="N1204" s="8" t="s">
        <v>30</v>
      </c>
      <c r="O1204" s="8" t="s">
        <v>17</v>
      </c>
      <c r="P1204" s="8" t="s">
        <v>18</v>
      </c>
      <c r="Q1204" s="8" t="s">
        <v>18</v>
      </c>
      <c r="R1204" s="8" t="s">
        <v>2110</v>
      </c>
      <c r="S1204" s="8" t="s">
        <v>2292</v>
      </c>
      <c r="T1204" s="8" t="s">
        <v>2293</v>
      </c>
      <c r="U1204" s="8" t="s">
        <v>2710</v>
      </c>
      <c r="V1204" s="8" t="s">
        <v>1002</v>
      </c>
      <c r="W1204" s="8">
        <f t="shared" si="36"/>
        <v>2</v>
      </c>
      <c r="X1204" s="8">
        <f>K1204*L1204*N1204</f>
        <v>822000</v>
      </c>
    </row>
    <row r="1205" spans="1:24" s="8" customFormat="1" ht="41.5" customHeight="1">
      <c r="A1205" s="8" t="s">
        <v>2280</v>
      </c>
      <c r="B1205" s="8" t="s">
        <v>1005</v>
      </c>
      <c r="C1205" s="9">
        <v>45775.644700138902</v>
      </c>
      <c r="D1205" s="8" t="s">
        <v>2056</v>
      </c>
      <c r="E1205" s="8" t="s">
        <v>2057</v>
      </c>
      <c r="F1205" s="8">
        <v>16</v>
      </c>
      <c r="G1205" s="22" t="s">
        <v>685</v>
      </c>
      <c r="H1205" s="8" t="s">
        <v>685</v>
      </c>
      <c r="I1205" s="2" t="str">
        <f t="shared" si="35"/>
        <v>Lót chống rỉ ghi</v>
      </c>
      <c r="J1205" s="8" t="s">
        <v>35</v>
      </c>
      <c r="K1205" s="10">
        <v>100</v>
      </c>
      <c r="L1205" s="10">
        <v>40500</v>
      </c>
      <c r="M1205" s="11">
        <v>4050000</v>
      </c>
      <c r="N1205" s="8" t="s">
        <v>30</v>
      </c>
      <c r="O1205" s="8" t="s">
        <v>17</v>
      </c>
      <c r="P1205" s="8" t="s">
        <v>18</v>
      </c>
      <c r="Q1205" s="8" t="s">
        <v>18</v>
      </c>
      <c r="R1205" s="8" t="s">
        <v>2110</v>
      </c>
      <c r="S1205" s="8" t="s">
        <v>2292</v>
      </c>
      <c r="T1205" s="8" t="s">
        <v>2293</v>
      </c>
      <c r="U1205" s="8" t="s">
        <v>2710</v>
      </c>
      <c r="V1205" s="8" t="s">
        <v>1002</v>
      </c>
      <c r="W1205" s="8">
        <f t="shared" si="36"/>
        <v>2</v>
      </c>
      <c r="X1205" s="8">
        <f>K1205*L1205*N1205</f>
        <v>405000</v>
      </c>
    </row>
    <row r="1206" spans="1:24" s="8" customFormat="1" ht="41.5" customHeight="1">
      <c r="A1206" s="8" t="s">
        <v>2280</v>
      </c>
      <c r="B1206" s="8" t="s">
        <v>1005</v>
      </c>
      <c r="C1206" s="9">
        <v>45775.644700138902</v>
      </c>
      <c r="D1206" s="8" t="s">
        <v>2056</v>
      </c>
      <c r="E1206" s="8" t="s">
        <v>2057</v>
      </c>
      <c r="F1206" s="8">
        <v>17</v>
      </c>
      <c r="G1206" s="22" t="s">
        <v>757</v>
      </c>
      <c r="H1206" s="8" t="s">
        <v>757</v>
      </c>
      <c r="I1206" s="2" t="str">
        <f t="shared" si="35"/>
        <v>Sơn sắt mạ kẽm màu nhũ bạc E960</v>
      </c>
      <c r="J1206" s="8" t="s">
        <v>35</v>
      </c>
      <c r="K1206" s="10">
        <v>90</v>
      </c>
      <c r="L1206" s="10">
        <v>68500</v>
      </c>
      <c r="M1206" s="11">
        <v>6165000</v>
      </c>
      <c r="N1206" s="8" t="s">
        <v>30</v>
      </c>
      <c r="O1206" s="8" t="s">
        <v>17</v>
      </c>
      <c r="P1206" s="8" t="s">
        <v>18</v>
      </c>
      <c r="Q1206" s="8" t="s">
        <v>18</v>
      </c>
      <c r="R1206" s="8" t="s">
        <v>2110</v>
      </c>
      <c r="S1206" s="8" t="s">
        <v>2292</v>
      </c>
      <c r="T1206" s="8" t="s">
        <v>2293</v>
      </c>
      <c r="U1206" s="8" t="s">
        <v>2710</v>
      </c>
      <c r="V1206" s="8" t="s">
        <v>1002</v>
      </c>
      <c r="W1206" s="8">
        <f t="shared" si="36"/>
        <v>2</v>
      </c>
      <c r="X1206" s="8">
        <f>K1206*L1206*N1206</f>
        <v>616500</v>
      </c>
    </row>
    <row r="1207" spans="1:24" s="8" customFormat="1" ht="41.5" customHeight="1">
      <c r="A1207" s="8" t="s">
        <v>2280</v>
      </c>
      <c r="B1207" s="8" t="s">
        <v>1005</v>
      </c>
      <c r="C1207" s="9">
        <v>45775.644700138902</v>
      </c>
      <c r="D1207" s="8" t="s">
        <v>2056</v>
      </c>
      <c r="E1207" s="8" t="s">
        <v>2057</v>
      </c>
      <c r="F1207" s="8">
        <v>18</v>
      </c>
      <c r="G1207" s="22" t="s">
        <v>1015</v>
      </c>
      <c r="H1207" s="8" t="s">
        <v>1015</v>
      </c>
      <c r="I1207" s="2" t="str">
        <f t="shared" si="35"/>
        <v>Sơn sắt mạ kẽm màu Xingfa đỏ E362</v>
      </c>
      <c r="J1207" s="8" t="s">
        <v>35</v>
      </c>
      <c r="K1207" s="10">
        <v>150</v>
      </c>
      <c r="L1207" s="10">
        <v>68500</v>
      </c>
      <c r="M1207" s="11">
        <v>10275000</v>
      </c>
      <c r="N1207" s="8" t="s">
        <v>30</v>
      </c>
      <c r="O1207" s="8" t="s">
        <v>17</v>
      </c>
      <c r="P1207" s="8" t="s">
        <v>18</v>
      </c>
      <c r="Q1207" s="8" t="s">
        <v>18</v>
      </c>
      <c r="R1207" s="8" t="s">
        <v>2110</v>
      </c>
      <c r="S1207" s="8" t="s">
        <v>2292</v>
      </c>
      <c r="T1207" s="8" t="s">
        <v>2293</v>
      </c>
      <c r="U1207" s="8" t="s">
        <v>2710</v>
      </c>
      <c r="V1207" s="8" t="s">
        <v>1002</v>
      </c>
      <c r="W1207" s="8">
        <f t="shared" si="36"/>
        <v>2</v>
      </c>
      <c r="X1207" s="8">
        <f>K1207*L1207*N1207</f>
        <v>1027500</v>
      </c>
    </row>
    <row r="1208" spans="1:24" s="8" customFormat="1" ht="41.5" customHeight="1">
      <c r="A1208" s="8" t="s">
        <v>2280</v>
      </c>
      <c r="B1208" s="8" t="s">
        <v>1005</v>
      </c>
      <c r="C1208" s="9">
        <v>45775.644700138902</v>
      </c>
      <c r="D1208" s="8" t="s">
        <v>2056</v>
      </c>
      <c r="E1208" s="8" t="s">
        <v>2057</v>
      </c>
      <c r="F1208" s="8">
        <v>19</v>
      </c>
      <c r="G1208" s="22" t="s">
        <v>1016</v>
      </c>
      <c r="H1208" s="8" t="s">
        <v>1016</v>
      </c>
      <c r="I1208" s="2" t="str">
        <f t="shared" si="35"/>
        <v>Sơn dầu nhanh khô xanh lá đậm A80</v>
      </c>
      <c r="J1208" s="8" t="s">
        <v>35</v>
      </c>
      <c r="K1208" s="10">
        <v>60</v>
      </c>
      <c r="L1208" s="10">
        <v>60500</v>
      </c>
      <c r="M1208" s="11">
        <v>3630000</v>
      </c>
      <c r="N1208" s="8" t="s">
        <v>30</v>
      </c>
      <c r="O1208" s="8" t="s">
        <v>17</v>
      </c>
      <c r="P1208" s="8" t="s">
        <v>18</v>
      </c>
      <c r="Q1208" s="8" t="s">
        <v>18</v>
      </c>
      <c r="R1208" s="8" t="s">
        <v>2110</v>
      </c>
      <c r="S1208" s="8" t="s">
        <v>2292</v>
      </c>
      <c r="T1208" s="8" t="s">
        <v>2293</v>
      </c>
      <c r="U1208" s="8" t="s">
        <v>2710</v>
      </c>
      <c r="V1208" s="8" t="s">
        <v>1002</v>
      </c>
      <c r="W1208" s="8">
        <f t="shared" si="36"/>
        <v>2</v>
      </c>
      <c r="X1208" s="8">
        <f>K1208*L1208*N1208</f>
        <v>363000</v>
      </c>
    </row>
    <row r="1209" spans="1:24" s="8" customFormat="1" ht="41.5" customHeight="1">
      <c r="A1209" s="8" t="s">
        <v>2280</v>
      </c>
      <c r="B1209" s="8" t="s">
        <v>1005</v>
      </c>
      <c r="C1209" s="9">
        <v>45775.644700138902</v>
      </c>
      <c r="D1209" s="8" t="s">
        <v>2056</v>
      </c>
      <c r="E1209" s="8" t="s">
        <v>2057</v>
      </c>
      <c r="F1209" s="8">
        <v>20</v>
      </c>
      <c r="G1209" s="22" t="s">
        <v>649</v>
      </c>
      <c r="H1209" s="8" t="s">
        <v>649</v>
      </c>
      <c r="I1209" s="2" t="str">
        <f t="shared" si="35"/>
        <v>Sơn sắt mạ kẽm màu cafe Z43</v>
      </c>
      <c r="J1209" s="8" t="s">
        <v>35</v>
      </c>
      <c r="K1209" s="10">
        <v>2</v>
      </c>
      <c r="L1209" s="10">
        <v>70500</v>
      </c>
      <c r="M1209" s="11">
        <v>141000</v>
      </c>
      <c r="N1209" s="8" t="s">
        <v>30</v>
      </c>
      <c r="O1209" s="8" t="s">
        <v>17</v>
      </c>
      <c r="P1209" s="8" t="s">
        <v>18</v>
      </c>
      <c r="Q1209" s="8" t="s">
        <v>18</v>
      </c>
      <c r="R1209" s="8" t="s">
        <v>2110</v>
      </c>
      <c r="S1209" s="8" t="s">
        <v>2292</v>
      </c>
      <c r="T1209" s="8" t="s">
        <v>2293</v>
      </c>
      <c r="U1209" s="8" t="s">
        <v>2710</v>
      </c>
      <c r="V1209" s="8" t="s">
        <v>1002</v>
      </c>
      <c r="W1209" s="8">
        <f t="shared" si="36"/>
        <v>2</v>
      </c>
      <c r="X1209" s="8">
        <f>K1209*L1209*N1209</f>
        <v>14100</v>
      </c>
    </row>
    <row r="1210" spans="1:24" s="8" customFormat="1" ht="41.5" customHeight="1">
      <c r="A1210" s="8" t="s">
        <v>2280</v>
      </c>
      <c r="B1210" s="8" t="s">
        <v>52</v>
      </c>
      <c r="C1210" s="9">
        <v>45773.4220327199</v>
      </c>
      <c r="D1210" s="8" t="s">
        <v>2056</v>
      </c>
      <c r="E1210" s="8" t="s">
        <v>2057</v>
      </c>
      <c r="F1210" s="8">
        <v>1</v>
      </c>
      <c r="G1210" s="22" t="s">
        <v>1438</v>
      </c>
      <c r="H1210" s="8" t="s">
        <v>157</v>
      </c>
      <c r="I1210" s="2" t="str">
        <f t="shared" si="35"/>
        <v>Ma tít gắn thép Ramest Epcon G5 PRO</v>
      </c>
      <c r="J1210" s="8" t="s">
        <v>81</v>
      </c>
      <c r="K1210" s="10">
        <v>2</v>
      </c>
      <c r="L1210" s="10">
        <v>618181.80000000005</v>
      </c>
      <c r="M1210" s="11">
        <v>1236363.6000000001</v>
      </c>
      <c r="N1210" s="8" t="s">
        <v>30</v>
      </c>
      <c r="O1210" s="8" t="s">
        <v>17</v>
      </c>
      <c r="P1210" s="8" t="s">
        <v>18</v>
      </c>
      <c r="Q1210" s="8" t="s">
        <v>18</v>
      </c>
      <c r="R1210" s="8" t="s">
        <v>2110</v>
      </c>
      <c r="S1210" s="8" t="s">
        <v>2123</v>
      </c>
      <c r="T1210" s="8" t="s">
        <v>2124</v>
      </c>
      <c r="U1210" s="8" t="s">
        <v>2635</v>
      </c>
      <c r="V1210" s="8" t="s">
        <v>1017</v>
      </c>
      <c r="W1210" s="8">
        <f t="shared" si="36"/>
        <v>2</v>
      </c>
      <c r="X1210" s="8">
        <f>K1210*L1210*N1210</f>
        <v>123636.36000000002</v>
      </c>
    </row>
    <row r="1211" spans="1:24" s="8" customFormat="1" ht="41.5" customHeight="1">
      <c r="A1211" s="8" t="s">
        <v>2409</v>
      </c>
      <c r="B1211" s="8" t="s">
        <v>1018</v>
      </c>
      <c r="C1211" s="9">
        <v>45768.645667430603</v>
      </c>
      <c r="D1211" s="8" t="s">
        <v>2056</v>
      </c>
      <c r="E1211" s="8" t="s">
        <v>2057</v>
      </c>
      <c r="F1211" s="8">
        <v>1</v>
      </c>
      <c r="G1211" s="22" t="s">
        <v>2851</v>
      </c>
      <c r="H1211" s="8" t="s">
        <v>1019</v>
      </c>
      <c r="I1211" s="2" t="str">
        <f t="shared" si="35"/>
        <v>Áp to mát ABN103c 100A 22kA</v>
      </c>
      <c r="J1211" s="8" t="s">
        <v>15</v>
      </c>
      <c r="K1211" s="10">
        <v>8</v>
      </c>
      <c r="L1211" s="10">
        <v>830000</v>
      </c>
      <c r="M1211" s="11">
        <v>6640000</v>
      </c>
      <c r="N1211" s="8" t="s">
        <v>16</v>
      </c>
      <c r="O1211" s="8" t="s">
        <v>17</v>
      </c>
      <c r="P1211" s="8" t="s">
        <v>18</v>
      </c>
      <c r="Q1211" s="8" t="s">
        <v>18</v>
      </c>
      <c r="R1211" s="8" t="s">
        <v>2115</v>
      </c>
      <c r="S1211" s="8" t="s">
        <v>2411</v>
      </c>
      <c r="T1211" s="8" t="s">
        <v>2412</v>
      </c>
      <c r="U1211" s="8" t="s">
        <v>2852</v>
      </c>
      <c r="V1211" s="8" t="s">
        <v>39</v>
      </c>
      <c r="W1211" s="8">
        <f t="shared" si="36"/>
        <v>2</v>
      </c>
      <c r="X1211" s="8">
        <f>K1211*L1211*N1211</f>
        <v>531200</v>
      </c>
    </row>
    <row r="1212" spans="1:24" s="8" customFormat="1" ht="41.5" customHeight="1">
      <c r="A1212" s="8" t="s">
        <v>2409</v>
      </c>
      <c r="B1212" s="8" t="s">
        <v>156</v>
      </c>
      <c r="C1212" s="9">
        <v>45768.645613275497</v>
      </c>
      <c r="D1212" s="8" t="s">
        <v>2056</v>
      </c>
      <c r="E1212" s="8" t="s">
        <v>2057</v>
      </c>
      <c r="F1212" s="8">
        <v>1</v>
      </c>
      <c r="G1212" s="27" t="s">
        <v>1134</v>
      </c>
      <c r="H1212" s="8" t="s">
        <v>1020</v>
      </c>
      <c r="I1212" s="2" t="str">
        <f t="shared" si="35"/>
        <v>Máng cáp thép 200x100x1.0</v>
      </c>
      <c r="J1212" s="8" t="s">
        <v>71</v>
      </c>
      <c r="K1212" s="10">
        <v>3</v>
      </c>
      <c r="L1212" s="10">
        <v>365000</v>
      </c>
      <c r="M1212" s="11">
        <v>1095000</v>
      </c>
      <c r="N1212" s="8" t="s">
        <v>30</v>
      </c>
      <c r="O1212" s="8" t="s">
        <v>17</v>
      </c>
      <c r="P1212" s="8" t="s">
        <v>18</v>
      </c>
      <c r="Q1212" s="8" t="s">
        <v>18</v>
      </c>
      <c r="R1212" s="8" t="s">
        <v>2115</v>
      </c>
      <c r="S1212" s="8" t="s">
        <v>2411</v>
      </c>
      <c r="T1212" s="8" t="s">
        <v>2412</v>
      </c>
      <c r="U1212" s="8" t="s">
        <v>2852</v>
      </c>
      <c r="V1212" s="8" t="s">
        <v>39</v>
      </c>
      <c r="W1212" s="8">
        <f t="shared" si="36"/>
        <v>2</v>
      </c>
      <c r="X1212" s="8">
        <f>K1212*L1212*N1212</f>
        <v>109500</v>
      </c>
    </row>
    <row r="1213" spans="1:24" s="8" customFormat="1" ht="41.5" customHeight="1">
      <c r="A1213" s="8" t="s">
        <v>2853</v>
      </c>
      <c r="B1213" s="8" t="s">
        <v>2854</v>
      </c>
      <c r="C1213" s="9">
        <v>45772.756542766198</v>
      </c>
      <c r="D1213" s="8" t="s">
        <v>2056</v>
      </c>
      <c r="E1213" s="8" t="s">
        <v>2057</v>
      </c>
      <c r="F1213" s="8">
        <v>1</v>
      </c>
      <c r="G1213" s="27" t="s">
        <v>2140</v>
      </c>
      <c r="H1213" s="8" t="s">
        <v>1021</v>
      </c>
      <c r="I1213" s="2" t="str">
        <f t="shared" ref="I1213:I1276" si="37">G1213</f>
        <v>Thép ống hộp</v>
      </c>
      <c r="J1213" s="8" t="s">
        <v>35</v>
      </c>
      <c r="K1213" s="10">
        <v>13521.5</v>
      </c>
      <c r="L1213" s="10">
        <v>17000</v>
      </c>
      <c r="M1213" s="11">
        <v>229865500</v>
      </c>
      <c r="N1213" s="8" t="s">
        <v>30</v>
      </c>
      <c r="O1213" s="8" t="s">
        <v>17</v>
      </c>
      <c r="P1213" s="8" t="s">
        <v>18</v>
      </c>
      <c r="Q1213" s="8" t="s">
        <v>18</v>
      </c>
      <c r="R1213" s="8" t="s">
        <v>2110</v>
      </c>
      <c r="S1213" s="8" t="s">
        <v>2126</v>
      </c>
      <c r="T1213" s="8" t="s">
        <v>2127</v>
      </c>
      <c r="U1213" s="8" t="s">
        <v>2645</v>
      </c>
      <c r="V1213" s="8" t="s">
        <v>939</v>
      </c>
      <c r="W1213" s="8">
        <f t="shared" si="36"/>
        <v>2</v>
      </c>
      <c r="X1213" s="8">
        <f>K1213*L1213*N1213</f>
        <v>22986550</v>
      </c>
    </row>
    <row r="1214" spans="1:24" s="8" customFormat="1" ht="41.5" customHeight="1">
      <c r="A1214" s="8" t="s">
        <v>2853</v>
      </c>
      <c r="B1214" s="8" t="s">
        <v>2854</v>
      </c>
      <c r="C1214" s="9">
        <v>45772.756542766198</v>
      </c>
      <c r="D1214" s="8" t="s">
        <v>2056</v>
      </c>
      <c r="E1214" s="8" t="s">
        <v>2057</v>
      </c>
      <c r="F1214" s="8">
        <v>2</v>
      </c>
      <c r="G1214" s="27" t="s">
        <v>2140</v>
      </c>
      <c r="H1214" s="8" t="s">
        <v>1022</v>
      </c>
      <c r="I1214" s="2" t="str">
        <f t="shared" si="37"/>
        <v>Thép ống hộp</v>
      </c>
      <c r="J1214" s="8" t="s">
        <v>35</v>
      </c>
      <c r="K1214" s="10">
        <v>533.79999999999995</v>
      </c>
      <c r="L1214" s="10">
        <v>17000</v>
      </c>
      <c r="M1214" s="11">
        <v>9074600</v>
      </c>
      <c r="N1214" s="8" t="s">
        <v>30</v>
      </c>
      <c r="O1214" s="8" t="s">
        <v>17</v>
      </c>
      <c r="P1214" s="8" t="s">
        <v>18</v>
      </c>
      <c r="Q1214" s="8" t="s">
        <v>18</v>
      </c>
      <c r="R1214" s="8" t="s">
        <v>2110</v>
      </c>
      <c r="S1214" s="8" t="s">
        <v>2126</v>
      </c>
      <c r="T1214" s="8" t="s">
        <v>2127</v>
      </c>
      <c r="U1214" s="8" t="s">
        <v>2645</v>
      </c>
      <c r="V1214" s="8" t="s">
        <v>939</v>
      </c>
      <c r="W1214" s="8">
        <f t="shared" si="36"/>
        <v>2</v>
      </c>
      <c r="X1214" s="8">
        <f>K1214*L1214*N1214</f>
        <v>907460</v>
      </c>
    </row>
    <row r="1215" spans="1:24" s="13" customFormat="1" ht="41.5" customHeight="1">
      <c r="A1215" s="8" t="s">
        <v>2853</v>
      </c>
      <c r="B1215" s="13" t="s">
        <v>2854</v>
      </c>
      <c r="C1215" s="14">
        <v>45772.756542766198</v>
      </c>
      <c r="D1215" s="13" t="s">
        <v>2056</v>
      </c>
      <c r="E1215" s="13" t="s">
        <v>2057</v>
      </c>
      <c r="F1215" s="13">
        <v>3</v>
      </c>
      <c r="G1215" s="28" t="s">
        <v>1363</v>
      </c>
      <c r="H1215" s="13" t="s">
        <v>59</v>
      </c>
      <c r="I1215" s="2" t="str">
        <f t="shared" si="37"/>
        <v>Tôn màu</v>
      </c>
      <c r="J1215" s="13" t="s">
        <v>106</v>
      </c>
      <c r="K1215" s="15">
        <v>1508.3</v>
      </c>
      <c r="L1215" s="15">
        <v>76000</v>
      </c>
      <c r="M1215" s="16">
        <v>114630800</v>
      </c>
      <c r="N1215" s="13" t="s">
        <v>30</v>
      </c>
      <c r="O1215" s="13" t="s">
        <v>17</v>
      </c>
      <c r="P1215" s="13" t="s">
        <v>18</v>
      </c>
      <c r="Q1215" s="13" t="s">
        <v>18</v>
      </c>
      <c r="R1215" s="13" t="s">
        <v>2110</v>
      </c>
      <c r="S1215" s="13" t="s">
        <v>2126</v>
      </c>
      <c r="T1215" s="13" t="s">
        <v>2127</v>
      </c>
      <c r="U1215" s="13" t="s">
        <v>2645</v>
      </c>
      <c r="V1215" s="13" t="s">
        <v>939</v>
      </c>
      <c r="W1215" s="13">
        <f t="shared" si="36"/>
        <v>2</v>
      </c>
      <c r="X1215" s="8">
        <f>K1215*L1215*N1215</f>
        <v>11463080</v>
      </c>
    </row>
    <row r="1216" spans="1:24" s="8" customFormat="1" ht="41.5" customHeight="1">
      <c r="A1216" s="8" t="s">
        <v>2855</v>
      </c>
      <c r="B1216" s="8" t="s">
        <v>2856</v>
      </c>
      <c r="C1216" s="9">
        <v>45755.812507743103</v>
      </c>
      <c r="D1216" s="8" t="s">
        <v>2056</v>
      </c>
      <c r="E1216" s="8" t="s">
        <v>2057</v>
      </c>
      <c r="F1216" s="8">
        <v>1</v>
      </c>
      <c r="G1216" s="2">
        <v>642</v>
      </c>
      <c r="H1216" s="8" t="s">
        <v>29</v>
      </c>
      <c r="I1216" s="2">
        <f t="shared" si="37"/>
        <v>642</v>
      </c>
      <c r="J1216" s="8" t="s">
        <v>27</v>
      </c>
      <c r="K1216" s="10">
        <v>77.007999999999996</v>
      </c>
      <c r="L1216" s="10">
        <v>17118.181799999998</v>
      </c>
      <c r="M1216" s="11">
        <v>1318236</v>
      </c>
      <c r="N1216" s="8" t="s">
        <v>30</v>
      </c>
      <c r="O1216" s="8" t="s">
        <v>17</v>
      </c>
      <c r="P1216" s="8" t="s">
        <v>18</v>
      </c>
      <c r="Q1216" s="8" t="s">
        <v>18</v>
      </c>
      <c r="R1216" s="8" t="s">
        <v>2857</v>
      </c>
      <c r="S1216" s="8" t="s">
        <v>2858</v>
      </c>
      <c r="T1216" s="8" t="s">
        <v>2859</v>
      </c>
      <c r="U1216" s="8" t="s">
        <v>2860</v>
      </c>
      <c r="V1216" s="8" t="s">
        <v>1023</v>
      </c>
      <c r="W1216" s="8">
        <f t="shared" si="36"/>
        <v>2</v>
      </c>
      <c r="X1216" s="8">
        <f>K1216*L1216*N1216</f>
        <v>131823.69440543998</v>
      </c>
    </row>
    <row r="1217" spans="1:24" s="8" customFormat="1" ht="41.5" customHeight="1">
      <c r="A1217" s="8" t="s">
        <v>2281</v>
      </c>
      <c r="B1217" s="8" t="s">
        <v>2861</v>
      </c>
      <c r="C1217" s="9">
        <v>45773.477397338</v>
      </c>
      <c r="D1217" s="8" t="s">
        <v>2056</v>
      </c>
      <c r="E1217" s="8" t="s">
        <v>2057</v>
      </c>
      <c r="F1217" s="8">
        <v>1</v>
      </c>
      <c r="G1217" s="22" t="s">
        <v>2204</v>
      </c>
      <c r="H1217" s="8" t="s">
        <v>1024</v>
      </c>
      <c r="I1217" s="2" t="str">
        <f t="shared" si="37"/>
        <v>Tủ điện mặt nhựa, đế sắt chưa 14-18 Module</v>
      </c>
      <c r="J1217" s="8" t="s">
        <v>15</v>
      </c>
      <c r="K1217" s="10">
        <v>10</v>
      </c>
      <c r="L1217" s="10">
        <v>388890</v>
      </c>
      <c r="M1217" s="11">
        <v>3888900</v>
      </c>
      <c r="N1217" s="8" t="s">
        <v>16</v>
      </c>
      <c r="O1217" s="8" t="s">
        <v>17</v>
      </c>
      <c r="P1217" s="8" t="s">
        <v>18</v>
      </c>
      <c r="Q1217" s="8" t="s">
        <v>18</v>
      </c>
      <c r="R1217" s="8" t="s">
        <v>2115</v>
      </c>
      <c r="S1217" s="8" t="s">
        <v>2236</v>
      </c>
      <c r="T1217" s="8" t="s">
        <v>2237</v>
      </c>
      <c r="U1217" s="8" t="s">
        <v>2862</v>
      </c>
      <c r="V1217" s="8" t="s">
        <v>1017</v>
      </c>
      <c r="W1217" s="8">
        <f t="shared" si="36"/>
        <v>2</v>
      </c>
      <c r="X1217" s="8">
        <f>K1217*L1217*N1217</f>
        <v>311112</v>
      </c>
    </row>
    <row r="1218" spans="1:24" s="8" customFormat="1" ht="41.5" customHeight="1">
      <c r="A1218" s="8" t="s">
        <v>2281</v>
      </c>
      <c r="B1218" s="8" t="s">
        <v>2861</v>
      </c>
      <c r="C1218" s="9">
        <v>45773.477397338</v>
      </c>
      <c r="D1218" s="8" t="s">
        <v>2056</v>
      </c>
      <c r="E1218" s="8" t="s">
        <v>2057</v>
      </c>
      <c r="F1218" s="8">
        <v>2</v>
      </c>
      <c r="G1218" s="22" t="s">
        <v>2863</v>
      </c>
      <c r="H1218" s="8" t="s">
        <v>1025</v>
      </c>
      <c r="I1218" s="2" t="str">
        <f t="shared" si="37"/>
        <v>MCCB SBE 103b/3P100A-SBE103B/100</v>
      </c>
      <c r="J1218" s="8" t="s">
        <v>15</v>
      </c>
      <c r="K1218" s="10">
        <v>5</v>
      </c>
      <c r="L1218" s="10">
        <v>518519</v>
      </c>
      <c r="M1218" s="11">
        <v>2592595</v>
      </c>
      <c r="N1218" s="8" t="s">
        <v>16</v>
      </c>
      <c r="O1218" s="8" t="s">
        <v>17</v>
      </c>
      <c r="P1218" s="8" t="s">
        <v>18</v>
      </c>
      <c r="Q1218" s="8" t="s">
        <v>18</v>
      </c>
      <c r="R1218" s="8" t="s">
        <v>2115</v>
      </c>
      <c r="S1218" s="8" t="s">
        <v>2236</v>
      </c>
      <c r="T1218" s="8" t="s">
        <v>2237</v>
      </c>
      <c r="U1218" s="8" t="s">
        <v>2862</v>
      </c>
      <c r="V1218" s="8" t="s">
        <v>1017</v>
      </c>
      <c r="W1218" s="8">
        <f t="shared" si="36"/>
        <v>2</v>
      </c>
      <c r="X1218" s="8">
        <f>K1218*L1218*N1218</f>
        <v>207407.6</v>
      </c>
    </row>
    <row r="1219" spans="1:24" s="8" customFormat="1" ht="41.5" customHeight="1">
      <c r="A1219" s="8" t="s">
        <v>2281</v>
      </c>
      <c r="B1219" s="8" t="s">
        <v>2861</v>
      </c>
      <c r="C1219" s="9">
        <v>45773.477397338</v>
      </c>
      <c r="D1219" s="8" t="s">
        <v>2056</v>
      </c>
      <c r="E1219" s="8" t="s">
        <v>2057</v>
      </c>
      <c r="F1219" s="8">
        <v>3</v>
      </c>
      <c r="G1219" s="22" t="s">
        <v>1026</v>
      </c>
      <c r="H1219" s="8" t="s">
        <v>1026</v>
      </c>
      <c r="I1219" s="2" t="str">
        <f t="shared" si="37"/>
        <v>Ống nhựa xoắn HDPE-SP 50/40</v>
      </c>
      <c r="J1219" s="8" t="s">
        <v>71</v>
      </c>
      <c r="K1219" s="10">
        <v>500</v>
      </c>
      <c r="L1219" s="10">
        <v>11592</v>
      </c>
      <c r="M1219" s="11">
        <v>5796000</v>
      </c>
      <c r="N1219" s="8" t="s">
        <v>16</v>
      </c>
      <c r="O1219" s="8" t="s">
        <v>17</v>
      </c>
      <c r="P1219" s="8" t="s">
        <v>18</v>
      </c>
      <c r="Q1219" s="8" t="s">
        <v>18</v>
      </c>
      <c r="R1219" s="8" t="s">
        <v>2115</v>
      </c>
      <c r="S1219" s="8" t="s">
        <v>2236</v>
      </c>
      <c r="T1219" s="8" t="s">
        <v>2237</v>
      </c>
      <c r="U1219" s="8" t="s">
        <v>2862</v>
      </c>
      <c r="V1219" s="8" t="s">
        <v>1017</v>
      </c>
      <c r="W1219" s="8">
        <f t="shared" si="36"/>
        <v>2</v>
      </c>
      <c r="X1219" s="8">
        <f>K1219*L1219*N1219</f>
        <v>463680</v>
      </c>
    </row>
    <row r="1220" spans="1:24" s="8" customFormat="1" ht="41.5" customHeight="1">
      <c r="A1220" s="8" t="s">
        <v>2281</v>
      </c>
      <c r="B1220" s="8" t="s">
        <v>2861</v>
      </c>
      <c r="C1220" s="9">
        <v>45773.477397338</v>
      </c>
      <c r="D1220" s="8" t="s">
        <v>2056</v>
      </c>
      <c r="E1220" s="8" t="s">
        <v>2057</v>
      </c>
      <c r="F1220" s="8">
        <v>4</v>
      </c>
      <c r="G1220" s="22" t="s">
        <v>2864</v>
      </c>
      <c r="H1220" s="8" t="s">
        <v>1027</v>
      </c>
      <c r="I1220" s="2" t="str">
        <f t="shared" si="37"/>
        <v>MCB PS45N/3P40A-PS45N/C340</v>
      </c>
      <c r="J1220" s="8" t="s">
        <v>15</v>
      </c>
      <c r="K1220" s="10">
        <v>5</v>
      </c>
      <c r="L1220" s="10">
        <v>99074</v>
      </c>
      <c r="M1220" s="11">
        <v>495370</v>
      </c>
      <c r="N1220" s="8" t="s">
        <v>16</v>
      </c>
      <c r="O1220" s="8" t="s">
        <v>17</v>
      </c>
      <c r="P1220" s="8" t="s">
        <v>18</v>
      </c>
      <c r="Q1220" s="8" t="s">
        <v>18</v>
      </c>
      <c r="R1220" s="8" t="s">
        <v>2115</v>
      </c>
      <c r="S1220" s="8" t="s">
        <v>2236</v>
      </c>
      <c r="T1220" s="8" t="s">
        <v>2237</v>
      </c>
      <c r="U1220" s="8" t="s">
        <v>2862</v>
      </c>
      <c r="V1220" s="8" t="s">
        <v>1017</v>
      </c>
      <c r="W1220" s="8">
        <f t="shared" si="36"/>
        <v>2</v>
      </c>
      <c r="X1220" s="8">
        <f>K1220*L1220*N1220</f>
        <v>39629.599999999999</v>
      </c>
    </row>
    <row r="1221" spans="1:24" s="8" customFormat="1" ht="41.5" customHeight="1">
      <c r="A1221" s="8" t="s">
        <v>2281</v>
      </c>
      <c r="B1221" s="8" t="s">
        <v>2861</v>
      </c>
      <c r="C1221" s="9">
        <v>45773.477397338</v>
      </c>
      <c r="D1221" s="8" t="s">
        <v>2056</v>
      </c>
      <c r="E1221" s="8" t="s">
        <v>2057</v>
      </c>
      <c r="F1221" s="8">
        <v>5</v>
      </c>
      <c r="G1221" s="22" t="s">
        <v>1482</v>
      </c>
      <c r="H1221" s="8" t="s">
        <v>1028</v>
      </c>
      <c r="I1221" s="2" t="str">
        <f t="shared" si="37"/>
        <v>RCCB SL68N/2P32A-0.03A-SL680N/2032/030</v>
      </c>
      <c r="J1221" s="8" t="s">
        <v>15</v>
      </c>
      <c r="K1221" s="10">
        <v>6</v>
      </c>
      <c r="L1221" s="10">
        <v>220000</v>
      </c>
      <c r="M1221" s="11">
        <v>1320000</v>
      </c>
      <c r="N1221" s="8" t="s">
        <v>16</v>
      </c>
      <c r="O1221" s="8" t="s">
        <v>17</v>
      </c>
      <c r="P1221" s="8" t="s">
        <v>18</v>
      </c>
      <c r="Q1221" s="8" t="s">
        <v>18</v>
      </c>
      <c r="R1221" s="8" t="s">
        <v>2115</v>
      </c>
      <c r="S1221" s="8" t="s">
        <v>2236</v>
      </c>
      <c r="T1221" s="8" t="s">
        <v>2237</v>
      </c>
      <c r="U1221" s="8" t="s">
        <v>2862</v>
      </c>
      <c r="V1221" s="8" t="s">
        <v>1017</v>
      </c>
      <c r="W1221" s="8">
        <f t="shared" si="36"/>
        <v>2</v>
      </c>
      <c r="X1221" s="8">
        <f>K1221*L1221*N1221</f>
        <v>105600</v>
      </c>
    </row>
    <row r="1222" spans="1:24" s="8" customFormat="1" ht="41.5" customHeight="1">
      <c r="A1222" s="8" t="s">
        <v>2281</v>
      </c>
      <c r="B1222" s="8" t="s">
        <v>2865</v>
      </c>
      <c r="C1222" s="9">
        <v>45773.477275914403</v>
      </c>
      <c r="D1222" s="8" t="s">
        <v>2056</v>
      </c>
      <c r="E1222" s="8" t="s">
        <v>2057</v>
      </c>
      <c r="F1222" s="8">
        <v>1</v>
      </c>
      <c r="G1222" s="22" t="s">
        <v>1464</v>
      </c>
      <c r="H1222" s="8" t="s">
        <v>654</v>
      </c>
      <c r="I1222" s="2" t="str">
        <f t="shared" si="37"/>
        <v>Cáp nhôm vặn xoắn ABC 4x25</v>
      </c>
      <c r="J1222" s="8" t="s">
        <v>71</v>
      </c>
      <c r="K1222" s="10">
        <v>1000</v>
      </c>
      <c r="L1222" s="10">
        <v>24091</v>
      </c>
      <c r="M1222" s="11">
        <v>24091000</v>
      </c>
      <c r="N1222" s="8" t="s">
        <v>30</v>
      </c>
      <c r="O1222" s="8" t="s">
        <v>17</v>
      </c>
      <c r="P1222" s="8" t="s">
        <v>18</v>
      </c>
      <c r="Q1222" s="8" t="s">
        <v>18</v>
      </c>
      <c r="R1222" s="8" t="s">
        <v>2115</v>
      </c>
      <c r="S1222" s="8" t="s">
        <v>2236</v>
      </c>
      <c r="T1222" s="8" t="s">
        <v>2237</v>
      </c>
      <c r="U1222" s="8" t="s">
        <v>2862</v>
      </c>
      <c r="V1222" s="8" t="s">
        <v>1017</v>
      </c>
      <c r="W1222" s="8">
        <f t="shared" si="36"/>
        <v>2</v>
      </c>
      <c r="X1222" s="8">
        <f>K1222*L1222*N1222</f>
        <v>2409100</v>
      </c>
    </row>
    <row r="1223" spans="1:24" s="8" customFormat="1" ht="41.5" customHeight="1">
      <c r="A1223" s="8" t="s">
        <v>2281</v>
      </c>
      <c r="B1223" s="8" t="s">
        <v>2865</v>
      </c>
      <c r="C1223" s="9">
        <v>45773.477275914403</v>
      </c>
      <c r="D1223" s="8" t="s">
        <v>2056</v>
      </c>
      <c r="E1223" s="8" t="s">
        <v>2057</v>
      </c>
      <c r="F1223" s="8">
        <v>2</v>
      </c>
      <c r="G1223" s="22" t="s">
        <v>401</v>
      </c>
      <c r="H1223" s="8" t="s">
        <v>401</v>
      </c>
      <c r="I1223" s="2" t="str">
        <f t="shared" si="37"/>
        <v>Ray cài át RAY/980</v>
      </c>
      <c r="J1223" s="8" t="s">
        <v>15</v>
      </c>
      <c r="K1223" s="10">
        <v>2</v>
      </c>
      <c r="L1223" s="10">
        <v>22727</v>
      </c>
      <c r="M1223" s="11">
        <v>45454</v>
      </c>
      <c r="N1223" s="8" t="s">
        <v>30</v>
      </c>
      <c r="O1223" s="8" t="s">
        <v>17</v>
      </c>
      <c r="P1223" s="8" t="s">
        <v>18</v>
      </c>
      <c r="Q1223" s="8" t="s">
        <v>18</v>
      </c>
      <c r="R1223" s="8" t="s">
        <v>2115</v>
      </c>
      <c r="S1223" s="8" t="s">
        <v>2236</v>
      </c>
      <c r="T1223" s="8" t="s">
        <v>2237</v>
      </c>
      <c r="U1223" s="8" t="s">
        <v>2862</v>
      </c>
      <c r="V1223" s="8" t="s">
        <v>1017</v>
      </c>
      <c r="W1223" s="8">
        <f t="shared" si="36"/>
        <v>2</v>
      </c>
      <c r="X1223" s="8">
        <f>K1223*L1223*N1223</f>
        <v>4545.4000000000005</v>
      </c>
    </row>
    <row r="1224" spans="1:24" s="8" customFormat="1" ht="41.5" customHeight="1">
      <c r="A1224" s="8" t="s">
        <v>2281</v>
      </c>
      <c r="B1224" s="8" t="s">
        <v>2865</v>
      </c>
      <c r="C1224" s="9">
        <v>45773.477275914403</v>
      </c>
      <c r="D1224" s="8" t="s">
        <v>2056</v>
      </c>
      <c r="E1224" s="8" t="s">
        <v>2057</v>
      </c>
      <c r="F1224" s="8">
        <v>3</v>
      </c>
      <c r="G1224" s="22" t="s">
        <v>2263</v>
      </c>
      <c r="H1224" s="8" t="s">
        <v>653</v>
      </c>
      <c r="I1224" s="2" t="str">
        <f t="shared" si="37"/>
        <v>Dây điện Cu/pvc/pvc3x1.5</v>
      </c>
      <c r="J1224" s="8" t="s">
        <v>71</v>
      </c>
      <c r="K1224" s="10">
        <v>400</v>
      </c>
      <c r="L1224" s="10">
        <v>14290</v>
      </c>
      <c r="M1224" s="11">
        <v>5716000</v>
      </c>
      <c r="N1224" s="8" t="s">
        <v>30</v>
      </c>
      <c r="O1224" s="8" t="s">
        <v>17</v>
      </c>
      <c r="P1224" s="8" t="s">
        <v>18</v>
      </c>
      <c r="Q1224" s="8" t="s">
        <v>18</v>
      </c>
      <c r="R1224" s="8" t="s">
        <v>2115</v>
      </c>
      <c r="S1224" s="8" t="s">
        <v>2236</v>
      </c>
      <c r="T1224" s="8" t="s">
        <v>2237</v>
      </c>
      <c r="U1224" s="8" t="s">
        <v>2862</v>
      </c>
      <c r="V1224" s="8" t="s">
        <v>1017</v>
      </c>
      <c r="W1224" s="8">
        <f t="shared" si="36"/>
        <v>2</v>
      </c>
      <c r="X1224" s="8">
        <f>K1224*L1224*N1224</f>
        <v>571600</v>
      </c>
    </row>
    <row r="1225" spans="1:24" s="8" customFormat="1" ht="41.5" customHeight="1">
      <c r="A1225" s="8" t="s">
        <v>2281</v>
      </c>
      <c r="B1225" s="8" t="s">
        <v>2865</v>
      </c>
      <c r="C1225" s="9">
        <v>45773.477275914403</v>
      </c>
      <c r="D1225" s="8" t="s">
        <v>2056</v>
      </c>
      <c r="E1225" s="8" t="s">
        <v>2057</v>
      </c>
      <c r="F1225" s="8">
        <v>4</v>
      </c>
      <c r="G1225" s="22" t="s">
        <v>1548</v>
      </c>
      <c r="H1225" s="8" t="s">
        <v>408</v>
      </c>
      <c r="I1225" s="2" t="str">
        <f t="shared" si="37"/>
        <v>Dây điện Cu/pvc/pvc3x2.5</v>
      </c>
      <c r="J1225" s="8" t="s">
        <v>71</v>
      </c>
      <c r="K1225" s="10">
        <v>100</v>
      </c>
      <c r="L1225" s="10">
        <v>23330</v>
      </c>
      <c r="M1225" s="11">
        <v>2333000</v>
      </c>
      <c r="N1225" s="8" t="s">
        <v>30</v>
      </c>
      <c r="O1225" s="8" t="s">
        <v>17</v>
      </c>
      <c r="P1225" s="8" t="s">
        <v>18</v>
      </c>
      <c r="Q1225" s="8" t="s">
        <v>18</v>
      </c>
      <c r="R1225" s="8" t="s">
        <v>2115</v>
      </c>
      <c r="S1225" s="8" t="s">
        <v>2236</v>
      </c>
      <c r="T1225" s="8" t="s">
        <v>2237</v>
      </c>
      <c r="U1225" s="8" t="s">
        <v>2862</v>
      </c>
      <c r="V1225" s="8" t="s">
        <v>1017</v>
      </c>
      <c r="W1225" s="8">
        <f t="shared" si="36"/>
        <v>2</v>
      </c>
      <c r="X1225" s="8">
        <f>K1225*L1225*N1225</f>
        <v>233300</v>
      </c>
    </row>
    <row r="1226" spans="1:24" s="8" customFormat="1" ht="41.5" customHeight="1">
      <c r="A1226" s="8" t="s">
        <v>2316</v>
      </c>
      <c r="B1226" s="8" t="s">
        <v>2866</v>
      </c>
      <c r="C1226" s="9">
        <v>45776.712602731503</v>
      </c>
      <c r="D1226" s="8" t="s">
        <v>2056</v>
      </c>
      <c r="E1226" s="8" t="s">
        <v>2057</v>
      </c>
      <c r="F1226" s="8">
        <v>1</v>
      </c>
      <c r="G1226" s="22" t="s">
        <v>159</v>
      </c>
      <c r="H1226" s="8" t="s">
        <v>159</v>
      </c>
      <c r="I1226" s="2" t="str">
        <f t="shared" si="37"/>
        <v>Hộp Inox 304</v>
      </c>
      <c r="J1226" s="8" t="s">
        <v>62</v>
      </c>
      <c r="K1226" s="10">
        <v>106</v>
      </c>
      <c r="L1226" s="10">
        <v>58000</v>
      </c>
      <c r="M1226" s="11">
        <v>6148000</v>
      </c>
      <c r="N1226" s="8" t="s">
        <v>30</v>
      </c>
      <c r="O1226" s="8" t="s">
        <v>17</v>
      </c>
      <c r="P1226" s="8" t="s">
        <v>18</v>
      </c>
      <c r="Q1226" s="8" t="s">
        <v>18</v>
      </c>
      <c r="R1226" s="8" t="s">
        <v>2115</v>
      </c>
      <c r="S1226" s="8" t="s">
        <v>2137</v>
      </c>
      <c r="T1226" s="8" t="s">
        <v>2138</v>
      </c>
      <c r="U1226" s="8" t="s">
        <v>2724</v>
      </c>
      <c r="V1226" s="8" t="s">
        <v>937</v>
      </c>
      <c r="W1226" s="8">
        <f t="shared" si="36"/>
        <v>2</v>
      </c>
      <c r="X1226" s="8">
        <f>K1226*L1226*N1226</f>
        <v>614800</v>
      </c>
    </row>
    <row r="1227" spans="1:24" s="8" customFormat="1" ht="41.5" customHeight="1">
      <c r="A1227" s="8" t="s">
        <v>2316</v>
      </c>
      <c r="B1227" s="8" t="s">
        <v>2866</v>
      </c>
      <c r="C1227" s="9">
        <v>45776.712602731503</v>
      </c>
      <c r="D1227" s="8" t="s">
        <v>2056</v>
      </c>
      <c r="E1227" s="8" t="s">
        <v>2057</v>
      </c>
      <c r="F1227" s="8">
        <v>2</v>
      </c>
      <c r="G1227" s="27" t="s">
        <v>2140</v>
      </c>
      <c r="H1227" s="8" t="s">
        <v>1029</v>
      </c>
      <c r="I1227" s="2" t="str">
        <f t="shared" si="37"/>
        <v>Thép ống hộp</v>
      </c>
      <c r="J1227" s="8" t="s">
        <v>62</v>
      </c>
      <c r="K1227" s="10">
        <v>864.5</v>
      </c>
      <c r="L1227" s="10">
        <v>18818.18</v>
      </c>
      <c r="M1227" s="11">
        <v>16268317</v>
      </c>
      <c r="N1227" s="8" t="s">
        <v>30</v>
      </c>
      <c r="O1227" s="8" t="s">
        <v>17</v>
      </c>
      <c r="P1227" s="8" t="s">
        <v>18</v>
      </c>
      <c r="Q1227" s="8" t="s">
        <v>18</v>
      </c>
      <c r="R1227" s="8" t="s">
        <v>2115</v>
      </c>
      <c r="S1227" s="8" t="s">
        <v>2137</v>
      </c>
      <c r="T1227" s="8" t="s">
        <v>2138</v>
      </c>
      <c r="U1227" s="8" t="s">
        <v>2724</v>
      </c>
      <c r="V1227" s="8" t="s">
        <v>937</v>
      </c>
      <c r="W1227" s="8">
        <f t="shared" si="36"/>
        <v>2</v>
      </c>
      <c r="X1227" s="8">
        <f>K1227*L1227*N1227</f>
        <v>1626831.6610000001</v>
      </c>
    </row>
    <row r="1228" spans="1:24" s="8" customFormat="1" ht="41.5" customHeight="1">
      <c r="A1228" s="8" t="s">
        <v>2316</v>
      </c>
      <c r="B1228" s="8" t="s">
        <v>2866</v>
      </c>
      <c r="C1228" s="9">
        <v>45776.712602731503</v>
      </c>
      <c r="D1228" s="8" t="s">
        <v>2056</v>
      </c>
      <c r="E1228" s="8" t="s">
        <v>2057</v>
      </c>
      <c r="F1228" s="8">
        <v>3</v>
      </c>
      <c r="G1228" s="27" t="s">
        <v>2140</v>
      </c>
      <c r="H1228" s="8" t="s">
        <v>68</v>
      </c>
      <c r="I1228" s="2" t="str">
        <f t="shared" si="37"/>
        <v>Thép ống hộp</v>
      </c>
      <c r="J1228" s="8" t="s">
        <v>62</v>
      </c>
      <c r="K1228" s="10">
        <v>560.07000000000005</v>
      </c>
      <c r="L1228" s="10">
        <v>18818.18</v>
      </c>
      <c r="M1228" s="11">
        <v>10539498</v>
      </c>
      <c r="N1228" s="8" t="s">
        <v>30</v>
      </c>
      <c r="O1228" s="8" t="s">
        <v>17</v>
      </c>
      <c r="P1228" s="8" t="s">
        <v>18</v>
      </c>
      <c r="Q1228" s="8" t="s">
        <v>18</v>
      </c>
      <c r="R1228" s="8" t="s">
        <v>2115</v>
      </c>
      <c r="S1228" s="8" t="s">
        <v>2137</v>
      </c>
      <c r="T1228" s="8" t="s">
        <v>2138</v>
      </c>
      <c r="U1228" s="8" t="s">
        <v>2724</v>
      </c>
      <c r="V1228" s="8" t="s">
        <v>937</v>
      </c>
      <c r="W1228" s="8">
        <f t="shared" si="36"/>
        <v>2</v>
      </c>
      <c r="X1228" s="8">
        <f>K1228*L1228*N1228</f>
        <v>1053949.8072600001</v>
      </c>
    </row>
    <row r="1229" spans="1:24" s="8" customFormat="1" ht="41.5" customHeight="1">
      <c r="A1229" s="8" t="s">
        <v>2316</v>
      </c>
      <c r="B1229" s="8" t="s">
        <v>2866</v>
      </c>
      <c r="C1229" s="9">
        <v>45776.712602731503</v>
      </c>
      <c r="D1229" s="8" t="s">
        <v>2056</v>
      </c>
      <c r="E1229" s="8" t="s">
        <v>2057</v>
      </c>
      <c r="F1229" s="8">
        <v>4</v>
      </c>
      <c r="G1229" s="27" t="s">
        <v>2140</v>
      </c>
      <c r="H1229" s="8" t="s">
        <v>196</v>
      </c>
      <c r="I1229" s="2" t="str">
        <f t="shared" si="37"/>
        <v>Thép ống hộp</v>
      </c>
      <c r="J1229" s="8" t="s">
        <v>62</v>
      </c>
      <c r="K1229" s="10">
        <v>387</v>
      </c>
      <c r="L1229" s="10">
        <v>16090.91</v>
      </c>
      <c r="M1229" s="11">
        <v>6227182</v>
      </c>
      <c r="N1229" s="8" t="s">
        <v>30</v>
      </c>
      <c r="O1229" s="8" t="s">
        <v>17</v>
      </c>
      <c r="P1229" s="8" t="s">
        <v>18</v>
      </c>
      <c r="Q1229" s="8" t="s">
        <v>18</v>
      </c>
      <c r="R1229" s="8" t="s">
        <v>2115</v>
      </c>
      <c r="S1229" s="8" t="s">
        <v>2137</v>
      </c>
      <c r="T1229" s="8" t="s">
        <v>2138</v>
      </c>
      <c r="U1229" s="8" t="s">
        <v>2724</v>
      </c>
      <c r="V1229" s="8" t="s">
        <v>937</v>
      </c>
      <c r="W1229" s="8">
        <f t="shared" si="36"/>
        <v>2</v>
      </c>
      <c r="X1229" s="8">
        <f>K1229*L1229*N1229</f>
        <v>622718.21700000006</v>
      </c>
    </row>
    <row r="1230" spans="1:24" s="8" customFormat="1" ht="41.5" customHeight="1">
      <c r="A1230" s="8" t="s">
        <v>2316</v>
      </c>
      <c r="B1230" s="8" t="s">
        <v>2866</v>
      </c>
      <c r="C1230" s="9">
        <v>45776.712602731503</v>
      </c>
      <c r="D1230" s="8" t="s">
        <v>2056</v>
      </c>
      <c r="E1230" s="8" t="s">
        <v>2057</v>
      </c>
      <c r="F1230" s="8">
        <v>5</v>
      </c>
      <c r="G1230" s="27" t="s">
        <v>2140</v>
      </c>
      <c r="H1230" s="8" t="s">
        <v>274</v>
      </c>
      <c r="I1230" s="2" t="str">
        <f t="shared" si="37"/>
        <v>Thép ống hộp</v>
      </c>
      <c r="J1230" s="8" t="s">
        <v>62</v>
      </c>
      <c r="K1230" s="10">
        <v>188.5</v>
      </c>
      <c r="L1230" s="10">
        <v>16090.91</v>
      </c>
      <c r="M1230" s="11">
        <v>3033137</v>
      </c>
      <c r="N1230" s="8" t="s">
        <v>30</v>
      </c>
      <c r="O1230" s="8" t="s">
        <v>17</v>
      </c>
      <c r="P1230" s="8" t="s">
        <v>18</v>
      </c>
      <c r="Q1230" s="8" t="s">
        <v>18</v>
      </c>
      <c r="R1230" s="8" t="s">
        <v>2115</v>
      </c>
      <c r="S1230" s="8" t="s">
        <v>2137</v>
      </c>
      <c r="T1230" s="8" t="s">
        <v>2138</v>
      </c>
      <c r="U1230" s="8" t="s">
        <v>2724</v>
      </c>
      <c r="V1230" s="8" t="s">
        <v>937</v>
      </c>
      <c r="W1230" s="8">
        <f t="shared" si="36"/>
        <v>2</v>
      </c>
      <c r="X1230" s="8">
        <f>K1230*L1230*N1230</f>
        <v>303313.65350000001</v>
      </c>
    </row>
    <row r="1231" spans="1:24" s="8" customFormat="1" ht="41.5" customHeight="1">
      <c r="A1231" s="8" t="s">
        <v>2316</v>
      </c>
      <c r="B1231" s="8" t="s">
        <v>2866</v>
      </c>
      <c r="C1231" s="9">
        <v>45776.712602731503</v>
      </c>
      <c r="D1231" s="8" t="s">
        <v>2056</v>
      </c>
      <c r="E1231" s="8" t="s">
        <v>2057</v>
      </c>
      <c r="F1231" s="8">
        <v>6</v>
      </c>
      <c r="G1231" s="22" t="s">
        <v>1346</v>
      </c>
      <c r="H1231" s="8" t="s">
        <v>70</v>
      </c>
      <c r="I1231" s="2" t="str">
        <f t="shared" si="37"/>
        <v>Tôn xốp</v>
      </c>
      <c r="J1231" s="8" t="s">
        <v>71</v>
      </c>
      <c r="K1231" s="10">
        <v>32</v>
      </c>
      <c r="L1231" s="10">
        <v>131000</v>
      </c>
      <c r="M1231" s="11">
        <v>4192000</v>
      </c>
      <c r="N1231" s="8" t="s">
        <v>30</v>
      </c>
      <c r="O1231" s="8" t="s">
        <v>17</v>
      </c>
      <c r="P1231" s="8" t="s">
        <v>18</v>
      </c>
      <c r="Q1231" s="8" t="s">
        <v>18</v>
      </c>
      <c r="R1231" s="8" t="s">
        <v>2115</v>
      </c>
      <c r="S1231" s="8" t="s">
        <v>2137</v>
      </c>
      <c r="T1231" s="8" t="s">
        <v>2138</v>
      </c>
      <c r="U1231" s="8" t="s">
        <v>2724</v>
      </c>
      <c r="V1231" s="8" t="s">
        <v>937</v>
      </c>
      <c r="W1231" s="8">
        <f t="shared" si="36"/>
        <v>2</v>
      </c>
      <c r="X1231" s="8">
        <f>K1231*L1231*N1231</f>
        <v>419200</v>
      </c>
    </row>
    <row r="1232" spans="1:24" s="8" customFormat="1" ht="41.5" customHeight="1">
      <c r="A1232" s="8" t="s">
        <v>2316</v>
      </c>
      <c r="B1232" s="8" t="s">
        <v>2867</v>
      </c>
      <c r="C1232" s="9">
        <v>45765.717778981503</v>
      </c>
      <c r="D1232" s="8" t="s">
        <v>2056</v>
      </c>
      <c r="E1232" s="8" t="s">
        <v>2057</v>
      </c>
      <c r="F1232" s="8">
        <v>1</v>
      </c>
      <c r="G1232" s="27" t="s">
        <v>2140</v>
      </c>
      <c r="H1232" s="8" t="s">
        <v>110</v>
      </c>
      <c r="I1232" s="2" t="str">
        <f t="shared" si="37"/>
        <v>Thép ống hộp</v>
      </c>
      <c r="J1232" s="8" t="s">
        <v>62</v>
      </c>
      <c r="K1232" s="10">
        <v>3671</v>
      </c>
      <c r="L1232" s="10">
        <v>16090.91</v>
      </c>
      <c r="M1232" s="11">
        <v>59069731</v>
      </c>
      <c r="N1232" s="8" t="s">
        <v>30</v>
      </c>
      <c r="O1232" s="8" t="s">
        <v>17</v>
      </c>
      <c r="P1232" s="8" t="s">
        <v>18</v>
      </c>
      <c r="Q1232" s="8" t="s">
        <v>18</v>
      </c>
      <c r="R1232" s="8" t="s">
        <v>2115</v>
      </c>
      <c r="S1232" s="8" t="s">
        <v>2137</v>
      </c>
      <c r="T1232" s="8" t="s">
        <v>2138</v>
      </c>
      <c r="U1232" s="8" t="s">
        <v>2724</v>
      </c>
      <c r="V1232" s="8" t="s">
        <v>1030</v>
      </c>
      <c r="W1232" s="8">
        <f t="shared" si="36"/>
        <v>2</v>
      </c>
      <c r="X1232" s="8">
        <f>K1232*L1232*N1232</f>
        <v>5906973.0610000007</v>
      </c>
    </row>
    <row r="1233" spans="1:24" s="8" customFormat="1" ht="41.5" customHeight="1">
      <c r="A1233" s="8" t="s">
        <v>2316</v>
      </c>
      <c r="B1233" s="8" t="s">
        <v>2867</v>
      </c>
      <c r="C1233" s="9">
        <v>45765.717778981503</v>
      </c>
      <c r="D1233" s="8" t="s">
        <v>2056</v>
      </c>
      <c r="E1233" s="8" t="s">
        <v>2057</v>
      </c>
      <c r="F1233" s="8">
        <v>2</v>
      </c>
      <c r="G1233" s="27" t="s">
        <v>2140</v>
      </c>
      <c r="H1233" s="8" t="s">
        <v>69</v>
      </c>
      <c r="I1233" s="2" t="str">
        <f t="shared" si="37"/>
        <v>Thép ống hộp</v>
      </c>
      <c r="J1233" s="8" t="s">
        <v>62</v>
      </c>
      <c r="K1233" s="10">
        <v>251</v>
      </c>
      <c r="L1233" s="10">
        <v>16090.91</v>
      </c>
      <c r="M1233" s="11">
        <v>4038818</v>
      </c>
      <c r="N1233" s="8" t="s">
        <v>30</v>
      </c>
      <c r="O1233" s="8" t="s">
        <v>17</v>
      </c>
      <c r="P1233" s="8" t="s">
        <v>18</v>
      </c>
      <c r="Q1233" s="8" t="s">
        <v>18</v>
      </c>
      <c r="R1233" s="8" t="s">
        <v>2115</v>
      </c>
      <c r="S1233" s="8" t="s">
        <v>2137</v>
      </c>
      <c r="T1233" s="8" t="s">
        <v>2138</v>
      </c>
      <c r="U1233" s="8" t="s">
        <v>2724</v>
      </c>
      <c r="V1233" s="8" t="s">
        <v>1030</v>
      </c>
      <c r="W1233" s="8">
        <f t="shared" si="36"/>
        <v>2</v>
      </c>
      <c r="X1233" s="8">
        <f>K1233*L1233*N1233</f>
        <v>403881.84100000001</v>
      </c>
    </row>
    <row r="1234" spans="1:24" s="8" customFormat="1" ht="41.5" customHeight="1">
      <c r="A1234" s="8" t="s">
        <v>2316</v>
      </c>
      <c r="B1234" s="8" t="s">
        <v>2867</v>
      </c>
      <c r="C1234" s="9">
        <v>45765.717778981503</v>
      </c>
      <c r="D1234" s="8" t="s">
        <v>2056</v>
      </c>
      <c r="E1234" s="8" t="s">
        <v>2057</v>
      </c>
      <c r="F1234" s="8">
        <v>3</v>
      </c>
      <c r="G1234" s="22" t="s">
        <v>159</v>
      </c>
      <c r="H1234" s="8" t="s">
        <v>159</v>
      </c>
      <c r="I1234" s="2" t="str">
        <f t="shared" si="37"/>
        <v>Hộp Inox 304</v>
      </c>
      <c r="J1234" s="8" t="s">
        <v>62</v>
      </c>
      <c r="K1234" s="10">
        <v>50</v>
      </c>
      <c r="L1234" s="10">
        <v>58000</v>
      </c>
      <c r="M1234" s="11">
        <v>2900000</v>
      </c>
      <c r="N1234" s="8" t="s">
        <v>30</v>
      </c>
      <c r="O1234" s="8" t="s">
        <v>17</v>
      </c>
      <c r="P1234" s="8" t="s">
        <v>18</v>
      </c>
      <c r="Q1234" s="8" t="s">
        <v>18</v>
      </c>
      <c r="R1234" s="8" t="s">
        <v>2115</v>
      </c>
      <c r="S1234" s="8" t="s">
        <v>2137</v>
      </c>
      <c r="T1234" s="8" t="s">
        <v>2138</v>
      </c>
      <c r="U1234" s="8" t="s">
        <v>2724</v>
      </c>
      <c r="V1234" s="8" t="s">
        <v>1030</v>
      </c>
      <c r="W1234" s="8">
        <f t="shared" si="36"/>
        <v>2</v>
      </c>
      <c r="X1234" s="8">
        <f>K1234*L1234*N1234</f>
        <v>290000</v>
      </c>
    </row>
    <row r="1235" spans="1:24" s="13" customFormat="1" ht="41.5" customHeight="1">
      <c r="A1235" s="8" t="s">
        <v>2316</v>
      </c>
      <c r="B1235" s="13" t="s">
        <v>2867</v>
      </c>
      <c r="C1235" s="14">
        <v>45765.717778981503</v>
      </c>
      <c r="D1235" s="13" t="s">
        <v>2056</v>
      </c>
      <c r="E1235" s="13" t="s">
        <v>2057</v>
      </c>
      <c r="F1235" s="13">
        <v>4</v>
      </c>
      <c r="G1235" s="28" t="s">
        <v>1363</v>
      </c>
      <c r="H1235" s="13" t="s">
        <v>59</v>
      </c>
      <c r="I1235" s="2" t="str">
        <f t="shared" si="37"/>
        <v>Tôn màu</v>
      </c>
      <c r="J1235" s="13" t="s">
        <v>62</v>
      </c>
      <c r="K1235" s="15">
        <v>97</v>
      </c>
      <c r="L1235" s="15">
        <v>22000</v>
      </c>
      <c r="M1235" s="16">
        <v>2134000</v>
      </c>
      <c r="N1235" s="13" t="s">
        <v>30</v>
      </c>
      <c r="O1235" s="13" t="s">
        <v>17</v>
      </c>
      <c r="P1235" s="13" t="s">
        <v>18</v>
      </c>
      <c r="Q1235" s="13" t="s">
        <v>18</v>
      </c>
      <c r="R1235" s="13" t="s">
        <v>2115</v>
      </c>
      <c r="S1235" s="13" t="s">
        <v>2137</v>
      </c>
      <c r="T1235" s="13" t="s">
        <v>2138</v>
      </c>
      <c r="U1235" s="13" t="s">
        <v>2724</v>
      </c>
      <c r="V1235" s="13" t="s">
        <v>1030</v>
      </c>
      <c r="W1235" s="13">
        <f t="shared" si="36"/>
        <v>2</v>
      </c>
      <c r="X1235" s="8">
        <f>K1235*L1235*N1235</f>
        <v>213400</v>
      </c>
    </row>
    <row r="1236" spans="1:24" s="8" customFormat="1" ht="41.5" customHeight="1">
      <c r="A1236" s="8" t="s">
        <v>2316</v>
      </c>
      <c r="B1236" s="8" t="s">
        <v>2868</v>
      </c>
      <c r="C1236" s="9">
        <v>45760.722923692098</v>
      </c>
      <c r="D1236" s="8" t="s">
        <v>2056</v>
      </c>
      <c r="E1236" s="8" t="s">
        <v>2057</v>
      </c>
      <c r="F1236" s="8">
        <v>1</v>
      </c>
      <c r="G1236" s="22" t="s">
        <v>1346</v>
      </c>
      <c r="H1236" s="8" t="s">
        <v>413</v>
      </c>
      <c r="I1236" s="2" t="str">
        <f t="shared" si="37"/>
        <v>Tôn xốp</v>
      </c>
      <c r="J1236" s="8" t="s">
        <v>71</v>
      </c>
      <c r="K1236" s="10">
        <v>118</v>
      </c>
      <c r="L1236" s="10">
        <v>157000</v>
      </c>
      <c r="M1236" s="11">
        <v>18526000</v>
      </c>
      <c r="N1236" s="8" t="s">
        <v>30</v>
      </c>
      <c r="O1236" s="8" t="s">
        <v>17</v>
      </c>
      <c r="P1236" s="8" t="s">
        <v>18</v>
      </c>
      <c r="Q1236" s="8" t="s">
        <v>18</v>
      </c>
      <c r="R1236" s="8" t="s">
        <v>2115</v>
      </c>
      <c r="S1236" s="8" t="s">
        <v>2137</v>
      </c>
      <c r="T1236" s="8" t="s">
        <v>2138</v>
      </c>
      <c r="U1236" s="8" t="s">
        <v>2724</v>
      </c>
      <c r="V1236" s="8" t="s">
        <v>1031</v>
      </c>
      <c r="W1236" s="8">
        <f t="shared" si="36"/>
        <v>2</v>
      </c>
      <c r="X1236" s="8">
        <f>K1236*L1236*N1236</f>
        <v>1852600</v>
      </c>
    </row>
    <row r="1237" spans="1:24" s="8" customFormat="1" ht="41.5" customHeight="1">
      <c r="A1237" s="8" t="s">
        <v>2316</v>
      </c>
      <c r="B1237" s="8" t="s">
        <v>2869</v>
      </c>
      <c r="C1237" s="9">
        <v>45751.713378865701</v>
      </c>
      <c r="D1237" s="8" t="s">
        <v>2056</v>
      </c>
      <c r="E1237" s="8" t="s">
        <v>2057</v>
      </c>
      <c r="F1237" s="8">
        <v>1</v>
      </c>
      <c r="G1237" s="27" t="s">
        <v>2140</v>
      </c>
      <c r="H1237" s="8" t="s">
        <v>68</v>
      </c>
      <c r="I1237" s="2" t="str">
        <f t="shared" si="37"/>
        <v>Thép ống hộp</v>
      </c>
      <c r="J1237" s="8" t="s">
        <v>62</v>
      </c>
      <c r="K1237" s="10">
        <v>10765.47</v>
      </c>
      <c r="L1237" s="10">
        <v>16090.91</v>
      </c>
      <c r="M1237" s="11">
        <v>173226209</v>
      </c>
      <c r="N1237" s="8" t="s">
        <v>30</v>
      </c>
      <c r="O1237" s="8" t="s">
        <v>17</v>
      </c>
      <c r="P1237" s="8" t="s">
        <v>18</v>
      </c>
      <c r="Q1237" s="8" t="s">
        <v>18</v>
      </c>
      <c r="R1237" s="8" t="s">
        <v>2115</v>
      </c>
      <c r="S1237" s="8" t="s">
        <v>2137</v>
      </c>
      <c r="T1237" s="8" t="s">
        <v>2138</v>
      </c>
      <c r="U1237" s="8" t="s">
        <v>2724</v>
      </c>
      <c r="V1237" s="8" t="s">
        <v>1032</v>
      </c>
      <c r="W1237" s="8">
        <f t="shared" si="36"/>
        <v>2</v>
      </c>
      <c r="X1237" s="8">
        <f>K1237*L1237*N1237</f>
        <v>17322620.887770001</v>
      </c>
    </row>
    <row r="1238" spans="1:24" s="8" customFormat="1" ht="41.5" customHeight="1">
      <c r="A1238" s="8" t="s">
        <v>2316</v>
      </c>
      <c r="B1238" s="8" t="s">
        <v>2869</v>
      </c>
      <c r="C1238" s="9">
        <v>45751.713378865701</v>
      </c>
      <c r="D1238" s="8" t="s">
        <v>2056</v>
      </c>
      <c r="E1238" s="8" t="s">
        <v>2057</v>
      </c>
      <c r="F1238" s="8">
        <v>2</v>
      </c>
      <c r="G1238" s="27" t="s">
        <v>2140</v>
      </c>
      <c r="H1238" s="8" t="s">
        <v>69</v>
      </c>
      <c r="I1238" s="2" t="str">
        <f t="shared" si="37"/>
        <v>Thép ống hộp</v>
      </c>
      <c r="J1238" s="8" t="s">
        <v>62</v>
      </c>
      <c r="K1238" s="10">
        <v>7121.85</v>
      </c>
      <c r="L1238" s="10">
        <v>16090.91</v>
      </c>
      <c r="M1238" s="11">
        <v>114597047</v>
      </c>
      <c r="N1238" s="8" t="s">
        <v>30</v>
      </c>
      <c r="O1238" s="8" t="s">
        <v>17</v>
      </c>
      <c r="P1238" s="8" t="s">
        <v>18</v>
      </c>
      <c r="Q1238" s="8" t="s">
        <v>18</v>
      </c>
      <c r="R1238" s="8" t="s">
        <v>2115</v>
      </c>
      <c r="S1238" s="8" t="s">
        <v>2137</v>
      </c>
      <c r="T1238" s="8" t="s">
        <v>2138</v>
      </c>
      <c r="U1238" s="8" t="s">
        <v>2724</v>
      </c>
      <c r="V1238" s="8" t="s">
        <v>1032</v>
      </c>
      <c r="W1238" s="8">
        <f t="shared" si="36"/>
        <v>2</v>
      </c>
      <c r="X1238" s="8">
        <f>K1238*L1238*N1238</f>
        <v>11459704.738350002</v>
      </c>
    </row>
    <row r="1239" spans="1:24" s="8" customFormat="1" ht="41.5" customHeight="1">
      <c r="A1239" s="8" t="s">
        <v>2316</v>
      </c>
      <c r="B1239" s="8" t="s">
        <v>2869</v>
      </c>
      <c r="C1239" s="9">
        <v>45751.713378865701</v>
      </c>
      <c r="D1239" s="8" t="s">
        <v>2056</v>
      </c>
      <c r="E1239" s="8" t="s">
        <v>2057</v>
      </c>
      <c r="F1239" s="8">
        <v>3</v>
      </c>
      <c r="G1239" s="27" t="s">
        <v>2140</v>
      </c>
      <c r="H1239" s="8" t="s">
        <v>666</v>
      </c>
      <c r="I1239" s="2" t="str">
        <f t="shared" si="37"/>
        <v>Thép ống hộp</v>
      </c>
      <c r="J1239" s="8" t="s">
        <v>62</v>
      </c>
      <c r="K1239" s="10">
        <v>5171.25</v>
      </c>
      <c r="L1239" s="10">
        <v>16090.91</v>
      </c>
      <c r="M1239" s="11">
        <v>83210118</v>
      </c>
      <c r="N1239" s="8" t="s">
        <v>30</v>
      </c>
      <c r="O1239" s="8" t="s">
        <v>17</v>
      </c>
      <c r="P1239" s="8" t="s">
        <v>18</v>
      </c>
      <c r="Q1239" s="8" t="s">
        <v>18</v>
      </c>
      <c r="R1239" s="8" t="s">
        <v>2115</v>
      </c>
      <c r="S1239" s="8" t="s">
        <v>2137</v>
      </c>
      <c r="T1239" s="8" t="s">
        <v>2138</v>
      </c>
      <c r="U1239" s="8" t="s">
        <v>2724</v>
      </c>
      <c r="V1239" s="8" t="s">
        <v>1032</v>
      </c>
      <c r="W1239" s="8">
        <f t="shared" si="36"/>
        <v>2</v>
      </c>
      <c r="X1239" s="8">
        <f>K1239*L1239*N1239</f>
        <v>8321011.8337500012</v>
      </c>
    </row>
    <row r="1240" spans="1:24" s="8" customFormat="1" ht="41.5" customHeight="1">
      <c r="A1240" s="8" t="s">
        <v>2316</v>
      </c>
      <c r="B1240" s="8" t="s">
        <v>2870</v>
      </c>
      <c r="C1240" s="9">
        <v>45748.929380648202</v>
      </c>
      <c r="D1240" s="8" t="s">
        <v>2056</v>
      </c>
      <c r="E1240" s="8" t="s">
        <v>2057</v>
      </c>
      <c r="F1240" s="8">
        <v>1</v>
      </c>
      <c r="G1240" s="27" t="s">
        <v>2140</v>
      </c>
      <c r="H1240" s="8" t="s">
        <v>68</v>
      </c>
      <c r="I1240" s="2" t="str">
        <f t="shared" si="37"/>
        <v>Thép ống hộp</v>
      </c>
      <c r="J1240" s="8" t="s">
        <v>62</v>
      </c>
      <c r="K1240" s="10">
        <v>10703.24</v>
      </c>
      <c r="L1240" s="10">
        <v>16090.91</v>
      </c>
      <c r="M1240" s="11">
        <v>172224872</v>
      </c>
      <c r="N1240" s="8" t="s">
        <v>30</v>
      </c>
      <c r="O1240" s="8" t="s">
        <v>17</v>
      </c>
      <c r="P1240" s="8" t="s">
        <v>18</v>
      </c>
      <c r="Q1240" s="8" t="s">
        <v>18</v>
      </c>
      <c r="R1240" s="8" t="s">
        <v>2115</v>
      </c>
      <c r="S1240" s="8" t="s">
        <v>2137</v>
      </c>
      <c r="T1240" s="8" t="s">
        <v>2138</v>
      </c>
      <c r="U1240" s="8" t="s">
        <v>2724</v>
      </c>
      <c r="V1240" s="8" t="s">
        <v>1033</v>
      </c>
      <c r="W1240" s="8">
        <f t="shared" si="36"/>
        <v>2</v>
      </c>
      <c r="X1240" s="8">
        <f>K1240*L1240*N1240</f>
        <v>17222487.15484</v>
      </c>
    </row>
    <row r="1241" spans="1:24" s="8" customFormat="1" ht="41.5" customHeight="1">
      <c r="A1241" s="8" t="s">
        <v>2316</v>
      </c>
      <c r="B1241" s="8" t="s">
        <v>2870</v>
      </c>
      <c r="C1241" s="9">
        <v>45748.929380648202</v>
      </c>
      <c r="D1241" s="8" t="s">
        <v>2056</v>
      </c>
      <c r="E1241" s="8" t="s">
        <v>2057</v>
      </c>
      <c r="F1241" s="8">
        <v>2</v>
      </c>
      <c r="G1241" s="27" t="s">
        <v>2140</v>
      </c>
      <c r="H1241" s="8" t="s">
        <v>69</v>
      </c>
      <c r="I1241" s="2" t="str">
        <f t="shared" si="37"/>
        <v>Thép ống hộp</v>
      </c>
      <c r="J1241" s="8" t="s">
        <v>62</v>
      </c>
      <c r="K1241" s="10">
        <v>7121.85</v>
      </c>
      <c r="L1241" s="10">
        <v>16090.91</v>
      </c>
      <c r="M1241" s="11">
        <v>114597047</v>
      </c>
      <c r="N1241" s="8" t="s">
        <v>30</v>
      </c>
      <c r="O1241" s="8" t="s">
        <v>17</v>
      </c>
      <c r="P1241" s="8" t="s">
        <v>18</v>
      </c>
      <c r="Q1241" s="8" t="s">
        <v>18</v>
      </c>
      <c r="R1241" s="8" t="s">
        <v>2115</v>
      </c>
      <c r="S1241" s="8" t="s">
        <v>2137</v>
      </c>
      <c r="T1241" s="8" t="s">
        <v>2138</v>
      </c>
      <c r="U1241" s="8" t="s">
        <v>2724</v>
      </c>
      <c r="V1241" s="8" t="s">
        <v>1033</v>
      </c>
      <c r="W1241" s="8">
        <f t="shared" si="36"/>
        <v>2</v>
      </c>
      <c r="X1241" s="8">
        <f>K1241*L1241*N1241</f>
        <v>11459704.738350002</v>
      </c>
    </row>
    <row r="1242" spans="1:24" s="8" customFormat="1" ht="41.5" customHeight="1">
      <c r="A1242" s="8" t="s">
        <v>2316</v>
      </c>
      <c r="B1242" s="8" t="s">
        <v>2870</v>
      </c>
      <c r="C1242" s="9">
        <v>45748.929380648202</v>
      </c>
      <c r="D1242" s="8" t="s">
        <v>2056</v>
      </c>
      <c r="E1242" s="8" t="s">
        <v>2057</v>
      </c>
      <c r="F1242" s="8">
        <v>3</v>
      </c>
      <c r="G1242" s="27" t="s">
        <v>2140</v>
      </c>
      <c r="H1242" s="8" t="s">
        <v>64</v>
      </c>
      <c r="I1242" s="2" t="str">
        <f t="shared" si="37"/>
        <v>Thép ống hộp</v>
      </c>
      <c r="J1242" s="8" t="s">
        <v>62</v>
      </c>
      <c r="K1242" s="10">
        <v>3238.05</v>
      </c>
      <c r="L1242" s="10">
        <v>16090.91</v>
      </c>
      <c r="M1242" s="11">
        <v>52103171</v>
      </c>
      <c r="N1242" s="8" t="s">
        <v>30</v>
      </c>
      <c r="O1242" s="8" t="s">
        <v>17</v>
      </c>
      <c r="P1242" s="8" t="s">
        <v>18</v>
      </c>
      <c r="Q1242" s="8" t="s">
        <v>18</v>
      </c>
      <c r="R1242" s="8" t="s">
        <v>2115</v>
      </c>
      <c r="S1242" s="8" t="s">
        <v>2137</v>
      </c>
      <c r="T1242" s="8" t="s">
        <v>2138</v>
      </c>
      <c r="U1242" s="8" t="s">
        <v>2724</v>
      </c>
      <c r="V1242" s="8" t="s">
        <v>1033</v>
      </c>
      <c r="W1242" s="8">
        <f t="shared" si="36"/>
        <v>2</v>
      </c>
      <c r="X1242" s="8">
        <f>K1242*L1242*N1242</f>
        <v>5210317.1125500007</v>
      </c>
    </row>
    <row r="1243" spans="1:24" s="8" customFormat="1" ht="41.5" customHeight="1">
      <c r="A1243" s="8" t="s">
        <v>2316</v>
      </c>
      <c r="B1243" s="8" t="s">
        <v>2870</v>
      </c>
      <c r="C1243" s="9">
        <v>45748.929380648202</v>
      </c>
      <c r="D1243" s="8" t="s">
        <v>2056</v>
      </c>
      <c r="E1243" s="8" t="s">
        <v>2057</v>
      </c>
      <c r="F1243" s="8">
        <v>4</v>
      </c>
      <c r="G1243" s="27" t="s">
        <v>2140</v>
      </c>
      <c r="H1243" s="8" t="s">
        <v>666</v>
      </c>
      <c r="I1243" s="2" t="str">
        <f t="shared" si="37"/>
        <v>Thép ống hộp</v>
      </c>
      <c r="J1243" s="8" t="s">
        <v>62</v>
      </c>
      <c r="K1243" s="10">
        <v>3531.11</v>
      </c>
      <c r="L1243" s="10">
        <v>16090.91</v>
      </c>
      <c r="M1243" s="11">
        <v>56818773</v>
      </c>
      <c r="N1243" s="8" t="s">
        <v>30</v>
      </c>
      <c r="O1243" s="8" t="s">
        <v>17</v>
      </c>
      <c r="P1243" s="8" t="s">
        <v>18</v>
      </c>
      <c r="Q1243" s="8" t="s">
        <v>18</v>
      </c>
      <c r="R1243" s="8" t="s">
        <v>2115</v>
      </c>
      <c r="S1243" s="8" t="s">
        <v>2137</v>
      </c>
      <c r="T1243" s="8" t="s">
        <v>2138</v>
      </c>
      <c r="U1243" s="8" t="s">
        <v>2724</v>
      </c>
      <c r="V1243" s="8" t="s">
        <v>1033</v>
      </c>
      <c r="W1243" s="8">
        <f t="shared" si="36"/>
        <v>2</v>
      </c>
      <c r="X1243" s="8">
        <f>K1243*L1243*N1243</f>
        <v>5681877.321010001</v>
      </c>
    </row>
    <row r="1244" spans="1:24" s="8" customFormat="1" ht="41.5" customHeight="1">
      <c r="A1244" s="8" t="s">
        <v>2312</v>
      </c>
      <c r="B1244" s="8" t="s">
        <v>2871</v>
      </c>
      <c r="C1244" s="9">
        <v>45760.444306296296</v>
      </c>
      <c r="D1244" s="8" t="s">
        <v>2208</v>
      </c>
      <c r="E1244" s="8" t="s">
        <v>2057</v>
      </c>
      <c r="F1244" s="8">
        <v>1</v>
      </c>
      <c r="G1244" s="2">
        <v>642</v>
      </c>
      <c r="H1244" s="8" t="s">
        <v>809</v>
      </c>
      <c r="I1244" s="2">
        <f t="shared" si="37"/>
        <v>642</v>
      </c>
      <c r="J1244" s="8" t="s">
        <v>27</v>
      </c>
      <c r="K1244" s="10">
        <v>34.130000000000003</v>
      </c>
      <c r="L1244" s="10">
        <v>15981.82</v>
      </c>
      <c r="M1244" s="11">
        <v>545455</v>
      </c>
      <c r="N1244" s="8" t="s">
        <v>30</v>
      </c>
      <c r="O1244" s="8" t="s">
        <v>17</v>
      </c>
      <c r="P1244" s="8" t="s">
        <v>18</v>
      </c>
      <c r="Q1244" s="8" t="s">
        <v>18</v>
      </c>
      <c r="R1244" s="8" t="s">
        <v>2110</v>
      </c>
      <c r="S1244" s="8" t="s">
        <v>2209</v>
      </c>
      <c r="T1244" s="8" t="s">
        <v>2566</v>
      </c>
      <c r="U1244" s="8" t="s">
        <v>2727</v>
      </c>
      <c r="V1244" s="8" t="s">
        <v>1031</v>
      </c>
      <c r="W1244" s="8">
        <f t="shared" si="36"/>
        <v>2</v>
      </c>
      <c r="X1244" s="8">
        <f>K1244*L1244*N1244</f>
        <v>54545.951659999999</v>
      </c>
    </row>
    <row r="1245" spans="1:24" s="8" customFormat="1" ht="41.5" customHeight="1">
      <c r="A1245" s="8" t="s">
        <v>2316</v>
      </c>
      <c r="B1245" s="8" t="s">
        <v>1034</v>
      </c>
      <c r="C1245" s="9">
        <v>45756.626721782399</v>
      </c>
      <c r="D1245" s="8" t="s">
        <v>2056</v>
      </c>
      <c r="E1245" s="8" t="s">
        <v>2057</v>
      </c>
      <c r="F1245" s="8">
        <v>1</v>
      </c>
      <c r="G1245" s="22" t="s">
        <v>2160</v>
      </c>
      <c r="H1245" s="8" t="s">
        <v>113</v>
      </c>
      <c r="I1245" s="2" t="str">
        <f t="shared" si="37"/>
        <v>Ván ép phủ phim 2 mặt Kt 2440x1220*15 mm</v>
      </c>
      <c r="J1245" s="8" t="s">
        <v>114</v>
      </c>
      <c r="K1245" s="10">
        <v>150</v>
      </c>
      <c r="L1245" s="10">
        <v>280000</v>
      </c>
      <c r="M1245" s="11">
        <v>42000000</v>
      </c>
      <c r="N1245" s="8" t="s">
        <v>16</v>
      </c>
      <c r="O1245" s="8" t="s">
        <v>17</v>
      </c>
      <c r="P1245" s="8" t="s">
        <v>18</v>
      </c>
      <c r="Q1245" s="8" t="s">
        <v>18</v>
      </c>
      <c r="R1245" s="8" t="s">
        <v>2115</v>
      </c>
      <c r="S1245" s="8" t="s">
        <v>2211</v>
      </c>
      <c r="T1245" s="8" t="s">
        <v>2212</v>
      </c>
      <c r="U1245" s="8" t="s">
        <v>2733</v>
      </c>
      <c r="V1245" s="8" t="s">
        <v>1035</v>
      </c>
      <c r="W1245" s="8">
        <f t="shared" ref="W1245:W1308" si="38">ROUNDUP(MONTH(V1245)/3,0)</f>
        <v>2</v>
      </c>
      <c r="X1245" s="8">
        <f>K1245*L1245*N1245</f>
        <v>3360000</v>
      </c>
    </row>
    <row r="1246" spans="1:24" s="8" customFormat="1" ht="41.5" customHeight="1">
      <c r="A1246" s="8" t="s">
        <v>2281</v>
      </c>
      <c r="B1246" s="8" t="s">
        <v>2872</v>
      </c>
      <c r="C1246" s="9">
        <v>45770.725374294001</v>
      </c>
      <c r="D1246" s="8" t="s">
        <v>2056</v>
      </c>
      <c r="E1246" s="8" t="s">
        <v>2057</v>
      </c>
      <c r="F1246" s="8">
        <v>1</v>
      </c>
      <c r="G1246" s="22" t="s">
        <v>2873</v>
      </c>
      <c r="H1246" s="8" t="s">
        <v>1036</v>
      </c>
      <c r="I1246" s="2" t="str">
        <f t="shared" si="37"/>
        <v>Đèn led chiếu pha 20w, model CP01-20W/G03</v>
      </c>
      <c r="J1246" s="8" t="s">
        <v>19</v>
      </c>
      <c r="K1246" s="10">
        <v>6</v>
      </c>
      <c r="L1246" s="10">
        <v>83527.77</v>
      </c>
      <c r="M1246" s="11">
        <v>501167</v>
      </c>
      <c r="N1246" s="8" t="s">
        <v>16</v>
      </c>
      <c r="O1246" s="8" t="s">
        <v>17</v>
      </c>
      <c r="P1246" s="8" t="s">
        <v>18</v>
      </c>
      <c r="Q1246" s="8" t="s">
        <v>18</v>
      </c>
      <c r="R1246" s="8" t="s">
        <v>2115</v>
      </c>
      <c r="S1246" s="8" t="s">
        <v>2274</v>
      </c>
      <c r="T1246" s="8" t="s">
        <v>2275</v>
      </c>
      <c r="U1246" s="8" t="s">
        <v>2799</v>
      </c>
      <c r="V1246" s="8" t="s">
        <v>944</v>
      </c>
      <c r="W1246" s="8">
        <f t="shared" si="38"/>
        <v>2</v>
      </c>
      <c r="X1246" s="8">
        <f>K1246*L1246*N1246</f>
        <v>40093.329599999997</v>
      </c>
    </row>
    <row r="1247" spans="1:24" s="8" customFormat="1" ht="41.5" customHeight="1">
      <c r="A1247" s="8" t="s">
        <v>2281</v>
      </c>
      <c r="B1247" s="8" t="s">
        <v>2872</v>
      </c>
      <c r="C1247" s="9">
        <v>45770.725374294001</v>
      </c>
      <c r="D1247" s="8" t="s">
        <v>2056</v>
      </c>
      <c r="E1247" s="8" t="s">
        <v>2057</v>
      </c>
      <c r="F1247" s="8">
        <v>2</v>
      </c>
      <c r="G1247" s="22" t="s">
        <v>538</v>
      </c>
      <c r="H1247" s="8" t="s">
        <v>538</v>
      </c>
      <c r="I1247" s="2" t="str">
        <f t="shared" si="37"/>
        <v>Đèn pin G8-332, ánh sáng trắng</v>
      </c>
      <c r="J1247" s="8" t="s">
        <v>53</v>
      </c>
      <c r="K1247" s="10">
        <v>2</v>
      </c>
      <c r="L1247" s="10">
        <v>140833.32999999999</v>
      </c>
      <c r="M1247" s="11">
        <v>281667</v>
      </c>
      <c r="N1247" s="8" t="s">
        <v>16</v>
      </c>
      <c r="O1247" s="8" t="s">
        <v>17</v>
      </c>
      <c r="P1247" s="8" t="s">
        <v>18</v>
      </c>
      <c r="Q1247" s="8" t="s">
        <v>18</v>
      </c>
      <c r="R1247" s="8" t="s">
        <v>2115</v>
      </c>
      <c r="S1247" s="8" t="s">
        <v>2274</v>
      </c>
      <c r="T1247" s="8" t="s">
        <v>2275</v>
      </c>
      <c r="U1247" s="8" t="s">
        <v>2799</v>
      </c>
      <c r="V1247" s="8" t="s">
        <v>944</v>
      </c>
      <c r="W1247" s="8">
        <f t="shared" si="38"/>
        <v>2</v>
      </c>
      <c r="X1247" s="8">
        <f>K1247*L1247*N1247</f>
        <v>22533.3328</v>
      </c>
    </row>
    <row r="1248" spans="1:24" s="8" customFormat="1" ht="41.5" customHeight="1">
      <c r="A1248" s="8" t="s">
        <v>2281</v>
      </c>
      <c r="B1248" s="8" t="s">
        <v>2872</v>
      </c>
      <c r="C1248" s="9">
        <v>45770.725374294001</v>
      </c>
      <c r="D1248" s="8" t="s">
        <v>2056</v>
      </c>
      <c r="E1248" s="8" t="s">
        <v>2057</v>
      </c>
      <c r="F1248" s="8">
        <v>3</v>
      </c>
      <c r="G1248" s="22" t="s">
        <v>814</v>
      </c>
      <c r="H1248" s="8" t="s">
        <v>814</v>
      </c>
      <c r="I1248" s="2" t="str">
        <f t="shared" si="37"/>
        <v>Đèn pin G8-568</v>
      </c>
      <c r="J1248" s="8" t="s">
        <v>53</v>
      </c>
      <c r="K1248" s="10">
        <v>5</v>
      </c>
      <c r="L1248" s="10">
        <v>130648.15</v>
      </c>
      <c r="M1248" s="11">
        <v>653241</v>
      </c>
      <c r="N1248" s="8" t="s">
        <v>16</v>
      </c>
      <c r="O1248" s="8" t="s">
        <v>17</v>
      </c>
      <c r="P1248" s="8" t="s">
        <v>18</v>
      </c>
      <c r="Q1248" s="8" t="s">
        <v>18</v>
      </c>
      <c r="R1248" s="8" t="s">
        <v>2115</v>
      </c>
      <c r="S1248" s="8" t="s">
        <v>2274</v>
      </c>
      <c r="T1248" s="8" t="s">
        <v>2275</v>
      </c>
      <c r="U1248" s="8" t="s">
        <v>2799</v>
      </c>
      <c r="V1248" s="8" t="s">
        <v>944</v>
      </c>
      <c r="W1248" s="8">
        <f t="shared" si="38"/>
        <v>2</v>
      </c>
      <c r="X1248" s="8">
        <f>K1248*L1248*N1248</f>
        <v>52259.26</v>
      </c>
    </row>
    <row r="1249" spans="1:24" s="8" customFormat="1" ht="41.5" customHeight="1">
      <c r="A1249" s="8" t="s">
        <v>2281</v>
      </c>
      <c r="B1249" s="8" t="s">
        <v>2872</v>
      </c>
      <c r="C1249" s="9">
        <v>45770.725374294001</v>
      </c>
      <c r="D1249" s="8" t="s">
        <v>2056</v>
      </c>
      <c r="E1249" s="8" t="s">
        <v>2057</v>
      </c>
      <c r="F1249" s="8">
        <v>4</v>
      </c>
      <c r="G1249" s="22" t="s">
        <v>1037</v>
      </c>
      <c r="H1249" s="8" t="s">
        <v>1037</v>
      </c>
      <c r="I1249" s="2" t="str">
        <f t="shared" si="37"/>
        <v>Vợt muỗi G8-626</v>
      </c>
      <c r="J1249" s="8" t="s">
        <v>19</v>
      </c>
      <c r="K1249" s="10">
        <v>4</v>
      </c>
      <c r="L1249" s="10">
        <v>97500</v>
      </c>
      <c r="M1249" s="11">
        <v>390000</v>
      </c>
      <c r="N1249" s="8" t="s">
        <v>16</v>
      </c>
      <c r="O1249" s="8" t="s">
        <v>17</v>
      </c>
      <c r="P1249" s="8" t="s">
        <v>18</v>
      </c>
      <c r="Q1249" s="8" t="s">
        <v>18</v>
      </c>
      <c r="R1249" s="8" t="s">
        <v>2115</v>
      </c>
      <c r="S1249" s="8" t="s">
        <v>2274</v>
      </c>
      <c r="T1249" s="8" t="s">
        <v>2275</v>
      </c>
      <c r="U1249" s="8" t="s">
        <v>2799</v>
      </c>
      <c r="V1249" s="8" t="s">
        <v>944</v>
      </c>
      <c r="W1249" s="8">
        <f t="shared" si="38"/>
        <v>2</v>
      </c>
      <c r="X1249" s="8">
        <f>K1249*L1249*N1249</f>
        <v>31200</v>
      </c>
    </row>
    <row r="1250" spans="1:24" s="8" customFormat="1" ht="41.5" customHeight="1">
      <c r="A1250" s="8" t="s">
        <v>2281</v>
      </c>
      <c r="B1250" s="8" t="s">
        <v>2872</v>
      </c>
      <c r="C1250" s="9">
        <v>45770.725374294001</v>
      </c>
      <c r="D1250" s="8" t="s">
        <v>2056</v>
      </c>
      <c r="E1250" s="8" t="s">
        <v>2057</v>
      </c>
      <c r="F1250" s="8">
        <v>5</v>
      </c>
      <c r="G1250" s="22" t="s">
        <v>1038</v>
      </c>
      <c r="H1250" s="8" t="s">
        <v>1038</v>
      </c>
      <c r="I1250" s="2" t="str">
        <f t="shared" si="37"/>
        <v>Đèn pin G8-ML3, ánh sáng trắng</v>
      </c>
      <c r="J1250" s="8" t="s">
        <v>53</v>
      </c>
      <c r="K1250" s="10">
        <v>10</v>
      </c>
      <c r="L1250" s="10">
        <v>68055.56</v>
      </c>
      <c r="M1250" s="11">
        <v>680556</v>
      </c>
      <c r="N1250" s="8" t="s">
        <v>16</v>
      </c>
      <c r="O1250" s="8" t="s">
        <v>17</v>
      </c>
      <c r="P1250" s="8" t="s">
        <v>18</v>
      </c>
      <c r="Q1250" s="8" t="s">
        <v>18</v>
      </c>
      <c r="R1250" s="8" t="s">
        <v>2115</v>
      </c>
      <c r="S1250" s="8" t="s">
        <v>2274</v>
      </c>
      <c r="T1250" s="8" t="s">
        <v>2275</v>
      </c>
      <c r="U1250" s="8" t="s">
        <v>2799</v>
      </c>
      <c r="V1250" s="8" t="s">
        <v>944</v>
      </c>
      <c r="W1250" s="8">
        <f t="shared" si="38"/>
        <v>2</v>
      </c>
      <c r="X1250" s="8">
        <f>K1250*L1250*N1250</f>
        <v>54444.447999999997</v>
      </c>
    </row>
    <row r="1251" spans="1:24" s="8" customFormat="1" ht="41.5" customHeight="1">
      <c r="A1251" s="8" t="s">
        <v>2281</v>
      </c>
      <c r="B1251" s="8" t="s">
        <v>2872</v>
      </c>
      <c r="C1251" s="9">
        <v>45770.725374294001</v>
      </c>
      <c r="D1251" s="8" t="s">
        <v>2056</v>
      </c>
      <c r="E1251" s="8" t="s">
        <v>2057</v>
      </c>
      <c r="F1251" s="8">
        <v>6</v>
      </c>
      <c r="G1251" s="22" t="s">
        <v>2874</v>
      </c>
      <c r="H1251" s="8" t="s">
        <v>1039</v>
      </c>
      <c r="I1251" s="2" t="str">
        <f t="shared" si="37"/>
        <v>Bóng led tích điện TD125, model TD125-0.45AH/G01</v>
      </c>
      <c r="J1251" s="8" t="s">
        <v>19</v>
      </c>
      <c r="K1251" s="10">
        <v>2</v>
      </c>
      <c r="L1251" s="10">
        <v>82666.67</v>
      </c>
      <c r="M1251" s="11">
        <v>165333</v>
      </c>
      <c r="N1251" s="8" t="s">
        <v>16</v>
      </c>
      <c r="O1251" s="8" t="s">
        <v>17</v>
      </c>
      <c r="P1251" s="8" t="s">
        <v>18</v>
      </c>
      <c r="Q1251" s="8" t="s">
        <v>18</v>
      </c>
      <c r="R1251" s="8" t="s">
        <v>2115</v>
      </c>
      <c r="S1251" s="8" t="s">
        <v>2274</v>
      </c>
      <c r="T1251" s="8" t="s">
        <v>2275</v>
      </c>
      <c r="U1251" s="8" t="s">
        <v>2799</v>
      </c>
      <c r="V1251" s="8" t="s">
        <v>944</v>
      </c>
      <c r="W1251" s="8">
        <f t="shared" si="38"/>
        <v>2</v>
      </c>
      <c r="X1251" s="8">
        <f>K1251*L1251*N1251</f>
        <v>13226.6672</v>
      </c>
    </row>
    <row r="1252" spans="1:24" s="8" customFormat="1" ht="41.5" customHeight="1">
      <c r="A1252" s="8" t="s">
        <v>2281</v>
      </c>
      <c r="B1252" s="8" t="s">
        <v>2875</v>
      </c>
      <c r="C1252" s="9">
        <v>45770.450754039397</v>
      </c>
      <c r="D1252" s="8" t="s">
        <v>2056</v>
      </c>
      <c r="E1252" s="8" t="s">
        <v>2057</v>
      </c>
      <c r="F1252" s="8">
        <v>1</v>
      </c>
      <c r="G1252" s="22" t="s">
        <v>2164</v>
      </c>
      <c r="H1252" s="8" t="s">
        <v>537</v>
      </c>
      <c r="I1252" s="2" t="str">
        <f t="shared" si="37"/>
        <v>Đèn led chiếu pha 200W, model CP01-200W/G03, án</v>
      </c>
      <c r="J1252" s="8" t="s">
        <v>19</v>
      </c>
      <c r="K1252" s="10">
        <v>10</v>
      </c>
      <c r="L1252" s="10">
        <v>503750</v>
      </c>
      <c r="M1252" s="11">
        <v>5037500</v>
      </c>
      <c r="N1252" s="8" t="s">
        <v>16</v>
      </c>
      <c r="O1252" s="8" t="s">
        <v>17</v>
      </c>
      <c r="P1252" s="8" t="s">
        <v>18</v>
      </c>
      <c r="Q1252" s="8" t="s">
        <v>18</v>
      </c>
      <c r="R1252" s="8" t="s">
        <v>2115</v>
      </c>
      <c r="S1252" s="8" t="s">
        <v>2274</v>
      </c>
      <c r="T1252" s="8" t="s">
        <v>2275</v>
      </c>
      <c r="U1252" s="8" t="s">
        <v>2799</v>
      </c>
      <c r="V1252" s="8" t="s">
        <v>944</v>
      </c>
      <c r="W1252" s="8">
        <f t="shared" si="38"/>
        <v>2</v>
      </c>
      <c r="X1252" s="8">
        <f>K1252*L1252*N1252</f>
        <v>403000</v>
      </c>
    </row>
    <row r="1253" spans="1:24" s="8" customFormat="1" ht="41.5" customHeight="1">
      <c r="A1253" s="8" t="s">
        <v>2876</v>
      </c>
      <c r="B1253" s="8" t="s">
        <v>2877</v>
      </c>
      <c r="C1253" s="9">
        <v>45762.759035786999</v>
      </c>
      <c r="D1253" s="8" t="s">
        <v>2056</v>
      </c>
      <c r="E1253" s="8" t="s">
        <v>2057</v>
      </c>
      <c r="F1253" s="8">
        <v>1</v>
      </c>
      <c r="G1253" s="22" t="s">
        <v>1040</v>
      </c>
      <c r="H1253" s="8" t="s">
        <v>1040</v>
      </c>
      <c r="I1253" s="2" t="str">
        <f t="shared" si="37"/>
        <v>GP-200JXK-SV5-Máy bơm không tự động 200W</v>
      </c>
      <c r="J1253" s="8" t="s">
        <v>1041</v>
      </c>
      <c r="K1253" s="10">
        <v>4</v>
      </c>
      <c r="L1253" s="10">
        <v>980000</v>
      </c>
      <c r="M1253" s="11">
        <v>3920000</v>
      </c>
      <c r="N1253" s="8" t="s">
        <v>16</v>
      </c>
      <c r="O1253" s="8" t="s">
        <v>17</v>
      </c>
      <c r="P1253" s="8" t="s">
        <v>18</v>
      </c>
      <c r="Q1253" s="8" t="s">
        <v>18</v>
      </c>
      <c r="R1253" s="8" t="s">
        <v>2155</v>
      </c>
      <c r="S1253" s="8" t="s">
        <v>2878</v>
      </c>
      <c r="T1253" s="8" t="s">
        <v>2879</v>
      </c>
      <c r="U1253" s="8" t="s">
        <v>2880</v>
      </c>
      <c r="V1253" s="8" t="s">
        <v>1000</v>
      </c>
      <c r="W1253" s="8">
        <f t="shared" si="38"/>
        <v>2</v>
      </c>
      <c r="X1253" s="8">
        <f>K1253*L1253*N1253</f>
        <v>313600</v>
      </c>
    </row>
    <row r="1254" spans="1:24" s="8" customFormat="1" ht="41.5" customHeight="1">
      <c r="A1254" s="8" t="s">
        <v>2876</v>
      </c>
      <c r="B1254" s="8" t="s">
        <v>2877</v>
      </c>
      <c r="C1254" s="9">
        <v>45762.759035786999</v>
      </c>
      <c r="D1254" s="8" t="s">
        <v>2056</v>
      </c>
      <c r="E1254" s="8" t="s">
        <v>2057</v>
      </c>
      <c r="F1254" s="8">
        <v>2</v>
      </c>
      <c r="G1254" s="22" t="s">
        <v>1599</v>
      </c>
      <c r="H1254" s="8" t="s">
        <v>1042</v>
      </c>
      <c r="I1254" s="2" t="str">
        <f t="shared" si="37"/>
        <v>A-130JAK-Máy bơm tự động 125w</v>
      </c>
      <c r="J1254" s="8" t="s">
        <v>1041</v>
      </c>
      <c r="K1254" s="10">
        <v>4</v>
      </c>
      <c r="L1254" s="10">
        <v>1050000</v>
      </c>
      <c r="M1254" s="11">
        <v>4200000</v>
      </c>
      <c r="N1254" s="8" t="s">
        <v>16</v>
      </c>
      <c r="O1254" s="8" t="s">
        <v>17</v>
      </c>
      <c r="P1254" s="8" t="s">
        <v>18</v>
      </c>
      <c r="Q1254" s="8" t="s">
        <v>18</v>
      </c>
      <c r="R1254" s="8" t="s">
        <v>2155</v>
      </c>
      <c r="S1254" s="8" t="s">
        <v>2878</v>
      </c>
      <c r="T1254" s="8" t="s">
        <v>2879</v>
      </c>
      <c r="U1254" s="8" t="s">
        <v>2880</v>
      </c>
      <c r="V1254" s="8" t="s">
        <v>1000</v>
      </c>
      <c r="W1254" s="8">
        <f t="shared" si="38"/>
        <v>2</v>
      </c>
      <c r="X1254" s="8">
        <f>K1254*L1254*N1254</f>
        <v>336000</v>
      </c>
    </row>
    <row r="1255" spans="1:24" s="8" customFormat="1" ht="41.5" customHeight="1">
      <c r="A1255" s="8" t="s">
        <v>2876</v>
      </c>
      <c r="B1255" s="8" t="s">
        <v>2877</v>
      </c>
      <c r="C1255" s="9">
        <v>45762.759035786999</v>
      </c>
      <c r="D1255" s="8" t="s">
        <v>2056</v>
      </c>
      <c r="E1255" s="8" t="s">
        <v>2057</v>
      </c>
      <c r="F1255" s="8">
        <v>3</v>
      </c>
      <c r="G1255" s="22" t="s">
        <v>1543</v>
      </c>
      <c r="H1255" s="8" t="s">
        <v>1043</v>
      </c>
      <c r="I1255" s="2" t="str">
        <f t="shared" si="37"/>
        <v>BA1113TV-Bộ ngắt mạch an toàn HB 30A</v>
      </c>
      <c r="J1255" s="8" t="s">
        <v>1041</v>
      </c>
      <c r="K1255" s="10">
        <v>20</v>
      </c>
      <c r="L1255" s="10">
        <v>45000</v>
      </c>
      <c r="M1255" s="11">
        <v>900000</v>
      </c>
      <c r="N1255" s="8" t="s">
        <v>16</v>
      </c>
      <c r="O1255" s="8" t="s">
        <v>17</v>
      </c>
      <c r="P1255" s="8" t="s">
        <v>18</v>
      </c>
      <c r="Q1255" s="8" t="s">
        <v>18</v>
      </c>
      <c r="R1255" s="8" t="s">
        <v>2155</v>
      </c>
      <c r="S1255" s="8" t="s">
        <v>2878</v>
      </c>
      <c r="T1255" s="8" t="s">
        <v>2879</v>
      </c>
      <c r="U1255" s="8" t="s">
        <v>2880</v>
      </c>
      <c r="V1255" s="8" t="s">
        <v>1000</v>
      </c>
      <c r="W1255" s="8">
        <f t="shared" si="38"/>
        <v>2</v>
      </c>
      <c r="X1255" s="8">
        <f>K1255*L1255*N1255</f>
        <v>72000</v>
      </c>
    </row>
    <row r="1256" spans="1:24" s="8" customFormat="1" ht="41.5" customHeight="1">
      <c r="A1256" s="8" t="s">
        <v>2876</v>
      </c>
      <c r="B1256" s="8" t="s">
        <v>2877</v>
      </c>
      <c r="C1256" s="9">
        <v>45762.759035786999</v>
      </c>
      <c r="D1256" s="8" t="s">
        <v>2056</v>
      </c>
      <c r="E1256" s="8" t="s">
        <v>2057</v>
      </c>
      <c r="F1256" s="8">
        <v>4</v>
      </c>
      <c r="G1256" s="22" t="s">
        <v>1044</v>
      </c>
      <c r="H1256" s="8" t="s">
        <v>1044</v>
      </c>
      <c r="I1256" s="2" t="str">
        <f t="shared" si="37"/>
        <v>QD1800-quạt đứng D1800</v>
      </c>
      <c r="J1256" s="8" t="s">
        <v>1041</v>
      </c>
      <c r="K1256" s="10">
        <v>4</v>
      </c>
      <c r="L1256" s="10">
        <v>515000</v>
      </c>
      <c r="M1256" s="11">
        <v>2060000</v>
      </c>
      <c r="N1256" s="8" t="s">
        <v>16</v>
      </c>
      <c r="O1256" s="8" t="s">
        <v>17</v>
      </c>
      <c r="P1256" s="8" t="s">
        <v>18</v>
      </c>
      <c r="Q1256" s="8" t="s">
        <v>18</v>
      </c>
      <c r="R1256" s="8" t="s">
        <v>2155</v>
      </c>
      <c r="S1256" s="8" t="s">
        <v>2878</v>
      </c>
      <c r="T1256" s="8" t="s">
        <v>2879</v>
      </c>
      <c r="U1256" s="8" t="s">
        <v>2880</v>
      </c>
      <c r="V1256" s="8" t="s">
        <v>1000</v>
      </c>
      <c r="W1256" s="8">
        <f t="shared" si="38"/>
        <v>2</v>
      </c>
      <c r="X1256" s="8">
        <f>K1256*L1256*N1256</f>
        <v>164800</v>
      </c>
    </row>
    <row r="1257" spans="1:24" s="8" customFormat="1" ht="41.5" customHeight="1">
      <c r="A1257" s="8" t="s">
        <v>2876</v>
      </c>
      <c r="B1257" s="8" t="s">
        <v>2877</v>
      </c>
      <c r="C1257" s="9">
        <v>45762.759035786999</v>
      </c>
      <c r="D1257" s="8" t="s">
        <v>2056</v>
      </c>
      <c r="E1257" s="8" t="s">
        <v>2057</v>
      </c>
      <c r="F1257" s="8">
        <v>5</v>
      </c>
      <c r="G1257" s="22" t="s">
        <v>1489</v>
      </c>
      <c r="H1257" s="8" t="s">
        <v>1045</v>
      </c>
      <c r="I1257" s="2" t="str">
        <f t="shared" si="37"/>
        <v>QT109-quạt treo T109</v>
      </c>
      <c r="J1257" s="8" t="s">
        <v>1041</v>
      </c>
      <c r="K1257" s="10">
        <v>10</v>
      </c>
      <c r="L1257" s="10">
        <v>185000</v>
      </c>
      <c r="M1257" s="11">
        <v>1850000</v>
      </c>
      <c r="N1257" s="8" t="s">
        <v>16</v>
      </c>
      <c r="O1257" s="8" t="s">
        <v>17</v>
      </c>
      <c r="P1257" s="8" t="s">
        <v>18</v>
      </c>
      <c r="Q1257" s="8" t="s">
        <v>18</v>
      </c>
      <c r="R1257" s="8" t="s">
        <v>2155</v>
      </c>
      <c r="S1257" s="8" t="s">
        <v>2878</v>
      </c>
      <c r="T1257" s="8" t="s">
        <v>2879</v>
      </c>
      <c r="U1257" s="8" t="s">
        <v>2880</v>
      </c>
      <c r="V1257" s="8" t="s">
        <v>1000</v>
      </c>
      <c r="W1257" s="8">
        <f t="shared" si="38"/>
        <v>2</v>
      </c>
      <c r="X1257" s="8">
        <f>K1257*L1257*N1257</f>
        <v>148000</v>
      </c>
    </row>
    <row r="1258" spans="1:24" s="8" customFormat="1" ht="41.5" customHeight="1">
      <c r="A1258" s="8" t="s">
        <v>2876</v>
      </c>
      <c r="B1258" s="8" t="s">
        <v>2877</v>
      </c>
      <c r="C1258" s="9">
        <v>45762.759035786999</v>
      </c>
      <c r="D1258" s="8" t="s">
        <v>2056</v>
      </c>
      <c r="E1258" s="8" t="s">
        <v>2057</v>
      </c>
      <c r="F1258" s="8">
        <v>6</v>
      </c>
      <c r="G1258" s="22" t="s">
        <v>1371</v>
      </c>
      <c r="H1258" s="8" t="s">
        <v>1046</v>
      </c>
      <c r="I1258" s="2" t="str">
        <f t="shared" si="37"/>
        <v>OCTN325-Ổ cắm 4TN dây 3mx2.5A</v>
      </c>
      <c r="J1258" s="8" t="s">
        <v>1041</v>
      </c>
      <c r="K1258" s="10">
        <v>40</v>
      </c>
      <c r="L1258" s="10">
        <v>42000</v>
      </c>
      <c r="M1258" s="11">
        <v>1680000</v>
      </c>
      <c r="N1258" s="8" t="s">
        <v>16</v>
      </c>
      <c r="O1258" s="8" t="s">
        <v>17</v>
      </c>
      <c r="P1258" s="8" t="s">
        <v>18</v>
      </c>
      <c r="Q1258" s="8" t="s">
        <v>18</v>
      </c>
      <c r="R1258" s="8" t="s">
        <v>2155</v>
      </c>
      <c r="S1258" s="8" t="s">
        <v>2878</v>
      </c>
      <c r="T1258" s="8" t="s">
        <v>2879</v>
      </c>
      <c r="U1258" s="8" t="s">
        <v>2880</v>
      </c>
      <c r="V1258" s="8" t="s">
        <v>1000</v>
      </c>
      <c r="W1258" s="8">
        <f t="shared" si="38"/>
        <v>2</v>
      </c>
      <c r="X1258" s="8">
        <f>K1258*L1258*N1258</f>
        <v>134400</v>
      </c>
    </row>
    <row r="1259" spans="1:24" s="8" customFormat="1" ht="41.5" customHeight="1">
      <c r="A1259" s="8" t="s">
        <v>2492</v>
      </c>
      <c r="B1259" s="8" t="s">
        <v>2881</v>
      </c>
      <c r="C1259" s="9">
        <v>45771.599290277802</v>
      </c>
      <c r="D1259" s="8" t="s">
        <v>2056</v>
      </c>
      <c r="E1259" s="8" t="s">
        <v>2057</v>
      </c>
      <c r="F1259" s="8">
        <v>1</v>
      </c>
      <c r="G1259" s="2">
        <v>642</v>
      </c>
      <c r="H1259" s="8" t="s">
        <v>1047</v>
      </c>
      <c r="I1259" s="2">
        <f t="shared" si="37"/>
        <v>642</v>
      </c>
      <c r="J1259" s="8" t="s">
        <v>15</v>
      </c>
      <c r="K1259" s="10">
        <v>1</v>
      </c>
      <c r="L1259" s="10">
        <v>990909</v>
      </c>
      <c r="M1259" s="11">
        <v>990909</v>
      </c>
      <c r="N1259" s="8" t="s">
        <v>30</v>
      </c>
      <c r="O1259" s="8" t="s">
        <v>17</v>
      </c>
      <c r="P1259" s="8" t="s">
        <v>18</v>
      </c>
      <c r="Q1259" s="8" t="s">
        <v>18</v>
      </c>
      <c r="R1259" s="8" t="s">
        <v>2882</v>
      </c>
      <c r="S1259" s="8" t="s">
        <v>2495</v>
      </c>
      <c r="T1259" s="8" t="s">
        <v>2496</v>
      </c>
      <c r="U1259" s="8" t="s">
        <v>2883</v>
      </c>
      <c r="V1259" s="8" t="s">
        <v>1048</v>
      </c>
      <c r="W1259" s="8">
        <f t="shared" si="38"/>
        <v>2</v>
      </c>
      <c r="X1259" s="8">
        <f>K1259*L1259*N1259</f>
        <v>99090.900000000009</v>
      </c>
    </row>
    <row r="1260" spans="1:24" s="8" customFormat="1" ht="41.5" customHeight="1">
      <c r="A1260" s="8" t="s">
        <v>2492</v>
      </c>
      <c r="B1260" s="8" t="s">
        <v>2881</v>
      </c>
      <c r="C1260" s="9">
        <v>45771.599290277802</v>
      </c>
      <c r="D1260" s="8" t="s">
        <v>2056</v>
      </c>
      <c r="E1260" s="8" t="s">
        <v>2057</v>
      </c>
      <c r="F1260" s="8">
        <v>2</v>
      </c>
      <c r="G1260" s="2">
        <v>642</v>
      </c>
      <c r="H1260" s="8" t="s">
        <v>1049</v>
      </c>
      <c r="I1260" s="2">
        <f t="shared" si="37"/>
        <v>642</v>
      </c>
      <c r="J1260" s="8" t="s">
        <v>601</v>
      </c>
      <c r="K1260" s="10">
        <v>1</v>
      </c>
      <c r="L1260" s="10">
        <v>0</v>
      </c>
      <c r="M1260" s="11">
        <v>0</v>
      </c>
      <c r="N1260" s="8" t="s">
        <v>602</v>
      </c>
      <c r="O1260" s="8" t="s">
        <v>17</v>
      </c>
      <c r="P1260" s="8" t="s">
        <v>18</v>
      </c>
      <c r="Q1260" s="8" t="s">
        <v>18</v>
      </c>
      <c r="R1260" s="8" t="s">
        <v>2882</v>
      </c>
      <c r="S1260" s="8" t="s">
        <v>2495</v>
      </c>
      <c r="T1260" s="8" t="s">
        <v>2496</v>
      </c>
      <c r="U1260" s="8" t="s">
        <v>2883</v>
      </c>
      <c r="V1260" s="8" t="s">
        <v>1048</v>
      </c>
      <c r="W1260" s="8">
        <f t="shared" si="38"/>
        <v>2</v>
      </c>
      <c r="X1260" s="8">
        <v>0</v>
      </c>
    </row>
    <row r="1261" spans="1:24" s="8" customFormat="1" ht="41.5" customHeight="1">
      <c r="A1261" s="8" t="s">
        <v>2492</v>
      </c>
      <c r="B1261" s="8" t="s">
        <v>2881</v>
      </c>
      <c r="C1261" s="9">
        <v>45771.599290277802</v>
      </c>
      <c r="D1261" s="8" t="s">
        <v>2056</v>
      </c>
      <c r="E1261" s="8" t="s">
        <v>2057</v>
      </c>
      <c r="F1261" s="8">
        <v>3</v>
      </c>
      <c r="G1261" s="2">
        <v>642</v>
      </c>
      <c r="H1261" s="8" t="s">
        <v>1050</v>
      </c>
      <c r="I1261" s="2">
        <f t="shared" si="37"/>
        <v>642</v>
      </c>
      <c r="J1261" s="8" t="s">
        <v>601</v>
      </c>
      <c r="K1261" s="10">
        <v>1</v>
      </c>
      <c r="L1261" s="10">
        <v>0</v>
      </c>
      <c r="M1261" s="11">
        <v>0</v>
      </c>
      <c r="N1261" s="8" t="s">
        <v>602</v>
      </c>
      <c r="O1261" s="8" t="s">
        <v>17</v>
      </c>
      <c r="P1261" s="8" t="s">
        <v>18</v>
      </c>
      <c r="Q1261" s="8" t="s">
        <v>18</v>
      </c>
      <c r="R1261" s="8" t="s">
        <v>2882</v>
      </c>
      <c r="S1261" s="8" t="s">
        <v>2495</v>
      </c>
      <c r="T1261" s="8" t="s">
        <v>2496</v>
      </c>
      <c r="U1261" s="8" t="s">
        <v>2883</v>
      </c>
      <c r="V1261" s="8" t="s">
        <v>1048</v>
      </c>
      <c r="W1261" s="8">
        <f t="shared" si="38"/>
        <v>2</v>
      </c>
      <c r="X1261" s="8">
        <v>0</v>
      </c>
    </row>
    <row r="1262" spans="1:24" s="8" customFormat="1" ht="41.5" customHeight="1">
      <c r="A1262" s="8" t="s">
        <v>2427</v>
      </c>
      <c r="B1262" s="8" t="s">
        <v>2884</v>
      </c>
      <c r="C1262" s="9">
        <v>45762.369788622702</v>
      </c>
      <c r="D1262" s="8" t="s">
        <v>2056</v>
      </c>
      <c r="E1262" s="8" t="s">
        <v>2057</v>
      </c>
      <c r="F1262" s="8">
        <v>1</v>
      </c>
      <c r="G1262" s="22" t="s">
        <v>300</v>
      </c>
      <c r="H1262" s="8" t="s">
        <v>300</v>
      </c>
      <c r="I1262" s="2" t="str">
        <f t="shared" si="37"/>
        <v>Côn sắt D16</v>
      </c>
      <c r="J1262" s="8" t="s">
        <v>15</v>
      </c>
      <c r="K1262" s="10">
        <v>3023</v>
      </c>
      <c r="L1262" s="10">
        <v>17300.689999999999</v>
      </c>
      <c r="M1262" s="11">
        <v>52300000</v>
      </c>
      <c r="N1262" s="8" t="s">
        <v>30</v>
      </c>
      <c r="O1262" s="8" t="s">
        <v>17</v>
      </c>
      <c r="P1262" s="8" t="s">
        <v>18</v>
      </c>
      <c r="Q1262" s="8" t="s">
        <v>18</v>
      </c>
      <c r="R1262" s="8" t="s">
        <v>2115</v>
      </c>
      <c r="S1262" s="8" t="s">
        <v>2248</v>
      </c>
      <c r="T1262" s="8" t="s">
        <v>2249</v>
      </c>
      <c r="U1262" s="8" t="s">
        <v>2738</v>
      </c>
      <c r="V1262" s="8" t="s">
        <v>1000</v>
      </c>
      <c r="W1262" s="8">
        <f t="shared" si="38"/>
        <v>2</v>
      </c>
      <c r="X1262" s="8">
        <f>K1262*L1262*N1262</f>
        <v>5229998.5870000003</v>
      </c>
    </row>
    <row r="1263" spans="1:24" s="8" customFormat="1" ht="41.5" customHeight="1">
      <c r="A1263" s="8" t="s">
        <v>2519</v>
      </c>
      <c r="B1263" s="8" t="s">
        <v>2885</v>
      </c>
      <c r="C1263" s="9">
        <v>45769.444830532397</v>
      </c>
      <c r="D1263" s="8" t="s">
        <v>2056</v>
      </c>
      <c r="E1263" s="8" t="s">
        <v>2057</v>
      </c>
      <c r="F1263" s="8">
        <v>1</v>
      </c>
      <c r="G1263" s="22" t="s">
        <v>2851</v>
      </c>
      <c r="H1263" s="8" t="s">
        <v>1019</v>
      </c>
      <c r="I1263" s="2" t="str">
        <f t="shared" si="37"/>
        <v>Áp to mát ABN103c 100A 22kA</v>
      </c>
      <c r="J1263" s="8" t="s">
        <v>15</v>
      </c>
      <c r="K1263" s="10">
        <v>5</v>
      </c>
      <c r="L1263" s="10">
        <v>655200</v>
      </c>
      <c r="M1263" s="11">
        <v>3276000</v>
      </c>
      <c r="N1263" s="8" t="s">
        <v>16</v>
      </c>
      <c r="O1263" s="8" t="s">
        <v>17</v>
      </c>
      <c r="P1263" s="8" t="s">
        <v>18</v>
      </c>
      <c r="Q1263" s="8" t="s">
        <v>18</v>
      </c>
      <c r="R1263" s="8" t="s">
        <v>2115</v>
      </c>
      <c r="S1263" s="8" t="s">
        <v>2521</v>
      </c>
      <c r="T1263" s="8" t="s">
        <v>2522</v>
      </c>
      <c r="U1263" s="8" t="s">
        <v>2747</v>
      </c>
      <c r="V1263" s="8" t="s">
        <v>1051</v>
      </c>
      <c r="W1263" s="8">
        <f t="shared" si="38"/>
        <v>2</v>
      </c>
      <c r="X1263" s="8">
        <f>K1263*L1263*N1263</f>
        <v>262080</v>
      </c>
    </row>
    <row r="1264" spans="1:24" s="8" customFormat="1" ht="41.5" customHeight="1">
      <c r="A1264" s="8" t="s">
        <v>2519</v>
      </c>
      <c r="B1264" s="8" t="s">
        <v>2886</v>
      </c>
      <c r="C1264" s="9">
        <v>45768.436981238403</v>
      </c>
      <c r="D1264" s="8" t="s">
        <v>2056</v>
      </c>
      <c r="E1264" s="8" t="s">
        <v>2057</v>
      </c>
      <c r="F1264" s="8">
        <v>1</v>
      </c>
      <c r="G1264" s="22" t="s">
        <v>2851</v>
      </c>
      <c r="H1264" s="8" t="s">
        <v>1019</v>
      </c>
      <c r="I1264" s="2" t="str">
        <f t="shared" si="37"/>
        <v>Áp to mát ABN103c 100A 22kA</v>
      </c>
      <c r="J1264" s="8" t="s">
        <v>15</v>
      </c>
      <c r="K1264" s="10">
        <v>6</v>
      </c>
      <c r="L1264" s="10">
        <v>655200</v>
      </c>
      <c r="M1264" s="11">
        <v>3931200</v>
      </c>
      <c r="N1264" s="8" t="s">
        <v>16</v>
      </c>
      <c r="O1264" s="8" t="s">
        <v>17</v>
      </c>
      <c r="P1264" s="8" t="s">
        <v>18</v>
      </c>
      <c r="Q1264" s="8" t="s">
        <v>18</v>
      </c>
      <c r="R1264" s="8" t="s">
        <v>2115</v>
      </c>
      <c r="S1264" s="8" t="s">
        <v>2521</v>
      </c>
      <c r="T1264" s="8" t="s">
        <v>2522</v>
      </c>
      <c r="U1264" s="8" t="s">
        <v>2747</v>
      </c>
      <c r="V1264" s="8" t="s">
        <v>39</v>
      </c>
      <c r="W1264" s="8">
        <f t="shared" si="38"/>
        <v>2</v>
      </c>
      <c r="X1264" s="8">
        <f>K1264*L1264*N1264</f>
        <v>314496</v>
      </c>
    </row>
    <row r="1265" spans="1:24" s="8" customFormat="1" ht="41.5" customHeight="1">
      <c r="A1265" s="8" t="s">
        <v>2519</v>
      </c>
      <c r="B1265" s="8" t="s">
        <v>2887</v>
      </c>
      <c r="C1265" s="9">
        <v>45759.438712685202</v>
      </c>
      <c r="D1265" s="8" t="s">
        <v>2056</v>
      </c>
      <c r="E1265" s="8" t="s">
        <v>2057</v>
      </c>
      <c r="F1265" s="8">
        <v>1</v>
      </c>
      <c r="G1265" s="22" t="s">
        <v>2888</v>
      </c>
      <c r="H1265" s="8" t="s">
        <v>1052</v>
      </c>
      <c r="I1265" s="2" t="str">
        <f t="shared" si="37"/>
        <v>Áp to mát ABN203c150A 30kA</v>
      </c>
      <c r="J1265" s="8" t="s">
        <v>15</v>
      </c>
      <c r="K1265" s="10">
        <v>2</v>
      </c>
      <c r="L1265" s="10">
        <v>1248000</v>
      </c>
      <c r="M1265" s="11">
        <v>2496000</v>
      </c>
      <c r="N1265" s="8" t="s">
        <v>16</v>
      </c>
      <c r="O1265" s="8" t="s">
        <v>17</v>
      </c>
      <c r="P1265" s="8" t="s">
        <v>18</v>
      </c>
      <c r="Q1265" s="8" t="s">
        <v>18</v>
      </c>
      <c r="R1265" s="8" t="s">
        <v>2115</v>
      </c>
      <c r="S1265" s="8" t="s">
        <v>2521</v>
      </c>
      <c r="T1265" s="8" t="s">
        <v>2522</v>
      </c>
      <c r="U1265" s="8" t="s">
        <v>2747</v>
      </c>
      <c r="V1265" s="8" t="s">
        <v>1053</v>
      </c>
      <c r="W1265" s="8">
        <f t="shared" si="38"/>
        <v>2</v>
      </c>
      <c r="X1265" s="8">
        <f>K1265*L1265*N1265</f>
        <v>199680</v>
      </c>
    </row>
    <row r="1266" spans="1:24" s="8" customFormat="1" ht="41.5" customHeight="1">
      <c r="A1266" s="8" t="s">
        <v>2336</v>
      </c>
      <c r="B1266" s="8" t="s">
        <v>2889</v>
      </c>
      <c r="C1266" s="9">
        <v>45795.969364872697</v>
      </c>
      <c r="D1266" s="8" t="s">
        <v>2062</v>
      </c>
      <c r="E1266" s="8" t="s">
        <v>2057</v>
      </c>
      <c r="F1266" s="8">
        <v>1</v>
      </c>
      <c r="G1266" s="2">
        <v>635</v>
      </c>
      <c r="H1266" s="8" t="s">
        <v>1054</v>
      </c>
      <c r="I1266" s="2">
        <f t="shared" si="37"/>
        <v>635</v>
      </c>
      <c r="M1266" s="11">
        <v>10000</v>
      </c>
      <c r="N1266" s="8" t="s">
        <v>30</v>
      </c>
      <c r="O1266" s="8" t="s">
        <v>17</v>
      </c>
      <c r="P1266" s="8" t="s">
        <v>18</v>
      </c>
      <c r="Q1266" s="8" t="s">
        <v>18</v>
      </c>
      <c r="S1266" s="8" t="s">
        <v>2216</v>
      </c>
      <c r="T1266" s="8" t="s">
        <v>2217</v>
      </c>
      <c r="V1266" s="8" t="s">
        <v>1055</v>
      </c>
      <c r="W1266" s="8">
        <f t="shared" si="38"/>
        <v>2</v>
      </c>
      <c r="X1266" s="8">
        <f>K1266*L1266*N1266</f>
        <v>0</v>
      </c>
    </row>
    <row r="1267" spans="1:24" s="8" customFormat="1" ht="41.5" customHeight="1">
      <c r="A1267" s="8" t="s">
        <v>2336</v>
      </c>
      <c r="B1267" s="8" t="s">
        <v>2890</v>
      </c>
      <c r="C1267" s="9">
        <v>45795.969107268502</v>
      </c>
      <c r="D1267" s="8" t="s">
        <v>2062</v>
      </c>
      <c r="E1267" s="8" t="s">
        <v>2057</v>
      </c>
      <c r="F1267" s="8">
        <v>1</v>
      </c>
      <c r="G1267" s="2">
        <v>635</v>
      </c>
      <c r="H1267" s="8" t="s">
        <v>116</v>
      </c>
      <c r="I1267" s="2">
        <f t="shared" si="37"/>
        <v>635</v>
      </c>
      <c r="M1267" s="11">
        <v>20000</v>
      </c>
      <c r="N1267" s="8" t="s">
        <v>30</v>
      </c>
      <c r="O1267" s="8" t="s">
        <v>17</v>
      </c>
      <c r="P1267" s="8" t="s">
        <v>18</v>
      </c>
      <c r="Q1267" s="8" t="s">
        <v>18</v>
      </c>
      <c r="S1267" s="8" t="s">
        <v>2216</v>
      </c>
      <c r="T1267" s="8" t="s">
        <v>2217</v>
      </c>
      <c r="V1267" s="8" t="s">
        <v>1055</v>
      </c>
      <c r="W1267" s="8">
        <f t="shared" si="38"/>
        <v>2</v>
      </c>
      <c r="X1267" s="8">
        <f>K1267*L1267*N1267</f>
        <v>0</v>
      </c>
    </row>
    <row r="1268" spans="1:24" s="8" customFormat="1" ht="41.5" customHeight="1">
      <c r="A1268" s="8" t="s">
        <v>2336</v>
      </c>
      <c r="B1268" s="8" t="s">
        <v>2891</v>
      </c>
      <c r="C1268" s="9">
        <v>45795.968647847199</v>
      </c>
      <c r="D1268" s="8" t="s">
        <v>2062</v>
      </c>
      <c r="E1268" s="8" t="s">
        <v>2057</v>
      </c>
      <c r="F1268" s="8">
        <v>1</v>
      </c>
      <c r="G1268" s="2">
        <v>635</v>
      </c>
      <c r="H1268" s="8" t="s">
        <v>723</v>
      </c>
      <c r="I1268" s="2">
        <f t="shared" si="37"/>
        <v>635</v>
      </c>
      <c r="M1268" s="11">
        <v>72000</v>
      </c>
      <c r="N1268" s="8" t="s">
        <v>30</v>
      </c>
      <c r="O1268" s="8" t="s">
        <v>17</v>
      </c>
      <c r="P1268" s="8" t="s">
        <v>18</v>
      </c>
      <c r="Q1268" s="8" t="s">
        <v>18</v>
      </c>
      <c r="S1268" s="8" t="s">
        <v>2216</v>
      </c>
      <c r="T1268" s="8" t="s">
        <v>2217</v>
      </c>
      <c r="V1268" s="8" t="s">
        <v>1055</v>
      </c>
      <c r="W1268" s="8">
        <f t="shared" si="38"/>
        <v>2</v>
      </c>
      <c r="X1268" s="8">
        <f>K1268*L1268*N1268</f>
        <v>0</v>
      </c>
    </row>
    <row r="1269" spans="1:24" s="8" customFormat="1" ht="41.5" customHeight="1">
      <c r="A1269" s="8" t="s">
        <v>2336</v>
      </c>
      <c r="B1269" s="8" t="s">
        <v>2892</v>
      </c>
      <c r="C1269" s="9">
        <v>45795.968647847199</v>
      </c>
      <c r="D1269" s="8" t="s">
        <v>2062</v>
      </c>
      <c r="E1269" s="8" t="s">
        <v>2057</v>
      </c>
      <c r="F1269" s="8">
        <v>1</v>
      </c>
      <c r="G1269" s="2">
        <v>635</v>
      </c>
      <c r="H1269" s="8" t="s">
        <v>143</v>
      </c>
      <c r="I1269" s="2">
        <f t="shared" si="37"/>
        <v>635</v>
      </c>
      <c r="M1269" s="11">
        <v>129000</v>
      </c>
      <c r="N1269" s="8" t="s">
        <v>30</v>
      </c>
      <c r="O1269" s="8" t="s">
        <v>17</v>
      </c>
      <c r="P1269" s="8" t="s">
        <v>18</v>
      </c>
      <c r="Q1269" s="8" t="s">
        <v>18</v>
      </c>
      <c r="S1269" s="8" t="s">
        <v>2216</v>
      </c>
      <c r="T1269" s="8" t="s">
        <v>2217</v>
      </c>
      <c r="V1269" s="8" t="s">
        <v>1055</v>
      </c>
      <c r="W1269" s="8">
        <f t="shared" si="38"/>
        <v>2</v>
      </c>
      <c r="X1269" s="8">
        <f>K1269*L1269*N1269</f>
        <v>0</v>
      </c>
    </row>
    <row r="1270" spans="1:24" s="8" customFormat="1" ht="41.5" customHeight="1">
      <c r="A1270" s="8" t="s">
        <v>2339</v>
      </c>
      <c r="B1270" s="8" t="s">
        <v>2893</v>
      </c>
      <c r="C1270" s="9">
        <v>45793.297349016197</v>
      </c>
      <c r="D1270" s="8" t="s">
        <v>2218</v>
      </c>
      <c r="E1270" s="8" t="s">
        <v>2057</v>
      </c>
      <c r="F1270" s="8">
        <v>1</v>
      </c>
      <c r="G1270" s="2">
        <v>635</v>
      </c>
      <c r="H1270" s="8" t="s">
        <v>118</v>
      </c>
      <c r="I1270" s="2">
        <f t="shared" si="37"/>
        <v>635</v>
      </c>
      <c r="M1270" s="11">
        <v>50000</v>
      </c>
      <c r="N1270" s="8" t="s">
        <v>30</v>
      </c>
      <c r="O1270" s="8" t="s">
        <v>17</v>
      </c>
      <c r="P1270" s="8" t="s">
        <v>18</v>
      </c>
      <c r="Q1270" s="8" t="s">
        <v>18</v>
      </c>
      <c r="S1270" s="8" t="s">
        <v>2340</v>
      </c>
      <c r="T1270" s="8" t="s">
        <v>2341</v>
      </c>
      <c r="V1270" s="8" t="s">
        <v>1056</v>
      </c>
      <c r="W1270" s="8">
        <f t="shared" si="38"/>
        <v>2</v>
      </c>
      <c r="X1270" s="8">
        <f>K1270*L1270*N1270</f>
        <v>0</v>
      </c>
    </row>
    <row r="1271" spans="1:24" s="8" customFormat="1" ht="41.5" customHeight="1">
      <c r="A1271" s="8" t="s">
        <v>2339</v>
      </c>
      <c r="B1271" s="8" t="s">
        <v>2894</v>
      </c>
      <c r="C1271" s="9">
        <v>45793.1803582176</v>
      </c>
      <c r="D1271" s="8" t="s">
        <v>2218</v>
      </c>
      <c r="E1271" s="8" t="s">
        <v>2057</v>
      </c>
      <c r="F1271" s="8">
        <v>1</v>
      </c>
      <c r="G1271" s="2">
        <v>635</v>
      </c>
      <c r="H1271" s="8" t="s">
        <v>118</v>
      </c>
      <c r="I1271" s="2">
        <f t="shared" si="37"/>
        <v>635</v>
      </c>
      <c r="M1271" s="11">
        <v>20000</v>
      </c>
      <c r="N1271" s="8" t="s">
        <v>30</v>
      </c>
      <c r="O1271" s="8" t="s">
        <v>17</v>
      </c>
      <c r="P1271" s="8" t="s">
        <v>18</v>
      </c>
      <c r="Q1271" s="8" t="s">
        <v>18</v>
      </c>
      <c r="S1271" s="8" t="s">
        <v>2219</v>
      </c>
      <c r="T1271" s="8" t="s">
        <v>2220</v>
      </c>
      <c r="V1271" s="8" t="s">
        <v>1056</v>
      </c>
      <c r="W1271" s="8">
        <f t="shared" si="38"/>
        <v>2</v>
      </c>
      <c r="X1271" s="8">
        <f>K1271*L1271*N1271</f>
        <v>0</v>
      </c>
    </row>
    <row r="1272" spans="1:24" s="8" customFormat="1" ht="41.5" customHeight="1">
      <c r="A1272" s="8" t="s">
        <v>2339</v>
      </c>
      <c r="B1272" s="8" t="s">
        <v>2895</v>
      </c>
      <c r="C1272" s="9">
        <v>45793.179061932897</v>
      </c>
      <c r="D1272" s="8" t="s">
        <v>2218</v>
      </c>
      <c r="E1272" s="8" t="s">
        <v>2057</v>
      </c>
      <c r="F1272" s="8">
        <v>1</v>
      </c>
      <c r="G1272" s="2">
        <v>635</v>
      </c>
      <c r="H1272" s="8" t="s">
        <v>118</v>
      </c>
      <c r="I1272" s="2">
        <f t="shared" si="37"/>
        <v>635</v>
      </c>
      <c r="M1272" s="11">
        <v>20992</v>
      </c>
      <c r="N1272" s="8" t="s">
        <v>30</v>
      </c>
      <c r="O1272" s="8" t="s">
        <v>17</v>
      </c>
      <c r="P1272" s="8" t="s">
        <v>18</v>
      </c>
      <c r="Q1272" s="8" t="s">
        <v>18</v>
      </c>
      <c r="S1272" s="8" t="s">
        <v>2219</v>
      </c>
      <c r="T1272" s="8" t="s">
        <v>2220</v>
      </c>
      <c r="V1272" s="8" t="s">
        <v>1056</v>
      </c>
      <c r="W1272" s="8">
        <f t="shared" si="38"/>
        <v>2</v>
      </c>
      <c r="X1272" s="8">
        <f>K1272*L1272*N1272</f>
        <v>0</v>
      </c>
    </row>
    <row r="1273" spans="1:24" s="8" customFormat="1" ht="41.5" customHeight="1">
      <c r="A1273" s="8" t="s">
        <v>2339</v>
      </c>
      <c r="B1273" s="8" t="s">
        <v>2896</v>
      </c>
      <c r="C1273" s="9">
        <v>45793.179061909701</v>
      </c>
      <c r="D1273" s="8" t="s">
        <v>2218</v>
      </c>
      <c r="E1273" s="8" t="s">
        <v>2057</v>
      </c>
      <c r="F1273" s="8">
        <v>1</v>
      </c>
      <c r="G1273" s="2">
        <v>635</v>
      </c>
      <c r="H1273" s="8" t="s">
        <v>118</v>
      </c>
      <c r="I1273" s="2">
        <f t="shared" si="37"/>
        <v>635</v>
      </c>
      <c r="M1273" s="11">
        <v>20000</v>
      </c>
      <c r="N1273" s="8" t="s">
        <v>30</v>
      </c>
      <c r="O1273" s="8" t="s">
        <v>17</v>
      </c>
      <c r="P1273" s="8" t="s">
        <v>18</v>
      </c>
      <c r="Q1273" s="8" t="s">
        <v>18</v>
      </c>
      <c r="S1273" s="8" t="s">
        <v>2219</v>
      </c>
      <c r="T1273" s="8" t="s">
        <v>2220</v>
      </c>
      <c r="V1273" s="8" t="s">
        <v>1056</v>
      </c>
      <c r="W1273" s="8">
        <f t="shared" si="38"/>
        <v>2</v>
      </c>
      <c r="X1273" s="8">
        <f>K1273*L1273*N1273</f>
        <v>0</v>
      </c>
    </row>
    <row r="1274" spans="1:24" s="8" customFormat="1" ht="41.5" customHeight="1">
      <c r="A1274" s="8" t="s">
        <v>2339</v>
      </c>
      <c r="B1274" s="8" t="s">
        <v>2897</v>
      </c>
      <c r="C1274" s="9">
        <v>45793.172860497703</v>
      </c>
      <c r="D1274" s="8" t="s">
        <v>2218</v>
      </c>
      <c r="E1274" s="8" t="s">
        <v>2057</v>
      </c>
      <c r="F1274" s="8">
        <v>1</v>
      </c>
      <c r="G1274" s="2">
        <v>635</v>
      </c>
      <c r="H1274" s="8" t="s">
        <v>118</v>
      </c>
      <c r="I1274" s="2">
        <f t="shared" si="37"/>
        <v>635</v>
      </c>
      <c r="M1274" s="11">
        <v>20000</v>
      </c>
      <c r="N1274" s="8" t="s">
        <v>30</v>
      </c>
      <c r="O1274" s="8" t="s">
        <v>17</v>
      </c>
      <c r="P1274" s="8" t="s">
        <v>18</v>
      </c>
      <c r="Q1274" s="8" t="s">
        <v>18</v>
      </c>
      <c r="S1274" s="8" t="s">
        <v>2219</v>
      </c>
      <c r="T1274" s="8" t="s">
        <v>2220</v>
      </c>
      <c r="V1274" s="8" t="s">
        <v>1056</v>
      </c>
      <c r="W1274" s="8">
        <f t="shared" si="38"/>
        <v>2</v>
      </c>
      <c r="X1274" s="8">
        <f>K1274*L1274*N1274</f>
        <v>0</v>
      </c>
    </row>
    <row r="1275" spans="1:24" s="8" customFormat="1" ht="41.5" customHeight="1">
      <c r="A1275" s="8" t="s">
        <v>2339</v>
      </c>
      <c r="B1275" s="8" t="s">
        <v>2898</v>
      </c>
      <c r="C1275" s="9">
        <v>45793.172860428203</v>
      </c>
      <c r="D1275" s="8" t="s">
        <v>2218</v>
      </c>
      <c r="E1275" s="8" t="s">
        <v>2057</v>
      </c>
      <c r="F1275" s="8">
        <v>1</v>
      </c>
      <c r="G1275" s="2">
        <v>635</v>
      </c>
      <c r="H1275" s="8" t="s">
        <v>118</v>
      </c>
      <c r="I1275" s="2">
        <f t="shared" si="37"/>
        <v>635</v>
      </c>
      <c r="M1275" s="11">
        <v>20000</v>
      </c>
      <c r="N1275" s="8" t="s">
        <v>30</v>
      </c>
      <c r="O1275" s="8" t="s">
        <v>17</v>
      </c>
      <c r="P1275" s="8" t="s">
        <v>18</v>
      </c>
      <c r="Q1275" s="8" t="s">
        <v>18</v>
      </c>
      <c r="S1275" s="8" t="s">
        <v>2219</v>
      </c>
      <c r="T1275" s="8" t="s">
        <v>2220</v>
      </c>
      <c r="V1275" s="8" t="s">
        <v>1056</v>
      </c>
      <c r="W1275" s="8">
        <f t="shared" si="38"/>
        <v>2</v>
      </c>
      <c r="X1275" s="8">
        <f>K1275*L1275*N1275</f>
        <v>0</v>
      </c>
    </row>
    <row r="1276" spans="1:24" s="8" customFormat="1" ht="41.5" customHeight="1">
      <c r="A1276" s="8" t="s">
        <v>2339</v>
      </c>
      <c r="B1276" s="8" t="s">
        <v>2899</v>
      </c>
      <c r="C1276" s="9">
        <v>45793.170300763901</v>
      </c>
      <c r="D1276" s="8" t="s">
        <v>2218</v>
      </c>
      <c r="E1276" s="8" t="s">
        <v>2057</v>
      </c>
      <c r="F1276" s="8">
        <v>1</v>
      </c>
      <c r="G1276" s="2">
        <v>635</v>
      </c>
      <c r="H1276" s="8" t="s">
        <v>118</v>
      </c>
      <c r="I1276" s="2">
        <f t="shared" si="37"/>
        <v>635</v>
      </c>
      <c r="M1276" s="11">
        <v>40810</v>
      </c>
      <c r="N1276" s="8" t="s">
        <v>30</v>
      </c>
      <c r="O1276" s="8" t="s">
        <v>17</v>
      </c>
      <c r="P1276" s="8" t="s">
        <v>18</v>
      </c>
      <c r="Q1276" s="8" t="s">
        <v>18</v>
      </c>
      <c r="S1276" s="8" t="s">
        <v>2219</v>
      </c>
      <c r="T1276" s="8" t="s">
        <v>2220</v>
      </c>
      <c r="V1276" s="8" t="s">
        <v>1056</v>
      </c>
      <c r="W1276" s="8">
        <f t="shared" si="38"/>
        <v>2</v>
      </c>
      <c r="X1276" s="8">
        <f>K1276*L1276*N1276</f>
        <v>0</v>
      </c>
    </row>
    <row r="1277" spans="1:24" s="8" customFormat="1" ht="41.5" customHeight="1">
      <c r="A1277" s="8" t="s">
        <v>2339</v>
      </c>
      <c r="B1277" s="8" t="s">
        <v>2900</v>
      </c>
      <c r="C1277" s="9">
        <v>45793.170178101798</v>
      </c>
      <c r="D1277" s="8" t="s">
        <v>2218</v>
      </c>
      <c r="E1277" s="8" t="s">
        <v>2057</v>
      </c>
      <c r="F1277" s="8">
        <v>1</v>
      </c>
      <c r="G1277" s="2">
        <v>635</v>
      </c>
      <c r="H1277" s="8" t="s">
        <v>118</v>
      </c>
      <c r="I1277" s="2">
        <f t="shared" ref="I1277:I1340" si="39">G1277</f>
        <v>635</v>
      </c>
      <c r="M1277" s="11">
        <v>30000</v>
      </c>
      <c r="N1277" s="8" t="s">
        <v>30</v>
      </c>
      <c r="O1277" s="8" t="s">
        <v>17</v>
      </c>
      <c r="P1277" s="8" t="s">
        <v>18</v>
      </c>
      <c r="Q1277" s="8" t="s">
        <v>18</v>
      </c>
      <c r="S1277" s="8" t="s">
        <v>2219</v>
      </c>
      <c r="T1277" s="8" t="s">
        <v>2220</v>
      </c>
      <c r="V1277" s="8" t="s">
        <v>1056</v>
      </c>
      <c r="W1277" s="8">
        <f t="shared" si="38"/>
        <v>2</v>
      </c>
      <c r="X1277" s="8">
        <f>K1277*L1277*N1277</f>
        <v>0</v>
      </c>
    </row>
    <row r="1278" spans="1:24" s="8" customFormat="1" ht="41.5" customHeight="1">
      <c r="A1278" s="8" t="s">
        <v>2339</v>
      </c>
      <c r="B1278" s="8" t="s">
        <v>2901</v>
      </c>
      <c r="C1278" s="9">
        <v>45793.168240624997</v>
      </c>
      <c r="D1278" s="8" t="s">
        <v>2218</v>
      </c>
      <c r="E1278" s="8" t="s">
        <v>2057</v>
      </c>
      <c r="F1278" s="8">
        <v>1</v>
      </c>
      <c r="G1278" s="2">
        <v>635</v>
      </c>
      <c r="H1278" s="8" t="s">
        <v>118</v>
      </c>
      <c r="I1278" s="2">
        <f t="shared" si="39"/>
        <v>635</v>
      </c>
      <c r="M1278" s="11">
        <v>20000</v>
      </c>
      <c r="N1278" s="8" t="s">
        <v>30</v>
      </c>
      <c r="O1278" s="8" t="s">
        <v>17</v>
      </c>
      <c r="P1278" s="8" t="s">
        <v>18</v>
      </c>
      <c r="Q1278" s="8" t="s">
        <v>18</v>
      </c>
      <c r="S1278" s="8" t="s">
        <v>2219</v>
      </c>
      <c r="T1278" s="8" t="s">
        <v>2220</v>
      </c>
      <c r="V1278" s="8" t="s">
        <v>1056</v>
      </c>
      <c r="W1278" s="8">
        <f t="shared" si="38"/>
        <v>2</v>
      </c>
      <c r="X1278" s="8">
        <f>K1278*L1278*N1278</f>
        <v>0</v>
      </c>
    </row>
    <row r="1279" spans="1:24" s="8" customFormat="1" ht="41.5" customHeight="1">
      <c r="A1279" s="8" t="s">
        <v>2339</v>
      </c>
      <c r="B1279" s="8" t="s">
        <v>2902</v>
      </c>
      <c r="C1279" s="9">
        <v>45793.1664948611</v>
      </c>
      <c r="D1279" s="8" t="s">
        <v>2218</v>
      </c>
      <c r="E1279" s="8" t="s">
        <v>2057</v>
      </c>
      <c r="F1279" s="8">
        <v>1</v>
      </c>
      <c r="G1279" s="2">
        <v>635</v>
      </c>
      <c r="H1279" s="8" t="s">
        <v>118</v>
      </c>
      <c r="I1279" s="2">
        <f t="shared" si="39"/>
        <v>635</v>
      </c>
      <c r="M1279" s="11">
        <v>84000</v>
      </c>
      <c r="N1279" s="8" t="s">
        <v>30</v>
      </c>
      <c r="O1279" s="8" t="s">
        <v>17</v>
      </c>
      <c r="P1279" s="8" t="s">
        <v>18</v>
      </c>
      <c r="Q1279" s="8" t="s">
        <v>18</v>
      </c>
      <c r="S1279" s="8" t="s">
        <v>2219</v>
      </c>
      <c r="T1279" s="8" t="s">
        <v>2220</v>
      </c>
      <c r="V1279" s="8" t="s">
        <v>1056</v>
      </c>
      <c r="W1279" s="8">
        <f t="shared" si="38"/>
        <v>2</v>
      </c>
      <c r="X1279" s="8">
        <f>K1279*L1279*N1279</f>
        <v>0</v>
      </c>
    </row>
    <row r="1280" spans="1:24" s="8" customFormat="1" ht="41.5" customHeight="1">
      <c r="A1280" s="8" t="s">
        <v>2339</v>
      </c>
      <c r="B1280" s="8" t="s">
        <v>2903</v>
      </c>
      <c r="C1280" s="9">
        <v>45793.165486921302</v>
      </c>
      <c r="D1280" s="8" t="s">
        <v>2218</v>
      </c>
      <c r="E1280" s="8" t="s">
        <v>2057</v>
      </c>
      <c r="F1280" s="8">
        <v>1</v>
      </c>
      <c r="G1280" s="2">
        <v>635</v>
      </c>
      <c r="H1280" s="8" t="s">
        <v>118</v>
      </c>
      <c r="I1280" s="2">
        <f t="shared" si="39"/>
        <v>635</v>
      </c>
      <c r="M1280" s="11">
        <v>20000</v>
      </c>
      <c r="N1280" s="8" t="s">
        <v>30</v>
      </c>
      <c r="O1280" s="8" t="s">
        <v>17</v>
      </c>
      <c r="P1280" s="8" t="s">
        <v>18</v>
      </c>
      <c r="Q1280" s="8" t="s">
        <v>18</v>
      </c>
      <c r="S1280" s="8" t="s">
        <v>2219</v>
      </c>
      <c r="T1280" s="8" t="s">
        <v>2220</v>
      </c>
      <c r="V1280" s="8" t="s">
        <v>1056</v>
      </c>
      <c r="W1280" s="8">
        <f t="shared" si="38"/>
        <v>2</v>
      </c>
      <c r="X1280" s="8">
        <f>K1280*L1280*N1280</f>
        <v>0</v>
      </c>
    </row>
    <row r="1281" spans="1:24" s="8" customFormat="1" ht="41.5" customHeight="1">
      <c r="A1281" s="8" t="s">
        <v>2339</v>
      </c>
      <c r="B1281" s="8" t="s">
        <v>2904</v>
      </c>
      <c r="C1281" s="9">
        <v>45793.164557557902</v>
      </c>
      <c r="D1281" s="8" t="s">
        <v>2218</v>
      </c>
      <c r="E1281" s="8" t="s">
        <v>2057</v>
      </c>
      <c r="F1281" s="8">
        <v>1</v>
      </c>
      <c r="G1281" s="2">
        <v>635</v>
      </c>
      <c r="H1281" s="8" t="s">
        <v>118</v>
      </c>
      <c r="I1281" s="2">
        <f t="shared" si="39"/>
        <v>635</v>
      </c>
      <c r="M1281" s="11">
        <v>20000</v>
      </c>
      <c r="N1281" s="8" t="s">
        <v>30</v>
      </c>
      <c r="O1281" s="8" t="s">
        <v>17</v>
      </c>
      <c r="P1281" s="8" t="s">
        <v>18</v>
      </c>
      <c r="Q1281" s="8" t="s">
        <v>18</v>
      </c>
      <c r="S1281" s="8" t="s">
        <v>2219</v>
      </c>
      <c r="T1281" s="8" t="s">
        <v>2220</v>
      </c>
      <c r="V1281" s="8" t="s">
        <v>1056</v>
      </c>
      <c r="W1281" s="8">
        <f t="shared" si="38"/>
        <v>2</v>
      </c>
      <c r="X1281" s="8">
        <f>K1281*L1281*N1281</f>
        <v>0</v>
      </c>
    </row>
    <row r="1282" spans="1:24" s="8" customFormat="1" ht="41.5" customHeight="1">
      <c r="A1282" s="8" t="s">
        <v>2339</v>
      </c>
      <c r="B1282" s="8" t="s">
        <v>2905</v>
      </c>
      <c r="C1282" s="9">
        <v>45793.164072453699</v>
      </c>
      <c r="D1282" s="8" t="s">
        <v>2218</v>
      </c>
      <c r="E1282" s="8" t="s">
        <v>2057</v>
      </c>
      <c r="F1282" s="8">
        <v>1</v>
      </c>
      <c r="G1282" s="2">
        <v>635</v>
      </c>
      <c r="H1282" s="8" t="s">
        <v>118</v>
      </c>
      <c r="I1282" s="2">
        <f t="shared" si="39"/>
        <v>635</v>
      </c>
      <c r="M1282" s="11">
        <v>40000</v>
      </c>
      <c r="N1282" s="8" t="s">
        <v>30</v>
      </c>
      <c r="O1282" s="8" t="s">
        <v>17</v>
      </c>
      <c r="P1282" s="8" t="s">
        <v>18</v>
      </c>
      <c r="Q1282" s="8" t="s">
        <v>18</v>
      </c>
      <c r="S1282" s="8" t="s">
        <v>2219</v>
      </c>
      <c r="T1282" s="8" t="s">
        <v>2220</v>
      </c>
      <c r="V1282" s="8" t="s">
        <v>1056</v>
      </c>
      <c r="W1282" s="8">
        <f t="shared" si="38"/>
        <v>2</v>
      </c>
      <c r="X1282" s="8">
        <f>K1282*L1282*N1282</f>
        <v>0</v>
      </c>
    </row>
    <row r="1283" spans="1:24" s="8" customFormat="1" ht="41.5" customHeight="1">
      <c r="A1283" s="8" t="s">
        <v>2339</v>
      </c>
      <c r="B1283" s="8" t="s">
        <v>2906</v>
      </c>
      <c r="C1283" s="9">
        <v>45793.163541562499</v>
      </c>
      <c r="D1283" s="8" t="s">
        <v>2218</v>
      </c>
      <c r="E1283" s="8" t="s">
        <v>2057</v>
      </c>
      <c r="F1283" s="8">
        <v>1</v>
      </c>
      <c r="G1283" s="2">
        <v>635</v>
      </c>
      <c r="H1283" s="8" t="s">
        <v>118</v>
      </c>
      <c r="I1283" s="2">
        <f t="shared" si="39"/>
        <v>635</v>
      </c>
      <c r="M1283" s="11">
        <v>20145</v>
      </c>
      <c r="N1283" s="8" t="s">
        <v>30</v>
      </c>
      <c r="O1283" s="8" t="s">
        <v>17</v>
      </c>
      <c r="P1283" s="8" t="s">
        <v>18</v>
      </c>
      <c r="Q1283" s="8" t="s">
        <v>18</v>
      </c>
      <c r="S1283" s="8" t="s">
        <v>2219</v>
      </c>
      <c r="T1283" s="8" t="s">
        <v>2220</v>
      </c>
      <c r="V1283" s="8" t="s">
        <v>1056</v>
      </c>
      <c r="W1283" s="8">
        <f t="shared" si="38"/>
        <v>2</v>
      </c>
      <c r="X1283" s="8">
        <f>K1283*L1283*N1283</f>
        <v>0</v>
      </c>
    </row>
    <row r="1284" spans="1:24" s="8" customFormat="1" ht="41.5" customHeight="1">
      <c r="A1284" s="8" t="s">
        <v>2339</v>
      </c>
      <c r="B1284" s="8" t="s">
        <v>2907</v>
      </c>
      <c r="C1284" s="9">
        <v>45793.163365150504</v>
      </c>
      <c r="D1284" s="8" t="s">
        <v>2218</v>
      </c>
      <c r="E1284" s="8" t="s">
        <v>2057</v>
      </c>
      <c r="F1284" s="8">
        <v>1</v>
      </c>
      <c r="G1284" s="2">
        <v>635</v>
      </c>
      <c r="H1284" s="8" t="s">
        <v>118</v>
      </c>
      <c r="I1284" s="2">
        <f t="shared" si="39"/>
        <v>635</v>
      </c>
      <c r="M1284" s="11">
        <v>20000</v>
      </c>
      <c r="N1284" s="8" t="s">
        <v>30</v>
      </c>
      <c r="O1284" s="8" t="s">
        <v>17</v>
      </c>
      <c r="P1284" s="8" t="s">
        <v>18</v>
      </c>
      <c r="Q1284" s="8" t="s">
        <v>18</v>
      </c>
      <c r="S1284" s="8" t="s">
        <v>2219</v>
      </c>
      <c r="T1284" s="8" t="s">
        <v>2220</v>
      </c>
      <c r="V1284" s="8" t="s">
        <v>1056</v>
      </c>
      <c r="W1284" s="8">
        <f t="shared" si="38"/>
        <v>2</v>
      </c>
      <c r="X1284" s="8">
        <f>K1284*L1284*N1284</f>
        <v>0</v>
      </c>
    </row>
    <row r="1285" spans="1:24" s="8" customFormat="1" ht="41.5" customHeight="1">
      <c r="A1285" s="8" t="s">
        <v>2339</v>
      </c>
      <c r="B1285" s="8" t="s">
        <v>2908</v>
      </c>
      <c r="C1285" s="9">
        <v>45793.163305914401</v>
      </c>
      <c r="D1285" s="8" t="s">
        <v>2218</v>
      </c>
      <c r="E1285" s="8" t="s">
        <v>2057</v>
      </c>
      <c r="F1285" s="8">
        <v>1</v>
      </c>
      <c r="G1285" s="2">
        <v>635</v>
      </c>
      <c r="H1285" s="8" t="s">
        <v>118</v>
      </c>
      <c r="I1285" s="2">
        <f t="shared" si="39"/>
        <v>635</v>
      </c>
      <c r="M1285" s="11">
        <v>20000</v>
      </c>
      <c r="N1285" s="8" t="s">
        <v>30</v>
      </c>
      <c r="O1285" s="8" t="s">
        <v>17</v>
      </c>
      <c r="P1285" s="8" t="s">
        <v>18</v>
      </c>
      <c r="Q1285" s="8" t="s">
        <v>18</v>
      </c>
      <c r="S1285" s="8" t="s">
        <v>2219</v>
      </c>
      <c r="T1285" s="8" t="s">
        <v>2220</v>
      </c>
      <c r="V1285" s="8" t="s">
        <v>1056</v>
      </c>
      <c r="W1285" s="8">
        <f t="shared" si="38"/>
        <v>2</v>
      </c>
      <c r="X1285" s="8">
        <f>K1285*L1285*N1285</f>
        <v>0</v>
      </c>
    </row>
    <row r="1286" spans="1:24" s="8" customFormat="1" ht="41.5" customHeight="1">
      <c r="A1286" s="8" t="s">
        <v>2339</v>
      </c>
      <c r="B1286" s="8" t="s">
        <v>2909</v>
      </c>
      <c r="C1286" s="9">
        <v>45793.161856724502</v>
      </c>
      <c r="D1286" s="8" t="s">
        <v>2218</v>
      </c>
      <c r="E1286" s="8" t="s">
        <v>2057</v>
      </c>
      <c r="F1286" s="8">
        <v>1</v>
      </c>
      <c r="G1286" s="2">
        <v>635</v>
      </c>
      <c r="H1286" s="8" t="s">
        <v>118</v>
      </c>
      <c r="I1286" s="2">
        <f t="shared" si="39"/>
        <v>635</v>
      </c>
      <c r="M1286" s="11">
        <v>20000</v>
      </c>
      <c r="N1286" s="8" t="s">
        <v>30</v>
      </c>
      <c r="O1286" s="8" t="s">
        <v>17</v>
      </c>
      <c r="P1286" s="8" t="s">
        <v>18</v>
      </c>
      <c r="Q1286" s="8" t="s">
        <v>18</v>
      </c>
      <c r="S1286" s="8" t="s">
        <v>2219</v>
      </c>
      <c r="T1286" s="8" t="s">
        <v>2220</v>
      </c>
      <c r="V1286" s="8" t="s">
        <v>1056</v>
      </c>
      <c r="W1286" s="8">
        <f t="shared" si="38"/>
        <v>2</v>
      </c>
      <c r="X1286" s="8">
        <f>K1286*L1286*N1286</f>
        <v>0</v>
      </c>
    </row>
    <row r="1287" spans="1:24" s="8" customFormat="1" ht="41.5" customHeight="1">
      <c r="A1287" s="8" t="s">
        <v>2339</v>
      </c>
      <c r="B1287" s="8" t="s">
        <v>2910</v>
      </c>
      <c r="C1287" s="9">
        <v>45793.1615087963</v>
      </c>
      <c r="D1287" s="8" t="s">
        <v>2218</v>
      </c>
      <c r="E1287" s="8" t="s">
        <v>2057</v>
      </c>
      <c r="F1287" s="8">
        <v>1</v>
      </c>
      <c r="G1287" s="2">
        <v>635</v>
      </c>
      <c r="H1287" s="8" t="s">
        <v>118</v>
      </c>
      <c r="I1287" s="2">
        <f t="shared" si="39"/>
        <v>635</v>
      </c>
      <c r="M1287" s="11">
        <v>30000</v>
      </c>
      <c r="N1287" s="8" t="s">
        <v>30</v>
      </c>
      <c r="O1287" s="8" t="s">
        <v>17</v>
      </c>
      <c r="P1287" s="8" t="s">
        <v>18</v>
      </c>
      <c r="Q1287" s="8" t="s">
        <v>18</v>
      </c>
      <c r="S1287" s="8" t="s">
        <v>2219</v>
      </c>
      <c r="T1287" s="8" t="s">
        <v>2220</v>
      </c>
      <c r="V1287" s="8" t="s">
        <v>1056</v>
      </c>
      <c r="W1287" s="8">
        <f t="shared" si="38"/>
        <v>2</v>
      </c>
      <c r="X1287" s="8">
        <f>K1287*L1287*N1287</f>
        <v>0</v>
      </c>
    </row>
    <row r="1288" spans="1:24" s="8" customFormat="1" ht="41.5" customHeight="1">
      <c r="A1288" s="8" t="s">
        <v>2339</v>
      </c>
      <c r="B1288" s="8" t="s">
        <v>2911</v>
      </c>
      <c r="C1288" s="9">
        <v>45793.159003900502</v>
      </c>
      <c r="D1288" s="8" t="s">
        <v>2218</v>
      </c>
      <c r="E1288" s="8" t="s">
        <v>2057</v>
      </c>
      <c r="F1288" s="8">
        <v>1</v>
      </c>
      <c r="G1288" s="2">
        <v>635</v>
      </c>
      <c r="H1288" s="8" t="s">
        <v>118</v>
      </c>
      <c r="I1288" s="2">
        <f t="shared" si="39"/>
        <v>635</v>
      </c>
      <c r="M1288" s="11">
        <v>20000</v>
      </c>
      <c r="N1288" s="8" t="s">
        <v>30</v>
      </c>
      <c r="O1288" s="8" t="s">
        <v>17</v>
      </c>
      <c r="P1288" s="8" t="s">
        <v>18</v>
      </c>
      <c r="Q1288" s="8" t="s">
        <v>18</v>
      </c>
      <c r="S1288" s="8" t="s">
        <v>2219</v>
      </c>
      <c r="T1288" s="8" t="s">
        <v>2220</v>
      </c>
      <c r="V1288" s="8" t="s">
        <v>1056</v>
      </c>
      <c r="W1288" s="8">
        <f t="shared" si="38"/>
        <v>2</v>
      </c>
      <c r="X1288" s="8">
        <f>K1288*L1288*N1288</f>
        <v>0</v>
      </c>
    </row>
    <row r="1289" spans="1:24" s="8" customFormat="1" ht="41.5" customHeight="1">
      <c r="A1289" s="8" t="s">
        <v>2339</v>
      </c>
      <c r="B1289" s="8" t="s">
        <v>2912</v>
      </c>
      <c r="C1289" s="9">
        <v>45793.1544310764</v>
      </c>
      <c r="D1289" s="8" t="s">
        <v>2218</v>
      </c>
      <c r="E1289" s="8" t="s">
        <v>2057</v>
      </c>
      <c r="F1289" s="8">
        <v>1</v>
      </c>
      <c r="G1289" s="2">
        <v>635</v>
      </c>
      <c r="H1289" s="8" t="s">
        <v>118</v>
      </c>
      <c r="I1289" s="2">
        <f t="shared" si="39"/>
        <v>635</v>
      </c>
      <c r="M1289" s="11">
        <v>20000</v>
      </c>
      <c r="N1289" s="8" t="s">
        <v>30</v>
      </c>
      <c r="O1289" s="8" t="s">
        <v>17</v>
      </c>
      <c r="P1289" s="8" t="s">
        <v>18</v>
      </c>
      <c r="Q1289" s="8" t="s">
        <v>18</v>
      </c>
      <c r="S1289" s="8" t="s">
        <v>2219</v>
      </c>
      <c r="T1289" s="8" t="s">
        <v>2220</v>
      </c>
      <c r="V1289" s="8" t="s">
        <v>1056</v>
      </c>
      <c r="W1289" s="8">
        <f t="shared" si="38"/>
        <v>2</v>
      </c>
      <c r="X1289" s="8">
        <f>K1289*L1289*N1289</f>
        <v>0</v>
      </c>
    </row>
    <row r="1290" spans="1:24" s="8" customFormat="1" ht="41.5" customHeight="1">
      <c r="A1290" s="8" t="s">
        <v>2339</v>
      </c>
      <c r="B1290" s="8" t="s">
        <v>2913</v>
      </c>
      <c r="C1290" s="9">
        <v>45793.154431064802</v>
      </c>
      <c r="D1290" s="8" t="s">
        <v>2218</v>
      </c>
      <c r="E1290" s="8" t="s">
        <v>2057</v>
      </c>
      <c r="F1290" s="8">
        <v>1</v>
      </c>
      <c r="G1290" s="2">
        <v>635</v>
      </c>
      <c r="H1290" s="8" t="s">
        <v>118</v>
      </c>
      <c r="I1290" s="2">
        <f t="shared" si="39"/>
        <v>635</v>
      </c>
      <c r="M1290" s="11">
        <v>24000</v>
      </c>
      <c r="N1290" s="8" t="s">
        <v>30</v>
      </c>
      <c r="O1290" s="8" t="s">
        <v>17</v>
      </c>
      <c r="P1290" s="8" t="s">
        <v>18</v>
      </c>
      <c r="Q1290" s="8" t="s">
        <v>18</v>
      </c>
      <c r="S1290" s="8" t="s">
        <v>2219</v>
      </c>
      <c r="T1290" s="8" t="s">
        <v>2220</v>
      </c>
      <c r="V1290" s="8" t="s">
        <v>1056</v>
      </c>
      <c r="W1290" s="8">
        <f t="shared" si="38"/>
        <v>2</v>
      </c>
      <c r="X1290" s="8">
        <f>K1290*L1290*N1290</f>
        <v>0</v>
      </c>
    </row>
    <row r="1291" spans="1:24" s="8" customFormat="1" ht="41.5" customHeight="1">
      <c r="A1291" s="8" t="s">
        <v>2339</v>
      </c>
      <c r="B1291" s="8" t="s">
        <v>2914</v>
      </c>
      <c r="C1291" s="9">
        <v>45793.151784166701</v>
      </c>
      <c r="D1291" s="8" t="s">
        <v>2218</v>
      </c>
      <c r="E1291" s="8" t="s">
        <v>2057</v>
      </c>
      <c r="F1291" s="8">
        <v>1</v>
      </c>
      <c r="G1291" s="2">
        <v>635</v>
      </c>
      <c r="H1291" s="8" t="s">
        <v>118</v>
      </c>
      <c r="I1291" s="2">
        <f t="shared" si="39"/>
        <v>635</v>
      </c>
      <c r="M1291" s="11">
        <v>23200</v>
      </c>
      <c r="N1291" s="8" t="s">
        <v>30</v>
      </c>
      <c r="O1291" s="8" t="s">
        <v>17</v>
      </c>
      <c r="P1291" s="8" t="s">
        <v>18</v>
      </c>
      <c r="Q1291" s="8" t="s">
        <v>18</v>
      </c>
      <c r="S1291" s="8" t="s">
        <v>2219</v>
      </c>
      <c r="T1291" s="8" t="s">
        <v>2220</v>
      </c>
      <c r="V1291" s="8" t="s">
        <v>1056</v>
      </c>
      <c r="W1291" s="8">
        <f t="shared" si="38"/>
        <v>2</v>
      </c>
      <c r="X1291" s="8">
        <f>K1291*L1291*N1291</f>
        <v>0</v>
      </c>
    </row>
    <row r="1292" spans="1:24" s="8" customFormat="1" ht="41.5" customHeight="1">
      <c r="A1292" s="8" t="s">
        <v>2463</v>
      </c>
      <c r="B1292" s="8" t="s">
        <v>2915</v>
      </c>
      <c r="C1292" s="9">
        <v>45744.6765615162</v>
      </c>
      <c r="D1292" s="8" t="s">
        <v>2056</v>
      </c>
      <c r="E1292" s="8" t="s">
        <v>2057</v>
      </c>
      <c r="F1292" s="8">
        <v>1</v>
      </c>
      <c r="G1292" s="22" t="s">
        <v>1255</v>
      </c>
      <c r="H1292" s="8" t="s">
        <v>148</v>
      </c>
      <c r="I1292" s="2" t="str">
        <f t="shared" si="39"/>
        <v>Ống uPVC 27 C2</v>
      </c>
      <c r="J1292" s="8" t="s">
        <v>47</v>
      </c>
      <c r="K1292" s="10">
        <v>1600</v>
      </c>
      <c r="L1292" s="10">
        <v>10645.25</v>
      </c>
      <c r="M1292" s="11">
        <v>17032400</v>
      </c>
      <c r="N1292" s="8" t="s">
        <v>16</v>
      </c>
      <c r="O1292" s="8" t="s">
        <v>17</v>
      </c>
      <c r="P1292" s="8" t="s">
        <v>18</v>
      </c>
      <c r="Q1292" s="8" t="s">
        <v>18</v>
      </c>
      <c r="R1292" s="8" t="s">
        <v>2115</v>
      </c>
      <c r="S1292" s="8" t="s">
        <v>2465</v>
      </c>
      <c r="T1292" s="8" t="s">
        <v>2466</v>
      </c>
      <c r="U1292" s="8" t="s">
        <v>2702</v>
      </c>
      <c r="V1292" s="8" t="s">
        <v>1057</v>
      </c>
      <c r="W1292" s="8">
        <f t="shared" si="38"/>
        <v>1</v>
      </c>
      <c r="X1292" s="8">
        <f>K1292*L1292*N1292</f>
        <v>1362592</v>
      </c>
    </row>
    <row r="1293" spans="1:24" s="8" customFormat="1" ht="41.5" customHeight="1">
      <c r="A1293" s="8" t="s">
        <v>2463</v>
      </c>
      <c r="B1293" s="8" t="s">
        <v>2915</v>
      </c>
      <c r="C1293" s="9">
        <v>45744.6765615162</v>
      </c>
      <c r="D1293" s="8" t="s">
        <v>2056</v>
      </c>
      <c r="E1293" s="8" t="s">
        <v>2057</v>
      </c>
      <c r="F1293" s="8">
        <v>2</v>
      </c>
      <c r="G1293" s="22" t="s">
        <v>2916</v>
      </c>
      <c r="H1293" s="8" t="s">
        <v>1058</v>
      </c>
      <c r="I1293" s="2" t="str">
        <f t="shared" si="39"/>
        <v>Ống uPVC DN42 PN10 C2</v>
      </c>
      <c r="J1293" s="8" t="s">
        <v>47</v>
      </c>
      <c r="K1293" s="10">
        <v>300</v>
      </c>
      <c r="L1293" s="10">
        <v>18795.52</v>
      </c>
      <c r="M1293" s="11">
        <v>5638656</v>
      </c>
      <c r="N1293" s="8" t="s">
        <v>16</v>
      </c>
      <c r="O1293" s="8" t="s">
        <v>17</v>
      </c>
      <c r="P1293" s="8" t="s">
        <v>18</v>
      </c>
      <c r="Q1293" s="8" t="s">
        <v>18</v>
      </c>
      <c r="R1293" s="8" t="s">
        <v>2115</v>
      </c>
      <c r="S1293" s="8" t="s">
        <v>2465</v>
      </c>
      <c r="T1293" s="8" t="s">
        <v>2466</v>
      </c>
      <c r="U1293" s="8" t="s">
        <v>2702</v>
      </c>
      <c r="V1293" s="8" t="s">
        <v>1057</v>
      </c>
      <c r="W1293" s="8">
        <f t="shared" si="38"/>
        <v>1</v>
      </c>
      <c r="X1293" s="8">
        <f>K1293*L1293*N1293</f>
        <v>451092.47999999998</v>
      </c>
    </row>
    <row r="1294" spans="1:24" s="8" customFormat="1" ht="41.5" customHeight="1">
      <c r="A1294" s="8" t="s">
        <v>2463</v>
      </c>
      <c r="B1294" s="8" t="s">
        <v>2915</v>
      </c>
      <c r="C1294" s="9">
        <v>45744.6765615162</v>
      </c>
      <c r="D1294" s="8" t="s">
        <v>2056</v>
      </c>
      <c r="E1294" s="8" t="s">
        <v>2057</v>
      </c>
      <c r="F1294" s="8">
        <v>3</v>
      </c>
      <c r="G1294" s="22" t="s">
        <v>1312</v>
      </c>
      <c r="H1294" s="8" t="s">
        <v>1059</v>
      </c>
      <c r="I1294" s="2" t="str">
        <f t="shared" si="39"/>
        <v>Ống PVCĐK 48 C2</v>
      </c>
      <c r="J1294" s="8" t="s">
        <v>47</v>
      </c>
      <c r="K1294" s="10">
        <v>300</v>
      </c>
      <c r="L1294" s="10">
        <v>22704.32</v>
      </c>
      <c r="M1294" s="11">
        <v>6811296</v>
      </c>
      <c r="N1294" s="8" t="s">
        <v>16</v>
      </c>
      <c r="O1294" s="8" t="s">
        <v>17</v>
      </c>
      <c r="P1294" s="8" t="s">
        <v>18</v>
      </c>
      <c r="Q1294" s="8" t="s">
        <v>18</v>
      </c>
      <c r="R1294" s="8" t="s">
        <v>2115</v>
      </c>
      <c r="S1294" s="8" t="s">
        <v>2465</v>
      </c>
      <c r="T1294" s="8" t="s">
        <v>2466</v>
      </c>
      <c r="U1294" s="8" t="s">
        <v>2702</v>
      </c>
      <c r="V1294" s="8" t="s">
        <v>1057</v>
      </c>
      <c r="W1294" s="8">
        <f t="shared" si="38"/>
        <v>1</v>
      </c>
      <c r="X1294" s="8">
        <f>K1294*L1294*N1294</f>
        <v>544903.68000000005</v>
      </c>
    </row>
    <row r="1295" spans="1:24" s="8" customFormat="1" ht="41.5" customHeight="1">
      <c r="A1295" s="8" t="s">
        <v>2463</v>
      </c>
      <c r="B1295" s="8" t="s">
        <v>2915</v>
      </c>
      <c r="C1295" s="9">
        <v>45744.6765615162</v>
      </c>
      <c r="D1295" s="8" t="s">
        <v>2056</v>
      </c>
      <c r="E1295" s="8" t="s">
        <v>2057</v>
      </c>
      <c r="F1295" s="8">
        <v>4</v>
      </c>
      <c r="G1295" s="22" t="s">
        <v>1280</v>
      </c>
      <c r="H1295" s="8" t="s">
        <v>996</v>
      </c>
      <c r="I1295" s="2" t="str">
        <f t="shared" si="39"/>
        <v>Ống uPVC DN60 PN8 C2</v>
      </c>
      <c r="J1295" s="8" t="s">
        <v>47</v>
      </c>
      <c r="K1295" s="10">
        <v>300</v>
      </c>
      <c r="L1295" s="10">
        <v>32434.74</v>
      </c>
      <c r="M1295" s="11">
        <v>9730422</v>
      </c>
      <c r="N1295" s="8" t="s">
        <v>16</v>
      </c>
      <c r="O1295" s="8" t="s">
        <v>17</v>
      </c>
      <c r="P1295" s="8" t="s">
        <v>18</v>
      </c>
      <c r="Q1295" s="8" t="s">
        <v>18</v>
      </c>
      <c r="R1295" s="8" t="s">
        <v>2115</v>
      </c>
      <c r="S1295" s="8" t="s">
        <v>2465</v>
      </c>
      <c r="T1295" s="8" t="s">
        <v>2466</v>
      </c>
      <c r="U1295" s="8" t="s">
        <v>2702</v>
      </c>
      <c r="V1295" s="8" t="s">
        <v>1057</v>
      </c>
      <c r="W1295" s="8">
        <f t="shared" si="38"/>
        <v>1</v>
      </c>
      <c r="X1295" s="8">
        <f>K1295*L1295*N1295</f>
        <v>778433.76</v>
      </c>
    </row>
    <row r="1296" spans="1:24" s="8" customFormat="1" ht="41.5" customHeight="1">
      <c r="A1296" s="8" t="s">
        <v>2463</v>
      </c>
      <c r="B1296" s="8" t="s">
        <v>2915</v>
      </c>
      <c r="C1296" s="9">
        <v>45744.6765615162</v>
      </c>
      <c r="D1296" s="8" t="s">
        <v>2056</v>
      </c>
      <c r="E1296" s="8" t="s">
        <v>2057</v>
      </c>
      <c r="F1296" s="8">
        <v>5</v>
      </c>
      <c r="G1296" s="22" t="s">
        <v>2917</v>
      </c>
      <c r="H1296" s="8" t="s">
        <v>1060</v>
      </c>
      <c r="I1296" s="2" t="str">
        <f t="shared" si="39"/>
        <v>Ống PVC ĐK75C2</v>
      </c>
      <c r="J1296" s="8" t="s">
        <v>47</v>
      </c>
      <c r="K1296" s="10">
        <v>400</v>
      </c>
      <c r="L1296" s="10">
        <v>46157.13</v>
      </c>
      <c r="M1296" s="11">
        <v>18462852</v>
      </c>
      <c r="N1296" s="8" t="s">
        <v>16</v>
      </c>
      <c r="O1296" s="8" t="s">
        <v>17</v>
      </c>
      <c r="P1296" s="8" t="s">
        <v>18</v>
      </c>
      <c r="Q1296" s="8" t="s">
        <v>18</v>
      </c>
      <c r="R1296" s="8" t="s">
        <v>2115</v>
      </c>
      <c r="S1296" s="8" t="s">
        <v>2465</v>
      </c>
      <c r="T1296" s="8" t="s">
        <v>2466</v>
      </c>
      <c r="U1296" s="8" t="s">
        <v>2702</v>
      </c>
      <c r="V1296" s="8" t="s">
        <v>1057</v>
      </c>
      <c r="W1296" s="8">
        <f t="shared" si="38"/>
        <v>1</v>
      </c>
      <c r="X1296" s="8">
        <f>K1296*L1296*N1296</f>
        <v>1477028.16</v>
      </c>
    </row>
    <row r="1297" spans="1:24" s="8" customFormat="1" ht="41.5" customHeight="1">
      <c r="A1297" s="8" t="s">
        <v>2463</v>
      </c>
      <c r="B1297" s="8" t="s">
        <v>2915</v>
      </c>
      <c r="C1297" s="9">
        <v>45744.6765615162</v>
      </c>
      <c r="D1297" s="8" t="s">
        <v>2056</v>
      </c>
      <c r="E1297" s="8" t="s">
        <v>2057</v>
      </c>
      <c r="F1297" s="8">
        <v>6</v>
      </c>
      <c r="G1297" s="22" t="s">
        <v>1270</v>
      </c>
      <c r="H1297" s="8" t="s">
        <v>545</v>
      </c>
      <c r="I1297" s="2" t="str">
        <f t="shared" si="39"/>
        <v>Ống uPVC DN90 PN6 C2</v>
      </c>
      <c r="J1297" s="8" t="s">
        <v>47</v>
      </c>
      <c r="K1297" s="10">
        <v>400</v>
      </c>
      <c r="L1297" s="10">
        <v>49564.93</v>
      </c>
      <c r="M1297" s="11">
        <v>19825972</v>
      </c>
      <c r="N1297" s="8" t="s">
        <v>16</v>
      </c>
      <c r="O1297" s="8" t="s">
        <v>17</v>
      </c>
      <c r="P1297" s="8" t="s">
        <v>18</v>
      </c>
      <c r="Q1297" s="8" t="s">
        <v>18</v>
      </c>
      <c r="R1297" s="8" t="s">
        <v>2115</v>
      </c>
      <c r="S1297" s="8" t="s">
        <v>2465</v>
      </c>
      <c r="T1297" s="8" t="s">
        <v>2466</v>
      </c>
      <c r="U1297" s="8" t="s">
        <v>2702</v>
      </c>
      <c r="V1297" s="8" t="s">
        <v>1057</v>
      </c>
      <c r="W1297" s="8">
        <f t="shared" si="38"/>
        <v>1</v>
      </c>
      <c r="X1297" s="8">
        <f>K1297*L1297*N1297</f>
        <v>1586077.76</v>
      </c>
    </row>
    <row r="1298" spans="1:24" s="8" customFormat="1" ht="41.5" customHeight="1">
      <c r="A1298" s="8" t="s">
        <v>2463</v>
      </c>
      <c r="B1298" s="8" t="s">
        <v>2915</v>
      </c>
      <c r="C1298" s="9">
        <v>45744.6765615162</v>
      </c>
      <c r="D1298" s="8" t="s">
        <v>2056</v>
      </c>
      <c r="E1298" s="8" t="s">
        <v>2057</v>
      </c>
      <c r="F1298" s="8">
        <v>7</v>
      </c>
      <c r="G1298" s="22" t="s">
        <v>2088</v>
      </c>
      <c r="H1298" s="8" t="s">
        <v>547</v>
      </c>
      <c r="I1298" s="2" t="str">
        <f t="shared" si="39"/>
        <v>ống uPVC DN110 PN6 C2</v>
      </c>
      <c r="J1298" s="8" t="s">
        <v>47</v>
      </c>
      <c r="K1298" s="10">
        <v>372</v>
      </c>
      <c r="L1298" s="10">
        <v>72500.91</v>
      </c>
      <c r="M1298" s="11">
        <v>26970339</v>
      </c>
      <c r="N1298" s="8" t="s">
        <v>16</v>
      </c>
      <c r="O1298" s="8" t="s">
        <v>17</v>
      </c>
      <c r="P1298" s="8" t="s">
        <v>18</v>
      </c>
      <c r="Q1298" s="8" t="s">
        <v>18</v>
      </c>
      <c r="R1298" s="8" t="s">
        <v>2115</v>
      </c>
      <c r="S1298" s="8" t="s">
        <v>2465</v>
      </c>
      <c r="T1298" s="8" t="s">
        <v>2466</v>
      </c>
      <c r="U1298" s="8" t="s">
        <v>2702</v>
      </c>
      <c r="V1298" s="8" t="s">
        <v>1057</v>
      </c>
      <c r="W1298" s="8">
        <f t="shared" si="38"/>
        <v>1</v>
      </c>
      <c r="X1298" s="8">
        <f>K1298*L1298*N1298</f>
        <v>2157627.0816000002</v>
      </c>
    </row>
    <row r="1299" spans="1:24" s="8" customFormat="1" ht="41.5" customHeight="1">
      <c r="A1299" s="8" t="s">
        <v>2463</v>
      </c>
      <c r="B1299" s="8" t="s">
        <v>2915</v>
      </c>
      <c r="C1299" s="9">
        <v>45744.6765615162</v>
      </c>
      <c r="D1299" s="8" t="s">
        <v>2056</v>
      </c>
      <c r="E1299" s="8" t="s">
        <v>2057</v>
      </c>
      <c r="F1299" s="8">
        <v>8</v>
      </c>
      <c r="G1299" s="22" t="s">
        <v>1061</v>
      </c>
      <c r="H1299" s="8" t="s">
        <v>1061</v>
      </c>
      <c r="I1299" s="2" t="str">
        <f t="shared" si="39"/>
        <v>Ống uPVC đk 21 NTC</v>
      </c>
      <c r="J1299" s="8" t="s">
        <v>47</v>
      </c>
      <c r="K1299" s="10">
        <v>200</v>
      </c>
      <c r="L1299" s="10">
        <v>5239.46</v>
      </c>
      <c r="M1299" s="11">
        <v>1047892</v>
      </c>
      <c r="N1299" s="8" t="s">
        <v>16</v>
      </c>
      <c r="O1299" s="8" t="s">
        <v>17</v>
      </c>
      <c r="P1299" s="8" t="s">
        <v>18</v>
      </c>
      <c r="Q1299" s="8" t="s">
        <v>18</v>
      </c>
      <c r="R1299" s="8" t="s">
        <v>2115</v>
      </c>
      <c r="S1299" s="8" t="s">
        <v>2465</v>
      </c>
      <c r="T1299" s="8" t="s">
        <v>2466</v>
      </c>
      <c r="U1299" s="8" t="s">
        <v>2702</v>
      </c>
      <c r="V1299" s="8" t="s">
        <v>1057</v>
      </c>
      <c r="W1299" s="8">
        <f t="shared" si="38"/>
        <v>1</v>
      </c>
      <c r="X1299" s="8">
        <f>K1299*L1299*N1299</f>
        <v>83831.360000000001</v>
      </c>
    </row>
    <row r="1300" spans="1:24" s="8" customFormat="1" ht="41.5" customHeight="1">
      <c r="A1300" s="8" t="s">
        <v>2463</v>
      </c>
      <c r="B1300" s="8" t="s">
        <v>2915</v>
      </c>
      <c r="C1300" s="9">
        <v>45744.6765615162</v>
      </c>
      <c r="D1300" s="8" t="s">
        <v>2056</v>
      </c>
      <c r="E1300" s="8" t="s">
        <v>2057</v>
      </c>
      <c r="F1300" s="8">
        <v>9</v>
      </c>
      <c r="G1300" s="22" t="s">
        <v>1062</v>
      </c>
      <c r="H1300" s="8" t="s">
        <v>1062</v>
      </c>
      <c r="I1300" s="2" t="str">
        <f t="shared" si="39"/>
        <v>Ống uPVC đk 27 NTC</v>
      </c>
      <c r="J1300" s="8" t="s">
        <v>47</v>
      </c>
      <c r="K1300" s="10">
        <v>200</v>
      </c>
      <c r="L1300" s="10">
        <v>6486.95</v>
      </c>
      <c r="M1300" s="11">
        <v>1297390</v>
      </c>
      <c r="N1300" s="8" t="s">
        <v>16</v>
      </c>
      <c r="O1300" s="8" t="s">
        <v>17</v>
      </c>
      <c r="P1300" s="8" t="s">
        <v>18</v>
      </c>
      <c r="Q1300" s="8" t="s">
        <v>18</v>
      </c>
      <c r="R1300" s="8" t="s">
        <v>2115</v>
      </c>
      <c r="S1300" s="8" t="s">
        <v>2465</v>
      </c>
      <c r="T1300" s="8" t="s">
        <v>2466</v>
      </c>
      <c r="U1300" s="8" t="s">
        <v>2702</v>
      </c>
      <c r="V1300" s="8" t="s">
        <v>1057</v>
      </c>
      <c r="W1300" s="8">
        <f t="shared" si="38"/>
        <v>1</v>
      </c>
      <c r="X1300" s="8">
        <f>K1300*L1300*N1300</f>
        <v>103791.2</v>
      </c>
    </row>
    <row r="1301" spans="1:24" s="8" customFormat="1" ht="41.5" customHeight="1">
      <c r="A1301" s="8" t="s">
        <v>2463</v>
      </c>
      <c r="B1301" s="8" t="s">
        <v>2915</v>
      </c>
      <c r="C1301" s="9">
        <v>45744.6765615162</v>
      </c>
      <c r="D1301" s="8" t="s">
        <v>2056</v>
      </c>
      <c r="E1301" s="8" t="s">
        <v>2057</v>
      </c>
      <c r="F1301" s="8">
        <v>10</v>
      </c>
      <c r="G1301" s="22" t="s">
        <v>1063</v>
      </c>
      <c r="H1301" s="8" t="s">
        <v>1063</v>
      </c>
      <c r="I1301" s="2" t="str">
        <f t="shared" si="39"/>
        <v>Ống uPVC đk 34 NTC</v>
      </c>
      <c r="J1301" s="8" t="s">
        <v>47</v>
      </c>
      <c r="K1301" s="10">
        <v>200</v>
      </c>
      <c r="L1301" s="10">
        <v>8399.77</v>
      </c>
      <c r="M1301" s="11">
        <v>1679954</v>
      </c>
      <c r="N1301" s="8" t="s">
        <v>16</v>
      </c>
      <c r="O1301" s="8" t="s">
        <v>17</v>
      </c>
      <c r="P1301" s="8" t="s">
        <v>18</v>
      </c>
      <c r="Q1301" s="8" t="s">
        <v>18</v>
      </c>
      <c r="R1301" s="8" t="s">
        <v>2115</v>
      </c>
      <c r="S1301" s="8" t="s">
        <v>2465</v>
      </c>
      <c r="T1301" s="8" t="s">
        <v>2466</v>
      </c>
      <c r="U1301" s="8" t="s">
        <v>2702</v>
      </c>
      <c r="V1301" s="8" t="s">
        <v>1057</v>
      </c>
      <c r="W1301" s="8">
        <f t="shared" si="38"/>
        <v>1</v>
      </c>
      <c r="X1301" s="8">
        <f>K1301*L1301*N1301</f>
        <v>134396.32</v>
      </c>
    </row>
    <row r="1302" spans="1:24" s="8" customFormat="1" ht="41.5" customHeight="1">
      <c r="A1302" s="8" t="s">
        <v>2463</v>
      </c>
      <c r="B1302" s="8" t="s">
        <v>2915</v>
      </c>
      <c r="C1302" s="9">
        <v>45744.6765615162</v>
      </c>
      <c r="D1302" s="8" t="s">
        <v>2056</v>
      </c>
      <c r="E1302" s="8" t="s">
        <v>2057</v>
      </c>
      <c r="F1302" s="8">
        <v>11</v>
      </c>
      <c r="G1302" s="22" t="s">
        <v>1064</v>
      </c>
      <c r="H1302" s="8" t="s">
        <v>1064</v>
      </c>
      <c r="I1302" s="2" t="str">
        <f t="shared" si="39"/>
        <v>Ống uPVC đk 42 NTC</v>
      </c>
      <c r="J1302" s="8" t="s">
        <v>47</v>
      </c>
      <c r="K1302" s="10">
        <v>200</v>
      </c>
      <c r="L1302" s="10">
        <v>12558.07</v>
      </c>
      <c r="M1302" s="11">
        <v>2511614</v>
      </c>
      <c r="N1302" s="8" t="s">
        <v>16</v>
      </c>
      <c r="O1302" s="8" t="s">
        <v>17</v>
      </c>
      <c r="P1302" s="8" t="s">
        <v>18</v>
      </c>
      <c r="Q1302" s="8" t="s">
        <v>18</v>
      </c>
      <c r="R1302" s="8" t="s">
        <v>2115</v>
      </c>
      <c r="S1302" s="8" t="s">
        <v>2465</v>
      </c>
      <c r="T1302" s="8" t="s">
        <v>2466</v>
      </c>
      <c r="U1302" s="8" t="s">
        <v>2702</v>
      </c>
      <c r="V1302" s="8" t="s">
        <v>1057</v>
      </c>
      <c r="W1302" s="8">
        <f t="shared" si="38"/>
        <v>1</v>
      </c>
      <c r="X1302" s="8">
        <f>K1302*L1302*N1302</f>
        <v>200929.12</v>
      </c>
    </row>
    <row r="1303" spans="1:24" s="8" customFormat="1" ht="41.5" customHeight="1">
      <c r="A1303" s="8" t="s">
        <v>2463</v>
      </c>
      <c r="B1303" s="8" t="s">
        <v>2915</v>
      </c>
      <c r="C1303" s="9">
        <v>45744.6765615162</v>
      </c>
      <c r="D1303" s="8" t="s">
        <v>2056</v>
      </c>
      <c r="E1303" s="8" t="s">
        <v>2057</v>
      </c>
      <c r="F1303" s="8">
        <v>12</v>
      </c>
      <c r="G1303" s="22" t="s">
        <v>1065</v>
      </c>
      <c r="H1303" s="8" t="s">
        <v>1065</v>
      </c>
      <c r="I1303" s="2" t="str">
        <f t="shared" si="39"/>
        <v>Ống uPVC đk 48 NTC</v>
      </c>
      <c r="J1303" s="8" t="s">
        <v>47</v>
      </c>
      <c r="K1303" s="10">
        <v>200</v>
      </c>
      <c r="L1303" s="10">
        <v>14720.38</v>
      </c>
      <c r="M1303" s="11">
        <v>2944076</v>
      </c>
      <c r="N1303" s="8" t="s">
        <v>16</v>
      </c>
      <c r="O1303" s="8" t="s">
        <v>17</v>
      </c>
      <c r="P1303" s="8" t="s">
        <v>18</v>
      </c>
      <c r="Q1303" s="8" t="s">
        <v>18</v>
      </c>
      <c r="R1303" s="8" t="s">
        <v>2115</v>
      </c>
      <c r="S1303" s="8" t="s">
        <v>2465</v>
      </c>
      <c r="T1303" s="8" t="s">
        <v>2466</v>
      </c>
      <c r="U1303" s="8" t="s">
        <v>2702</v>
      </c>
      <c r="V1303" s="8" t="s">
        <v>1057</v>
      </c>
      <c r="W1303" s="8">
        <f t="shared" si="38"/>
        <v>1</v>
      </c>
      <c r="X1303" s="8">
        <f>K1303*L1303*N1303</f>
        <v>235526.08000000002</v>
      </c>
    </row>
    <row r="1304" spans="1:24" s="8" customFormat="1" ht="41.5" customHeight="1">
      <c r="A1304" s="8" t="s">
        <v>2463</v>
      </c>
      <c r="B1304" s="8" t="s">
        <v>2915</v>
      </c>
      <c r="C1304" s="9">
        <v>45744.6765615162</v>
      </c>
      <c r="D1304" s="8" t="s">
        <v>2056</v>
      </c>
      <c r="E1304" s="8" t="s">
        <v>2057</v>
      </c>
      <c r="F1304" s="8">
        <v>13</v>
      </c>
      <c r="G1304" s="22" t="s">
        <v>1066</v>
      </c>
      <c r="H1304" s="8" t="s">
        <v>1066</v>
      </c>
      <c r="I1304" s="2" t="str">
        <f t="shared" si="39"/>
        <v>Ống uPVC đk 60 NTC</v>
      </c>
      <c r="J1304" s="8" t="s">
        <v>47</v>
      </c>
      <c r="K1304" s="10">
        <v>200</v>
      </c>
      <c r="L1304" s="10">
        <v>19128.18</v>
      </c>
      <c r="M1304" s="11">
        <v>3825636</v>
      </c>
      <c r="N1304" s="8" t="s">
        <v>16</v>
      </c>
      <c r="O1304" s="8" t="s">
        <v>17</v>
      </c>
      <c r="P1304" s="8" t="s">
        <v>18</v>
      </c>
      <c r="Q1304" s="8" t="s">
        <v>18</v>
      </c>
      <c r="R1304" s="8" t="s">
        <v>2115</v>
      </c>
      <c r="S1304" s="8" t="s">
        <v>2465</v>
      </c>
      <c r="T1304" s="8" t="s">
        <v>2466</v>
      </c>
      <c r="U1304" s="8" t="s">
        <v>2702</v>
      </c>
      <c r="V1304" s="8" t="s">
        <v>1057</v>
      </c>
      <c r="W1304" s="8">
        <f t="shared" si="38"/>
        <v>1</v>
      </c>
      <c r="X1304" s="8">
        <f>K1304*L1304*N1304</f>
        <v>306050.88</v>
      </c>
    </row>
    <row r="1305" spans="1:24" s="8" customFormat="1" ht="41.5" customHeight="1">
      <c r="A1305" s="8" t="s">
        <v>2463</v>
      </c>
      <c r="B1305" s="8" t="s">
        <v>2915</v>
      </c>
      <c r="C1305" s="9">
        <v>45744.6765615162</v>
      </c>
      <c r="D1305" s="8" t="s">
        <v>2056</v>
      </c>
      <c r="E1305" s="8" t="s">
        <v>2057</v>
      </c>
      <c r="F1305" s="8">
        <v>14</v>
      </c>
      <c r="G1305" s="22" t="s">
        <v>1067</v>
      </c>
      <c r="H1305" s="8" t="s">
        <v>1067</v>
      </c>
      <c r="I1305" s="2" t="str">
        <f t="shared" si="39"/>
        <v>Ống uPVC đk 75 NTC</v>
      </c>
      <c r="J1305" s="8" t="s">
        <v>47</v>
      </c>
      <c r="K1305" s="10">
        <v>200</v>
      </c>
      <c r="L1305" s="10">
        <v>26779.45</v>
      </c>
      <c r="M1305" s="11">
        <v>5355890</v>
      </c>
      <c r="N1305" s="8" t="s">
        <v>16</v>
      </c>
      <c r="O1305" s="8" t="s">
        <v>17</v>
      </c>
      <c r="P1305" s="8" t="s">
        <v>18</v>
      </c>
      <c r="Q1305" s="8" t="s">
        <v>18</v>
      </c>
      <c r="R1305" s="8" t="s">
        <v>2115</v>
      </c>
      <c r="S1305" s="8" t="s">
        <v>2465</v>
      </c>
      <c r="T1305" s="8" t="s">
        <v>2466</v>
      </c>
      <c r="U1305" s="8" t="s">
        <v>2702</v>
      </c>
      <c r="V1305" s="8" t="s">
        <v>1057</v>
      </c>
      <c r="W1305" s="8">
        <f t="shared" si="38"/>
        <v>1</v>
      </c>
      <c r="X1305" s="8">
        <f>K1305*L1305*N1305</f>
        <v>428471.2</v>
      </c>
    </row>
    <row r="1306" spans="1:24" s="8" customFormat="1" ht="41.5" customHeight="1">
      <c r="A1306" s="8" t="s">
        <v>2463</v>
      </c>
      <c r="B1306" s="8" t="s">
        <v>2915</v>
      </c>
      <c r="C1306" s="9">
        <v>45744.6765615162</v>
      </c>
      <c r="D1306" s="8" t="s">
        <v>2056</v>
      </c>
      <c r="E1306" s="8" t="s">
        <v>2057</v>
      </c>
      <c r="F1306" s="8">
        <v>15</v>
      </c>
      <c r="G1306" s="22" t="s">
        <v>1068</v>
      </c>
      <c r="H1306" s="8" t="s">
        <v>1068</v>
      </c>
      <c r="I1306" s="2" t="str">
        <f t="shared" si="39"/>
        <v>Ống uPVC đk 90 NTC</v>
      </c>
      <c r="J1306" s="8" t="s">
        <v>47</v>
      </c>
      <c r="K1306" s="10">
        <v>200</v>
      </c>
      <c r="L1306" s="10">
        <v>32684.240000000002</v>
      </c>
      <c r="M1306" s="11">
        <v>6536848</v>
      </c>
      <c r="N1306" s="8" t="s">
        <v>16</v>
      </c>
      <c r="O1306" s="8" t="s">
        <v>17</v>
      </c>
      <c r="P1306" s="8" t="s">
        <v>18</v>
      </c>
      <c r="Q1306" s="8" t="s">
        <v>18</v>
      </c>
      <c r="R1306" s="8" t="s">
        <v>2115</v>
      </c>
      <c r="S1306" s="8" t="s">
        <v>2465</v>
      </c>
      <c r="T1306" s="8" t="s">
        <v>2466</v>
      </c>
      <c r="U1306" s="8" t="s">
        <v>2702</v>
      </c>
      <c r="V1306" s="8" t="s">
        <v>1057</v>
      </c>
      <c r="W1306" s="8">
        <f t="shared" si="38"/>
        <v>1</v>
      </c>
      <c r="X1306" s="8">
        <f>K1306*L1306*N1306</f>
        <v>522947.84000000003</v>
      </c>
    </row>
    <row r="1307" spans="1:24" s="8" customFormat="1" ht="41.5" customHeight="1">
      <c r="A1307" s="8" t="s">
        <v>2463</v>
      </c>
      <c r="B1307" s="8" t="s">
        <v>2915</v>
      </c>
      <c r="C1307" s="9">
        <v>45744.6765615162</v>
      </c>
      <c r="D1307" s="8" t="s">
        <v>2056</v>
      </c>
      <c r="E1307" s="8" t="s">
        <v>2057</v>
      </c>
      <c r="F1307" s="8">
        <v>16</v>
      </c>
      <c r="G1307" s="22" t="s">
        <v>2840</v>
      </c>
      <c r="H1307" s="8" t="s">
        <v>974</v>
      </c>
      <c r="I1307" s="2" t="str">
        <f t="shared" si="39"/>
        <v>Đầu nối cb fun ĐK 110-90 PN6</v>
      </c>
      <c r="J1307" s="8" t="s">
        <v>15</v>
      </c>
      <c r="K1307" s="10">
        <v>50</v>
      </c>
      <c r="L1307" s="10">
        <v>17381.689999999999</v>
      </c>
      <c r="M1307" s="11">
        <v>869085</v>
      </c>
      <c r="N1307" s="8" t="s">
        <v>16</v>
      </c>
      <c r="O1307" s="8" t="s">
        <v>17</v>
      </c>
      <c r="P1307" s="8" t="s">
        <v>18</v>
      </c>
      <c r="Q1307" s="8" t="s">
        <v>18</v>
      </c>
      <c r="R1307" s="8" t="s">
        <v>2115</v>
      </c>
      <c r="S1307" s="8" t="s">
        <v>2465</v>
      </c>
      <c r="T1307" s="8" t="s">
        <v>2466</v>
      </c>
      <c r="U1307" s="8" t="s">
        <v>2702</v>
      </c>
      <c r="V1307" s="8" t="s">
        <v>1057</v>
      </c>
      <c r="W1307" s="8">
        <f t="shared" si="38"/>
        <v>1</v>
      </c>
      <c r="X1307" s="8">
        <f>K1307*L1307*N1307</f>
        <v>69526.759999999995</v>
      </c>
    </row>
    <row r="1308" spans="1:24" s="8" customFormat="1" ht="41.5" customHeight="1">
      <c r="A1308" s="8" t="s">
        <v>2463</v>
      </c>
      <c r="B1308" s="8" t="s">
        <v>2915</v>
      </c>
      <c r="C1308" s="9">
        <v>45744.6765615162</v>
      </c>
      <c r="D1308" s="8" t="s">
        <v>2056</v>
      </c>
      <c r="E1308" s="8" t="s">
        <v>2057</v>
      </c>
      <c r="F1308" s="8">
        <v>17</v>
      </c>
      <c r="G1308" s="22" t="s">
        <v>1069</v>
      </c>
      <c r="H1308" s="8" t="s">
        <v>1069</v>
      </c>
      <c r="I1308" s="2" t="str">
        <f t="shared" si="39"/>
        <v>Đầu nối cb ĐK 90-75</v>
      </c>
      <c r="J1308" s="8" t="s">
        <v>15</v>
      </c>
      <c r="K1308" s="10">
        <v>50</v>
      </c>
      <c r="L1308" s="10">
        <v>11892.74</v>
      </c>
      <c r="M1308" s="11">
        <v>594637</v>
      </c>
      <c r="N1308" s="8" t="s">
        <v>16</v>
      </c>
      <c r="O1308" s="8" t="s">
        <v>17</v>
      </c>
      <c r="P1308" s="8" t="s">
        <v>18</v>
      </c>
      <c r="Q1308" s="8" t="s">
        <v>18</v>
      </c>
      <c r="R1308" s="8" t="s">
        <v>2115</v>
      </c>
      <c r="S1308" s="8" t="s">
        <v>2465</v>
      </c>
      <c r="T1308" s="8" t="s">
        <v>2466</v>
      </c>
      <c r="U1308" s="8" t="s">
        <v>2702</v>
      </c>
      <c r="V1308" s="8" t="s">
        <v>1057</v>
      </c>
      <c r="W1308" s="8">
        <f t="shared" si="38"/>
        <v>1</v>
      </c>
      <c r="X1308" s="8">
        <f>K1308*L1308*N1308</f>
        <v>47570.96</v>
      </c>
    </row>
    <row r="1309" spans="1:24" s="8" customFormat="1" ht="41.5" customHeight="1">
      <c r="A1309" s="8" t="s">
        <v>2463</v>
      </c>
      <c r="B1309" s="8" t="s">
        <v>2915</v>
      </c>
      <c r="C1309" s="9">
        <v>45744.6765615162</v>
      </c>
      <c r="D1309" s="8" t="s">
        <v>2056</v>
      </c>
      <c r="E1309" s="8" t="s">
        <v>2057</v>
      </c>
      <c r="F1309" s="8">
        <v>18</v>
      </c>
      <c r="G1309" s="22" t="s">
        <v>1070</v>
      </c>
      <c r="H1309" s="8" t="s">
        <v>1070</v>
      </c>
      <c r="I1309" s="2" t="str">
        <f t="shared" si="39"/>
        <v>Đầu nối cb ĐK 75-60PN8</v>
      </c>
      <c r="J1309" s="8" t="s">
        <v>15</v>
      </c>
      <c r="K1309" s="10">
        <v>50</v>
      </c>
      <c r="L1309" s="10">
        <v>8067.1</v>
      </c>
      <c r="M1309" s="11">
        <v>403355</v>
      </c>
      <c r="N1309" s="8" t="s">
        <v>16</v>
      </c>
      <c r="O1309" s="8" t="s">
        <v>17</v>
      </c>
      <c r="P1309" s="8" t="s">
        <v>18</v>
      </c>
      <c r="Q1309" s="8" t="s">
        <v>18</v>
      </c>
      <c r="R1309" s="8" t="s">
        <v>2115</v>
      </c>
      <c r="S1309" s="8" t="s">
        <v>2465</v>
      </c>
      <c r="T1309" s="8" t="s">
        <v>2466</v>
      </c>
      <c r="U1309" s="8" t="s">
        <v>2702</v>
      </c>
      <c r="V1309" s="8" t="s">
        <v>1057</v>
      </c>
      <c r="W1309" s="8">
        <f t="shared" ref="W1309:W1372" si="40">ROUNDUP(MONTH(V1309)/3,0)</f>
        <v>1</v>
      </c>
      <c r="X1309" s="8">
        <f>K1309*L1309*N1309</f>
        <v>32268.400000000001</v>
      </c>
    </row>
    <row r="1310" spans="1:24" s="8" customFormat="1" ht="41.5" customHeight="1">
      <c r="A1310" s="8" t="s">
        <v>2463</v>
      </c>
      <c r="B1310" s="8" t="s">
        <v>2915</v>
      </c>
      <c r="C1310" s="9">
        <v>45744.6765615162</v>
      </c>
      <c r="D1310" s="8" t="s">
        <v>2056</v>
      </c>
      <c r="E1310" s="8" t="s">
        <v>2057</v>
      </c>
      <c r="F1310" s="8">
        <v>19</v>
      </c>
      <c r="G1310" s="22" t="s">
        <v>1071</v>
      </c>
      <c r="H1310" s="8" t="s">
        <v>1071</v>
      </c>
      <c r="I1310" s="2" t="str">
        <f t="shared" si="39"/>
        <v>Đầu nối cb ĐK 60-48PN8</v>
      </c>
      <c r="J1310" s="8" t="s">
        <v>15</v>
      </c>
      <c r="K1310" s="10">
        <v>50</v>
      </c>
      <c r="L1310" s="10">
        <v>5156.29</v>
      </c>
      <c r="M1310" s="11">
        <v>257815</v>
      </c>
      <c r="N1310" s="8" t="s">
        <v>16</v>
      </c>
      <c r="O1310" s="8" t="s">
        <v>17</v>
      </c>
      <c r="P1310" s="8" t="s">
        <v>18</v>
      </c>
      <c r="Q1310" s="8" t="s">
        <v>18</v>
      </c>
      <c r="R1310" s="8" t="s">
        <v>2115</v>
      </c>
      <c r="S1310" s="8" t="s">
        <v>2465</v>
      </c>
      <c r="T1310" s="8" t="s">
        <v>2466</v>
      </c>
      <c r="U1310" s="8" t="s">
        <v>2702</v>
      </c>
      <c r="V1310" s="8" t="s">
        <v>1057</v>
      </c>
      <c r="W1310" s="8">
        <f t="shared" si="40"/>
        <v>1</v>
      </c>
      <c r="X1310" s="8">
        <f>K1310*L1310*N1310</f>
        <v>20625.16</v>
      </c>
    </row>
    <row r="1311" spans="1:24" s="8" customFormat="1" ht="41.5" customHeight="1">
      <c r="A1311" s="8" t="s">
        <v>2463</v>
      </c>
      <c r="B1311" s="8" t="s">
        <v>2915</v>
      </c>
      <c r="C1311" s="9">
        <v>45744.6765615162</v>
      </c>
      <c r="D1311" s="8" t="s">
        <v>2056</v>
      </c>
      <c r="E1311" s="8" t="s">
        <v>2057</v>
      </c>
      <c r="F1311" s="8">
        <v>20</v>
      </c>
      <c r="G1311" s="22" t="s">
        <v>1072</v>
      </c>
      <c r="H1311" s="8" t="s">
        <v>1072</v>
      </c>
      <c r="I1311" s="2" t="str">
        <f t="shared" si="39"/>
        <v>Đầu nối cb 48-42</v>
      </c>
      <c r="J1311" s="8" t="s">
        <v>15</v>
      </c>
      <c r="K1311" s="10">
        <v>50</v>
      </c>
      <c r="L1311" s="10">
        <v>3243.47</v>
      </c>
      <c r="M1311" s="11">
        <v>162174</v>
      </c>
      <c r="N1311" s="8" t="s">
        <v>16</v>
      </c>
      <c r="O1311" s="8" t="s">
        <v>17</v>
      </c>
      <c r="P1311" s="8" t="s">
        <v>18</v>
      </c>
      <c r="Q1311" s="8" t="s">
        <v>18</v>
      </c>
      <c r="R1311" s="8" t="s">
        <v>2115</v>
      </c>
      <c r="S1311" s="8" t="s">
        <v>2465</v>
      </c>
      <c r="T1311" s="8" t="s">
        <v>2466</v>
      </c>
      <c r="U1311" s="8" t="s">
        <v>2702</v>
      </c>
      <c r="V1311" s="8" t="s">
        <v>1057</v>
      </c>
      <c r="W1311" s="8">
        <f t="shared" si="40"/>
        <v>1</v>
      </c>
      <c r="X1311" s="8">
        <f>K1311*L1311*N1311</f>
        <v>12973.880000000001</v>
      </c>
    </row>
    <row r="1312" spans="1:24" s="8" customFormat="1" ht="41.5" customHeight="1">
      <c r="A1312" s="8" t="s">
        <v>2463</v>
      </c>
      <c r="B1312" s="8" t="s">
        <v>2915</v>
      </c>
      <c r="C1312" s="9">
        <v>45744.6765615162</v>
      </c>
      <c r="D1312" s="8" t="s">
        <v>2056</v>
      </c>
      <c r="E1312" s="8" t="s">
        <v>2057</v>
      </c>
      <c r="F1312" s="8">
        <v>21</v>
      </c>
      <c r="G1312" s="22" t="s">
        <v>1073</v>
      </c>
      <c r="H1312" s="8" t="s">
        <v>1073</v>
      </c>
      <c r="I1312" s="2" t="str">
        <f t="shared" si="39"/>
        <v>Đầu nối cb 42-34</v>
      </c>
      <c r="J1312" s="8" t="s">
        <v>15</v>
      </c>
      <c r="K1312" s="10">
        <v>50</v>
      </c>
      <c r="L1312" s="10">
        <v>2411.81</v>
      </c>
      <c r="M1312" s="11">
        <v>120591</v>
      </c>
      <c r="N1312" s="8" t="s">
        <v>16</v>
      </c>
      <c r="O1312" s="8" t="s">
        <v>17</v>
      </c>
      <c r="P1312" s="8" t="s">
        <v>18</v>
      </c>
      <c r="Q1312" s="8" t="s">
        <v>18</v>
      </c>
      <c r="R1312" s="8" t="s">
        <v>2115</v>
      </c>
      <c r="S1312" s="8" t="s">
        <v>2465</v>
      </c>
      <c r="T1312" s="8" t="s">
        <v>2466</v>
      </c>
      <c r="U1312" s="8" t="s">
        <v>2702</v>
      </c>
      <c r="V1312" s="8" t="s">
        <v>1057</v>
      </c>
      <c r="W1312" s="8">
        <f t="shared" si="40"/>
        <v>1</v>
      </c>
      <c r="X1312" s="8">
        <f>K1312*L1312*N1312</f>
        <v>9647.24</v>
      </c>
    </row>
    <row r="1313" spans="1:24" s="8" customFormat="1" ht="41.5" customHeight="1">
      <c r="A1313" s="8" t="s">
        <v>2463</v>
      </c>
      <c r="B1313" s="8" t="s">
        <v>2915</v>
      </c>
      <c r="C1313" s="9">
        <v>45744.6765615162</v>
      </c>
      <c r="D1313" s="8" t="s">
        <v>2056</v>
      </c>
      <c r="E1313" s="8" t="s">
        <v>2057</v>
      </c>
      <c r="F1313" s="8">
        <v>22</v>
      </c>
      <c r="G1313" s="22" t="s">
        <v>1074</v>
      </c>
      <c r="H1313" s="8" t="s">
        <v>1074</v>
      </c>
      <c r="I1313" s="2" t="str">
        <f t="shared" si="39"/>
        <v>Đầu nối cb 34-27</v>
      </c>
      <c r="J1313" s="8" t="s">
        <v>15</v>
      </c>
      <c r="K1313" s="10">
        <v>50</v>
      </c>
      <c r="L1313" s="10">
        <v>1829.65</v>
      </c>
      <c r="M1313" s="11">
        <v>91483</v>
      </c>
      <c r="N1313" s="8" t="s">
        <v>16</v>
      </c>
      <c r="O1313" s="8" t="s">
        <v>17</v>
      </c>
      <c r="P1313" s="8" t="s">
        <v>18</v>
      </c>
      <c r="Q1313" s="8" t="s">
        <v>18</v>
      </c>
      <c r="R1313" s="8" t="s">
        <v>2115</v>
      </c>
      <c r="S1313" s="8" t="s">
        <v>2465</v>
      </c>
      <c r="T1313" s="8" t="s">
        <v>2466</v>
      </c>
      <c r="U1313" s="8" t="s">
        <v>2702</v>
      </c>
      <c r="V1313" s="8" t="s">
        <v>1057</v>
      </c>
      <c r="W1313" s="8">
        <f t="shared" si="40"/>
        <v>1</v>
      </c>
      <c r="X1313" s="8">
        <f>K1313*L1313*N1313</f>
        <v>7318.6</v>
      </c>
    </row>
    <row r="1314" spans="1:24" s="8" customFormat="1" ht="41.5" customHeight="1">
      <c r="A1314" s="8" t="s">
        <v>2463</v>
      </c>
      <c r="B1314" s="8" t="s">
        <v>2915</v>
      </c>
      <c r="C1314" s="9">
        <v>45744.6765615162</v>
      </c>
      <c r="D1314" s="8" t="s">
        <v>2056</v>
      </c>
      <c r="E1314" s="8" t="s">
        <v>2057</v>
      </c>
      <c r="F1314" s="8">
        <v>23</v>
      </c>
      <c r="G1314" s="22" t="s">
        <v>1075</v>
      </c>
      <c r="H1314" s="8" t="s">
        <v>1075</v>
      </c>
      <c r="I1314" s="2" t="str">
        <f t="shared" si="39"/>
        <v>Đầu nối cb 27-21</v>
      </c>
      <c r="J1314" s="8" t="s">
        <v>15</v>
      </c>
      <c r="K1314" s="10">
        <v>50</v>
      </c>
      <c r="L1314" s="10">
        <v>997.99</v>
      </c>
      <c r="M1314" s="11">
        <v>49900</v>
      </c>
      <c r="N1314" s="8" t="s">
        <v>16</v>
      </c>
      <c r="O1314" s="8" t="s">
        <v>17</v>
      </c>
      <c r="P1314" s="8" t="s">
        <v>18</v>
      </c>
      <c r="Q1314" s="8" t="s">
        <v>18</v>
      </c>
      <c r="R1314" s="8" t="s">
        <v>2115</v>
      </c>
      <c r="S1314" s="8" t="s">
        <v>2465</v>
      </c>
      <c r="T1314" s="8" t="s">
        <v>2466</v>
      </c>
      <c r="U1314" s="8" t="s">
        <v>2702</v>
      </c>
      <c r="V1314" s="8" t="s">
        <v>1057</v>
      </c>
      <c r="W1314" s="8">
        <f t="shared" si="40"/>
        <v>1</v>
      </c>
      <c r="X1314" s="8">
        <f>K1314*L1314*N1314</f>
        <v>3991.96</v>
      </c>
    </row>
    <row r="1315" spans="1:24" s="8" customFormat="1" ht="41.5" customHeight="1">
      <c r="A1315" s="8" t="s">
        <v>2463</v>
      </c>
      <c r="B1315" s="8" t="s">
        <v>2915</v>
      </c>
      <c r="C1315" s="9">
        <v>45744.6765615162</v>
      </c>
      <c r="D1315" s="8" t="s">
        <v>2056</v>
      </c>
      <c r="E1315" s="8" t="s">
        <v>2057</v>
      </c>
      <c r="F1315" s="8">
        <v>24</v>
      </c>
      <c r="G1315" s="22" t="s">
        <v>1076</v>
      </c>
      <c r="H1315" s="8" t="s">
        <v>1076</v>
      </c>
      <c r="I1315" s="2" t="str">
        <f t="shared" si="39"/>
        <v>Ba chạc 90 độ cb fun 110-90</v>
      </c>
      <c r="J1315" s="8" t="s">
        <v>15</v>
      </c>
      <c r="K1315" s="10">
        <v>50</v>
      </c>
      <c r="L1315" s="10">
        <v>44493.81</v>
      </c>
      <c r="M1315" s="11">
        <v>2224691</v>
      </c>
      <c r="N1315" s="8" t="s">
        <v>16</v>
      </c>
      <c r="O1315" s="8" t="s">
        <v>17</v>
      </c>
      <c r="P1315" s="8" t="s">
        <v>18</v>
      </c>
      <c r="Q1315" s="8" t="s">
        <v>18</v>
      </c>
      <c r="R1315" s="8" t="s">
        <v>2115</v>
      </c>
      <c r="S1315" s="8" t="s">
        <v>2465</v>
      </c>
      <c r="T1315" s="8" t="s">
        <v>2466</v>
      </c>
      <c r="U1315" s="8" t="s">
        <v>2702</v>
      </c>
      <c r="V1315" s="8" t="s">
        <v>1057</v>
      </c>
      <c r="W1315" s="8">
        <f t="shared" si="40"/>
        <v>1</v>
      </c>
      <c r="X1315" s="8">
        <f>K1315*L1315*N1315</f>
        <v>177975.24</v>
      </c>
    </row>
    <row r="1316" spans="1:24" s="8" customFormat="1" ht="41.5" customHeight="1">
      <c r="A1316" s="8" t="s">
        <v>2463</v>
      </c>
      <c r="B1316" s="8" t="s">
        <v>2915</v>
      </c>
      <c r="C1316" s="9">
        <v>45744.6765615162</v>
      </c>
      <c r="D1316" s="8" t="s">
        <v>2056</v>
      </c>
      <c r="E1316" s="8" t="s">
        <v>2057</v>
      </c>
      <c r="F1316" s="8">
        <v>25</v>
      </c>
      <c r="G1316" s="22" t="s">
        <v>1077</v>
      </c>
      <c r="H1316" s="8" t="s">
        <v>1077</v>
      </c>
      <c r="I1316" s="2" t="str">
        <f t="shared" si="39"/>
        <v>Ba chạc 90 độ cb fun 60-48</v>
      </c>
      <c r="J1316" s="8" t="s">
        <v>15</v>
      </c>
      <c r="K1316" s="10">
        <v>50</v>
      </c>
      <c r="L1316" s="10">
        <v>11061.08</v>
      </c>
      <c r="M1316" s="11">
        <v>553054</v>
      </c>
      <c r="N1316" s="8" t="s">
        <v>16</v>
      </c>
      <c r="O1316" s="8" t="s">
        <v>17</v>
      </c>
      <c r="P1316" s="8" t="s">
        <v>18</v>
      </c>
      <c r="Q1316" s="8" t="s">
        <v>18</v>
      </c>
      <c r="R1316" s="8" t="s">
        <v>2115</v>
      </c>
      <c r="S1316" s="8" t="s">
        <v>2465</v>
      </c>
      <c r="T1316" s="8" t="s">
        <v>2466</v>
      </c>
      <c r="U1316" s="8" t="s">
        <v>2702</v>
      </c>
      <c r="V1316" s="8" t="s">
        <v>1057</v>
      </c>
      <c r="W1316" s="8">
        <f t="shared" si="40"/>
        <v>1</v>
      </c>
      <c r="X1316" s="8">
        <f>K1316*L1316*N1316</f>
        <v>44244.32</v>
      </c>
    </row>
    <row r="1317" spans="1:24" s="8" customFormat="1" ht="41.5" customHeight="1">
      <c r="A1317" s="8" t="s">
        <v>2463</v>
      </c>
      <c r="B1317" s="8" t="s">
        <v>2915</v>
      </c>
      <c r="C1317" s="9">
        <v>45744.6765615162</v>
      </c>
      <c r="D1317" s="8" t="s">
        <v>2056</v>
      </c>
      <c r="E1317" s="8" t="s">
        <v>2057</v>
      </c>
      <c r="F1317" s="8">
        <v>26</v>
      </c>
      <c r="G1317" s="22" t="s">
        <v>1078</v>
      </c>
      <c r="H1317" s="8" t="s">
        <v>1078</v>
      </c>
      <c r="I1317" s="2" t="str">
        <f t="shared" si="39"/>
        <v>Ba chạc 90 độ cb fun 42-34</v>
      </c>
      <c r="J1317" s="8" t="s">
        <v>15</v>
      </c>
      <c r="K1317" s="10">
        <v>50</v>
      </c>
      <c r="L1317" s="10">
        <v>5156.29</v>
      </c>
      <c r="M1317" s="11">
        <v>257815</v>
      </c>
      <c r="N1317" s="8" t="s">
        <v>16</v>
      </c>
      <c r="O1317" s="8" t="s">
        <v>17</v>
      </c>
      <c r="P1317" s="8" t="s">
        <v>18</v>
      </c>
      <c r="Q1317" s="8" t="s">
        <v>18</v>
      </c>
      <c r="R1317" s="8" t="s">
        <v>2115</v>
      </c>
      <c r="S1317" s="8" t="s">
        <v>2465</v>
      </c>
      <c r="T1317" s="8" t="s">
        <v>2466</v>
      </c>
      <c r="U1317" s="8" t="s">
        <v>2702</v>
      </c>
      <c r="V1317" s="8" t="s">
        <v>1057</v>
      </c>
      <c r="W1317" s="8">
        <f t="shared" si="40"/>
        <v>1</v>
      </c>
      <c r="X1317" s="8">
        <f>K1317*L1317*N1317</f>
        <v>20625.16</v>
      </c>
    </row>
    <row r="1318" spans="1:24" s="8" customFormat="1" ht="41.5" customHeight="1">
      <c r="A1318" s="8" t="s">
        <v>2463</v>
      </c>
      <c r="B1318" s="8" t="s">
        <v>2915</v>
      </c>
      <c r="C1318" s="9">
        <v>45744.6765615162</v>
      </c>
      <c r="D1318" s="8" t="s">
        <v>2056</v>
      </c>
      <c r="E1318" s="8" t="s">
        <v>2057</v>
      </c>
      <c r="F1318" s="8">
        <v>27</v>
      </c>
      <c r="G1318" s="22" t="s">
        <v>2918</v>
      </c>
      <c r="H1318" s="8" t="s">
        <v>1079</v>
      </c>
      <c r="I1318" s="2" t="str">
        <f t="shared" si="39"/>
        <v>Ba chạc 90 độ phun uPVC DN 34-27 (T-10)</v>
      </c>
      <c r="J1318" s="8" t="s">
        <v>15</v>
      </c>
      <c r="K1318" s="10">
        <v>50</v>
      </c>
      <c r="L1318" s="10">
        <v>3160.31</v>
      </c>
      <c r="M1318" s="11">
        <v>158016</v>
      </c>
      <c r="N1318" s="8" t="s">
        <v>16</v>
      </c>
      <c r="O1318" s="8" t="s">
        <v>17</v>
      </c>
      <c r="P1318" s="8" t="s">
        <v>18</v>
      </c>
      <c r="Q1318" s="8" t="s">
        <v>18</v>
      </c>
      <c r="R1318" s="8" t="s">
        <v>2115</v>
      </c>
      <c r="S1318" s="8" t="s">
        <v>2465</v>
      </c>
      <c r="T1318" s="8" t="s">
        <v>2466</v>
      </c>
      <c r="U1318" s="8" t="s">
        <v>2702</v>
      </c>
      <c r="V1318" s="8" t="s">
        <v>1057</v>
      </c>
      <c r="W1318" s="8">
        <f t="shared" si="40"/>
        <v>1</v>
      </c>
      <c r="X1318" s="8">
        <f>K1318*L1318*N1318</f>
        <v>12641.24</v>
      </c>
    </row>
    <row r="1319" spans="1:24" s="8" customFormat="1" ht="41.5" customHeight="1">
      <c r="A1319" s="8" t="s">
        <v>2463</v>
      </c>
      <c r="B1319" s="8" t="s">
        <v>2915</v>
      </c>
      <c r="C1319" s="9">
        <v>45744.6765615162</v>
      </c>
      <c r="D1319" s="8" t="s">
        <v>2056</v>
      </c>
      <c r="E1319" s="8" t="s">
        <v>2057</v>
      </c>
      <c r="F1319" s="8">
        <v>28</v>
      </c>
      <c r="G1319" s="22" t="s">
        <v>1080</v>
      </c>
      <c r="H1319" s="8" t="s">
        <v>1080</v>
      </c>
      <c r="I1319" s="2" t="str">
        <f t="shared" si="39"/>
        <v>Ba chạc 90 độ cb fun 27-21</v>
      </c>
      <c r="J1319" s="8" t="s">
        <v>15</v>
      </c>
      <c r="K1319" s="10">
        <v>50</v>
      </c>
      <c r="L1319" s="10">
        <v>2245.48</v>
      </c>
      <c r="M1319" s="11">
        <v>112274</v>
      </c>
      <c r="N1319" s="8" t="s">
        <v>16</v>
      </c>
      <c r="O1319" s="8" t="s">
        <v>17</v>
      </c>
      <c r="P1319" s="8" t="s">
        <v>18</v>
      </c>
      <c r="Q1319" s="8" t="s">
        <v>18</v>
      </c>
      <c r="R1319" s="8" t="s">
        <v>2115</v>
      </c>
      <c r="S1319" s="8" t="s">
        <v>2465</v>
      </c>
      <c r="T1319" s="8" t="s">
        <v>2466</v>
      </c>
      <c r="U1319" s="8" t="s">
        <v>2702</v>
      </c>
      <c r="V1319" s="8" t="s">
        <v>1057</v>
      </c>
      <c r="W1319" s="8">
        <f t="shared" si="40"/>
        <v>1</v>
      </c>
      <c r="X1319" s="8">
        <f>K1319*L1319*N1319</f>
        <v>8981.92</v>
      </c>
    </row>
    <row r="1320" spans="1:24" s="8" customFormat="1" ht="41.5" customHeight="1">
      <c r="A1320" s="8" t="s">
        <v>2463</v>
      </c>
      <c r="B1320" s="8" t="s">
        <v>2915</v>
      </c>
      <c r="C1320" s="9">
        <v>45744.6765615162</v>
      </c>
      <c r="D1320" s="8" t="s">
        <v>2056</v>
      </c>
      <c r="E1320" s="8" t="s">
        <v>2057</v>
      </c>
      <c r="F1320" s="8">
        <v>29</v>
      </c>
      <c r="G1320" s="22" t="s">
        <v>1623</v>
      </c>
      <c r="H1320" s="8" t="s">
        <v>1081</v>
      </c>
      <c r="I1320" s="2" t="str">
        <f t="shared" si="39"/>
        <v>Măng sông ĐK21</v>
      </c>
      <c r="J1320" s="8" t="s">
        <v>15</v>
      </c>
      <c r="K1320" s="10">
        <v>50</v>
      </c>
      <c r="L1320" s="10">
        <v>1330.66</v>
      </c>
      <c r="M1320" s="11">
        <v>66533</v>
      </c>
      <c r="N1320" s="8" t="s">
        <v>16</v>
      </c>
      <c r="O1320" s="8" t="s">
        <v>17</v>
      </c>
      <c r="P1320" s="8" t="s">
        <v>18</v>
      </c>
      <c r="Q1320" s="8" t="s">
        <v>18</v>
      </c>
      <c r="R1320" s="8" t="s">
        <v>2115</v>
      </c>
      <c r="S1320" s="8" t="s">
        <v>2465</v>
      </c>
      <c r="T1320" s="8" t="s">
        <v>2466</v>
      </c>
      <c r="U1320" s="8" t="s">
        <v>2702</v>
      </c>
      <c r="V1320" s="8" t="s">
        <v>1057</v>
      </c>
      <c r="W1320" s="8">
        <f t="shared" si="40"/>
        <v>1</v>
      </c>
      <c r="X1320" s="8">
        <f>K1320*L1320*N1320</f>
        <v>5322.64</v>
      </c>
    </row>
    <row r="1321" spans="1:24" s="8" customFormat="1" ht="41.5" customHeight="1">
      <c r="A1321" s="8" t="s">
        <v>2463</v>
      </c>
      <c r="B1321" s="8" t="s">
        <v>2915</v>
      </c>
      <c r="C1321" s="9">
        <v>45744.6765615162</v>
      </c>
      <c r="D1321" s="8" t="s">
        <v>2056</v>
      </c>
      <c r="E1321" s="8" t="s">
        <v>2057</v>
      </c>
      <c r="F1321" s="8">
        <v>30</v>
      </c>
      <c r="G1321" s="22" t="s">
        <v>484</v>
      </c>
      <c r="H1321" s="8" t="s">
        <v>484</v>
      </c>
      <c r="I1321" s="2" t="str">
        <f t="shared" si="39"/>
        <v>Nối thẳng fun ĐK 27 PN10</v>
      </c>
      <c r="J1321" s="8" t="s">
        <v>15</v>
      </c>
      <c r="K1321" s="10">
        <v>50</v>
      </c>
      <c r="L1321" s="10">
        <v>1330.66</v>
      </c>
      <c r="M1321" s="11">
        <v>66533</v>
      </c>
      <c r="N1321" s="8" t="s">
        <v>16</v>
      </c>
      <c r="O1321" s="8" t="s">
        <v>17</v>
      </c>
      <c r="P1321" s="8" t="s">
        <v>18</v>
      </c>
      <c r="Q1321" s="8" t="s">
        <v>18</v>
      </c>
      <c r="R1321" s="8" t="s">
        <v>2115</v>
      </c>
      <c r="S1321" s="8" t="s">
        <v>2465</v>
      </c>
      <c r="T1321" s="8" t="s">
        <v>2466</v>
      </c>
      <c r="U1321" s="8" t="s">
        <v>2702</v>
      </c>
      <c r="V1321" s="8" t="s">
        <v>1057</v>
      </c>
      <c r="W1321" s="8">
        <f t="shared" si="40"/>
        <v>1</v>
      </c>
      <c r="X1321" s="8">
        <f>K1321*L1321*N1321</f>
        <v>5322.64</v>
      </c>
    </row>
    <row r="1322" spans="1:24" s="8" customFormat="1" ht="41.5" customHeight="1">
      <c r="A1322" s="8" t="s">
        <v>2463</v>
      </c>
      <c r="B1322" s="8" t="s">
        <v>2915</v>
      </c>
      <c r="C1322" s="9">
        <v>45744.6765615162</v>
      </c>
      <c r="D1322" s="8" t="s">
        <v>2056</v>
      </c>
      <c r="E1322" s="8" t="s">
        <v>2057</v>
      </c>
      <c r="F1322" s="8">
        <v>31</v>
      </c>
      <c r="G1322" s="22" t="s">
        <v>1301</v>
      </c>
      <c r="H1322" s="8" t="s">
        <v>1082</v>
      </c>
      <c r="I1322" s="2" t="str">
        <f t="shared" si="39"/>
        <v>Nối thẳng CB phun uPVC đk 75-34 PN8</v>
      </c>
      <c r="J1322" s="8" t="s">
        <v>15</v>
      </c>
      <c r="K1322" s="10">
        <v>50</v>
      </c>
      <c r="L1322" s="10">
        <v>7651.27</v>
      </c>
      <c r="M1322" s="11">
        <v>382564</v>
      </c>
      <c r="N1322" s="8" t="s">
        <v>16</v>
      </c>
      <c r="O1322" s="8" t="s">
        <v>17</v>
      </c>
      <c r="P1322" s="8" t="s">
        <v>18</v>
      </c>
      <c r="Q1322" s="8" t="s">
        <v>18</v>
      </c>
      <c r="R1322" s="8" t="s">
        <v>2115</v>
      </c>
      <c r="S1322" s="8" t="s">
        <v>2465</v>
      </c>
      <c r="T1322" s="8" t="s">
        <v>2466</v>
      </c>
      <c r="U1322" s="8" t="s">
        <v>2702</v>
      </c>
      <c r="V1322" s="8" t="s">
        <v>1057</v>
      </c>
      <c r="W1322" s="8">
        <f t="shared" si="40"/>
        <v>1</v>
      </c>
      <c r="X1322" s="8">
        <f>K1322*L1322*N1322</f>
        <v>30605.08</v>
      </c>
    </row>
    <row r="1323" spans="1:24" s="8" customFormat="1" ht="41.5" customHeight="1">
      <c r="A1323" s="8" t="s">
        <v>2463</v>
      </c>
      <c r="B1323" s="8" t="s">
        <v>2915</v>
      </c>
      <c r="C1323" s="9">
        <v>45744.6765615162</v>
      </c>
      <c r="D1323" s="8" t="s">
        <v>2056</v>
      </c>
      <c r="E1323" s="8" t="s">
        <v>2057</v>
      </c>
      <c r="F1323" s="8">
        <v>32</v>
      </c>
      <c r="G1323" s="22" t="s">
        <v>1626</v>
      </c>
      <c r="H1323" s="8" t="s">
        <v>1083</v>
      </c>
      <c r="I1323" s="2" t="str">
        <f t="shared" si="39"/>
        <v>Nối thẳng phun uPVC đk 42PN10</v>
      </c>
      <c r="J1323" s="8" t="s">
        <v>15</v>
      </c>
      <c r="K1323" s="10">
        <v>50</v>
      </c>
      <c r="L1323" s="10">
        <v>2578.15</v>
      </c>
      <c r="M1323" s="11">
        <v>128908</v>
      </c>
      <c r="N1323" s="8" t="s">
        <v>16</v>
      </c>
      <c r="O1323" s="8" t="s">
        <v>17</v>
      </c>
      <c r="P1323" s="8" t="s">
        <v>18</v>
      </c>
      <c r="Q1323" s="8" t="s">
        <v>18</v>
      </c>
      <c r="R1323" s="8" t="s">
        <v>2115</v>
      </c>
      <c r="S1323" s="8" t="s">
        <v>2465</v>
      </c>
      <c r="T1323" s="8" t="s">
        <v>2466</v>
      </c>
      <c r="U1323" s="8" t="s">
        <v>2702</v>
      </c>
      <c r="V1323" s="8" t="s">
        <v>1057</v>
      </c>
      <c r="W1323" s="8">
        <f t="shared" si="40"/>
        <v>1</v>
      </c>
      <c r="X1323" s="8">
        <f>K1323*L1323*N1323</f>
        <v>10312.6</v>
      </c>
    </row>
    <row r="1324" spans="1:24" s="8" customFormat="1" ht="41.5" customHeight="1">
      <c r="A1324" s="8" t="s">
        <v>2463</v>
      </c>
      <c r="B1324" s="8" t="s">
        <v>2915</v>
      </c>
      <c r="C1324" s="9">
        <v>45744.6765615162</v>
      </c>
      <c r="D1324" s="8" t="s">
        <v>2056</v>
      </c>
      <c r="E1324" s="8" t="s">
        <v>2057</v>
      </c>
      <c r="F1324" s="8">
        <v>33</v>
      </c>
      <c r="G1324" s="22" t="s">
        <v>2919</v>
      </c>
      <c r="H1324" s="8" t="s">
        <v>1084</v>
      </c>
      <c r="I1324" s="2" t="str">
        <f t="shared" si="39"/>
        <v>Nối thẳng phun ĐK 48 PN10</v>
      </c>
      <c r="J1324" s="8" t="s">
        <v>15</v>
      </c>
      <c r="K1324" s="10">
        <v>30</v>
      </c>
      <c r="L1324" s="10">
        <v>3326.64</v>
      </c>
      <c r="M1324" s="11">
        <v>99799</v>
      </c>
      <c r="N1324" s="8" t="s">
        <v>16</v>
      </c>
      <c r="O1324" s="8" t="s">
        <v>17</v>
      </c>
      <c r="P1324" s="8" t="s">
        <v>18</v>
      </c>
      <c r="Q1324" s="8" t="s">
        <v>18</v>
      </c>
      <c r="R1324" s="8" t="s">
        <v>2115</v>
      </c>
      <c r="S1324" s="8" t="s">
        <v>2465</v>
      </c>
      <c r="T1324" s="8" t="s">
        <v>2466</v>
      </c>
      <c r="U1324" s="8" t="s">
        <v>2702</v>
      </c>
      <c r="V1324" s="8" t="s">
        <v>1057</v>
      </c>
      <c r="W1324" s="8">
        <f t="shared" si="40"/>
        <v>1</v>
      </c>
      <c r="X1324" s="8">
        <f>K1324*L1324*N1324</f>
        <v>7983.9359999999997</v>
      </c>
    </row>
    <row r="1325" spans="1:24" s="8" customFormat="1" ht="41.5" customHeight="1">
      <c r="A1325" s="8" t="s">
        <v>2463</v>
      </c>
      <c r="B1325" s="8" t="s">
        <v>2915</v>
      </c>
      <c r="C1325" s="9">
        <v>45744.6765615162</v>
      </c>
      <c r="D1325" s="8" t="s">
        <v>2056</v>
      </c>
      <c r="E1325" s="8" t="s">
        <v>2057</v>
      </c>
      <c r="F1325" s="8">
        <v>34</v>
      </c>
      <c r="G1325" s="22" t="s">
        <v>1364</v>
      </c>
      <c r="H1325" s="8" t="s">
        <v>1085</v>
      </c>
      <c r="I1325" s="2" t="str">
        <f t="shared" si="39"/>
        <v>Măng sông ĐK60</v>
      </c>
      <c r="J1325" s="8" t="s">
        <v>15</v>
      </c>
      <c r="K1325" s="10">
        <v>30</v>
      </c>
      <c r="L1325" s="10">
        <v>5738.45</v>
      </c>
      <c r="M1325" s="11">
        <v>172154</v>
      </c>
      <c r="N1325" s="8" t="s">
        <v>16</v>
      </c>
      <c r="O1325" s="8" t="s">
        <v>17</v>
      </c>
      <c r="P1325" s="8" t="s">
        <v>18</v>
      </c>
      <c r="Q1325" s="8" t="s">
        <v>18</v>
      </c>
      <c r="R1325" s="8" t="s">
        <v>2115</v>
      </c>
      <c r="S1325" s="8" t="s">
        <v>2465</v>
      </c>
      <c r="T1325" s="8" t="s">
        <v>2466</v>
      </c>
      <c r="U1325" s="8" t="s">
        <v>2702</v>
      </c>
      <c r="V1325" s="8" t="s">
        <v>1057</v>
      </c>
      <c r="W1325" s="8">
        <f t="shared" si="40"/>
        <v>1</v>
      </c>
      <c r="X1325" s="8">
        <f>K1325*L1325*N1325</f>
        <v>13772.28</v>
      </c>
    </row>
    <row r="1326" spans="1:24" s="8" customFormat="1" ht="41.5" customHeight="1">
      <c r="A1326" s="8" t="s">
        <v>2463</v>
      </c>
      <c r="B1326" s="8" t="s">
        <v>2915</v>
      </c>
      <c r="C1326" s="9">
        <v>45744.6765615162</v>
      </c>
      <c r="D1326" s="8" t="s">
        <v>2056</v>
      </c>
      <c r="E1326" s="8" t="s">
        <v>2057</v>
      </c>
      <c r="F1326" s="8">
        <v>35</v>
      </c>
      <c r="G1326" s="22" t="s">
        <v>2920</v>
      </c>
      <c r="H1326" s="8" t="s">
        <v>1086</v>
      </c>
      <c r="I1326" s="2" t="str">
        <f t="shared" si="39"/>
        <v>nối thẳng phun uPVC đk 75 PN8</v>
      </c>
      <c r="J1326" s="8" t="s">
        <v>15</v>
      </c>
      <c r="K1326" s="10">
        <v>30</v>
      </c>
      <c r="L1326" s="10">
        <v>8067.1</v>
      </c>
      <c r="M1326" s="11">
        <v>242013</v>
      </c>
      <c r="N1326" s="8" t="s">
        <v>16</v>
      </c>
      <c r="O1326" s="8" t="s">
        <v>17</v>
      </c>
      <c r="P1326" s="8" t="s">
        <v>18</v>
      </c>
      <c r="Q1326" s="8" t="s">
        <v>18</v>
      </c>
      <c r="R1326" s="8" t="s">
        <v>2115</v>
      </c>
      <c r="S1326" s="8" t="s">
        <v>2465</v>
      </c>
      <c r="T1326" s="8" t="s">
        <v>2466</v>
      </c>
      <c r="U1326" s="8" t="s">
        <v>2702</v>
      </c>
      <c r="V1326" s="8" t="s">
        <v>1057</v>
      </c>
      <c r="W1326" s="8">
        <f t="shared" si="40"/>
        <v>1</v>
      </c>
      <c r="X1326" s="8">
        <f>K1326*L1326*N1326</f>
        <v>19361.04</v>
      </c>
    </row>
    <row r="1327" spans="1:24" s="8" customFormat="1" ht="41.5" customHeight="1">
      <c r="A1327" s="8" t="s">
        <v>2463</v>
      </c>
      <c r="B1327" s="8" t="s">
        <v>2915</v>
      </c>
      <c r="C1327" s="9">
        <v>45744.6765615162</v>
      </c>
      <c r="D1327" s="8" t="s">
        <v>2056</v>
      </c>
      <c r="E1327" s="8" t="s">
        <v>2057</v>
      </c>
      <c r="F1327" s="8">
        <v>36</v>
      </c>
      <c r="G1327" s="22" t="s">
        <v>1490</v>
      </c>
      <c r="H1327" s="8" t="s">
        <v>731</v>
      </c>
      <c r="I1327" s="2" t="str">
        <f t="shared" si="39"/>
        <v>Măng sông ĐK90</v>
      </c>
      <c r="J1327" s="8" t="s">
        <v>15</v>
      </c>
      <c r="K1327" s="10">
        <v>30</v>
      </c>
      <c r="L1327" s="10">
        <v>10645.25</v>
      </c>
      <c r="M1327" s="11">
        <v>319358</v>
      </c>
      <c r="N1327" s="8" t="s">
        <v>16</v>
      </c>
      <c r="O1327" s="8" t="s">
        <v>17</v>
      </c>
      <c r="P1327" s="8" t="s">
        <v>18</v>
      </c>
      <c r="Q1327" s="8" t="s">
        <v>18</v>
      </c>
      <c r="R1327" s="8" t="s">
        <v>2115</v>
      </c>
      <c r="S1327" s="8" t="s">
        <v>2465</v>
      </c>
      <c r="T1327" s="8" t="s">
        <v>2466</v>
      </c>
      <c r="U1327" s="8" t="s">
        <v>2702</v>
      </c>
      <c r="V1327" s="8" t="s">
        <v>1057</v>
      </c>
      <c r="W1327" s="8">
        <f t="shared" si="40"/>
        <v>1</v>
      </c>
      <c r="X1327" s="8">
        <f>K1327*L1327*N1327</f>
        <v>25548.600000000002</v>
      </c>
    </row>
    <row r="1328" spans="1:24" s="8" customFormat="1" ht="41.5" customHeight="1">
      <c r="A1328" s="8" t="s">
        <v>2463</v>
      </c>
      <c r="B1328" s="8" t="s">
        <v>2915</v>
      </c>
      <c r="C1328" s="9">
        <v>45744.6765615162</v>
      </c>
      <c r="D1328" s="8" t="s">
        <v>2056</v>
      </c>
      <c r="E1328" s="8" t="s">
        <v>2057</v>
      </c>
      <c r="F1328" s="8">
        <v>37</v>
      </c>
      <c r="G1328" s="22" t="s">
        <v>2225</v>
      </c>
      <c r="H1328" s="8" t="s">
        <v>1087</v>
      </c>
      <c r="I1328" s="2" t="str">
        <f t="shared" si="39"/>
        <v>măng sông ĐK110</v>
      </c>
      <c r="J1328" s="8" t="s">
        <v>15</v>
      </c>
      <c r="K1328" s="10">
        <v>30</v>
      </c>
      <c r="L1328" s="10">
        <v>13472.89</v>
      </c>
      <c r="M1328" s="11">
        <v>404187</v>
      </c>
      <c r="N1328" s="8" t="s">
        <v>16</v>
      </c>
      <c r="O1328" s="8" t="s">
        <v>17</v>
      </c>
      <c r="P1328" s="8" t="s">
        <v>18</v>
      </c>
      <c r="Q1328" s="8" t="s">
        <v>18</v>
      </c>
      <c r="R1328" s="8" t="s">
        <v>2115</v>
      </c>
      <c r="S1328" s="8" t="s">
        <v>2465</v>
      </c>
      <c r="T1328" s="8" t="s">
        <v>2466</v>
      </c>
      <c r="U1328" s="8" t="s">
        <v>2702</v>
      </c>
      <c r="V1328" s="8" t="s">
        <v>1057</v>
      </c>
      <c r="W1328" s="8">
        <f t="shared" si="40"/>
        <v>1</v>
      </c>
      <c r="X1328" s="8">
        <f>K1328*L1328*N1328</f>
        <v>32334.935999999998</v>
      </c>
    </row>
    <row r="1329" spans="1:24" s="8" customFormat="1" ht="41.5" customHeight="1">
      <c r="A1329" s="8" t="s">
        <v>2463</v>
      </c>
      <c r="B1329" s="8" t="s">
        <v>2915</v>
      </c>
      <c r="C1329" s="9">
        <v>45744.6765615162</v>
      </c>
      <c r="D1329" s="8" t="s">
        <v>2056</v>
      </c>
      <c r="E1329" s="8" t="s">
        <v>2057</v>
      </c>
      <c r="F1329" s="8">
        <v>38</v>
      </c>
      <c r="G1329" s="22" t="s">
        <v>2921</v>
      </c>
      <c r="H1329" s="8" t="s">
        <v>1088</v>
      </c>
      <c r="I1329" s="2" t="str">
        <f t="shared" si="39"/>
        <v>Nối góc 45 độ phun uPVC dk 21 PN10</v>
      </c>
      <c r="J1329" s="8" t="s">
        <v>15</v>
      </c>
      <c r="K1329" s="10">
        <v>50</v>
      </c>
      <c r="L1329" s="10">
        <v>1081.1600000000001</v>
      </c>
      <c r="M1329" s="11">
        <v>54058</v>
      </c>
      <c r="N1329" s="8" t="s">
        <v>16</v>
      </c>
      <c r="O1329" s="8" t="s">
        <v>17</v>
      </c>
      <c r="P1329" s="8" t="s">
        <v>18</v>
      </c>
      <c r="Q1329" s="8" t="s">
        <v>18</v>
      </c>
      <c r="R1329" s="8" t="s">
        <v>2115</v>
      </c>
      <c r="S1329" s="8" t="s">
        <v>2465</v>
      </c>
      <c r="T1329" s="8" t="s">
        <v>2466</v>
      </c>
      <c r="U1329" s="8" t="s">
        <v>2702</v>
      </c>
      <c r="V1329" s="8" t="s">
        <v>1057</v>
      </c>
      <c r="W1329" s="8">
        <f t="shared" si="40"/>
        <v>1</v>
      </c>
      <c r="X1329" s="8">
        <f>K1329*L1329*N1329</f>
        <v>4324.6400000000003</v>
      </c>
    </row>
    <row r="1330" spans="1:24" s="8" customFormat="1" ht="41.5" customHeight="1">
      <c r="A1330" s="8" t="s">
        <v>2463</v>
      </c>
      <c r="B1330" s="8" t="s">
        <v>2915</v>
      </c>
      <c r="C1330" s="9">
        <v>45744.6765615162</v>
      </c>
      <c r="D1330" s="8" t="s">
        <v>2056</v>
      </c>
      <c r="E1330" s="8" t="s">
        <v>2057</v>
      </c>
      <c r="F1330" s="8">
        <v>39</v>
      </c>
      <c r="G1330" s="22" t="s">
        <v>1624</v>
      </c>
      <c r="H1330" s="8" t="s">
        <v>1089</v>
      </c>
      <c r="I1330" s="2" t="str">
        <f t="shared" si="39"/>
        <v>Nối góc 45 độ phun uPVC DN 27 PN10</v>
      </c>
      <c r="J1330" s="8" t="s">
        <v>15</v>
      </c>
      <c r="K1330" s="10">
        <v>50</v>
      </c>
      <c r="L1330" s="10">
        <v>1413.82</v>
      </c>
      <c r="M1330" s="11">
        <v>70691</v>
      </c>
      <c r="N1330" s="8" t="s">
        <v>16</v>
      </c>
      <c r="O1330" s="8" t="s">
        <v>17</v>
      </c>
      <c r="P1330" s="8" t="s">
        <v>18</v>
      </c>
      <c r="Q1330" s="8" t="s">
        <v>18</v>
      </c>
      <c r="R1330" s="8" t="s">
        <v>2115</v>
      </c>
      <c r="S1330" s="8" t="s">
        <v>2465</v>
      </c>
      <c r="T1330" s="8" t="s">
        <v>2466</v>
      </c>
      <c r="U1330" s="8" t="s">
        <v>2702</v>
      </c>
      <c r="V1330" s="8" t="s">
        <v>1057</v>
      </c>
      <c r="W1330" s="8">
        <f t="shared" si="40"/>
        <v>1</v>
      </c>
      <c r="X1330" s="8">
        <f>K1330*L1330*N1330</f>
        <v>5655.28</v>
      </c>
    </row>
    <row r="1331" spans="1:24" s="8" customFormat="1" ht="41.5" customHeight="1">
      <c r="A1331" s="8" t="s">
        <v>2463</v>
      </c>
      <c r="B1331" s="8" t="s">
        <v>2915</v>
      </c>
      <c r="C1331" s="9">
        <v>45744.6765615162</v>
      </c>
      <c r="D1331" s="8" t="s">
        <v>2056</v>
      </c>
      <c r="E1331" s="8" t="s">
        <v>2057</v>
      </c>
      <c r="F1331" s="8">
        <v>40</v>
      </c>
      <c r="G1331" s="22" t="s">
        <v>2922</v>
      </c>
      <c r="H1331" s="8" t="s">
        <v>1090</v>
      </c>
      <c r="I1331" s="2" t="str">
        <f t="shared" si="39"/>
        <v>Nối góc 45 độ phun uPVC DN 34 PN10</v>
      </c>
      <c r="J1331" s="8" t="s">
        <v>15</v>
      </c>
      <c r="K1331" s="10">
        <v>50</v>
      </c>
      <c r="L1331" s="10">
        <v>2162.3200000000002</v>
      </c>
      <c r="M1331" s="11">
        <v>108116</v>
      </c>
      <c r="N1331" s="8" t="s">
        <v>16</v>
      </c>
      <c r="O1331" s="8" t="s">
        <v>17</v>
      </c>
      <c r="P1331" s="8" t="s">
        <v>18</v>
      </c>
      <c r="Q1331" s="8" t="s">
        <v>18</v>
      </c>
      <c r="R1331" s="8" t="s">
        <v>2115</v>
      </c>
      <c r="S1331" s="8" t="s">
        <v>2465</v>
      </c>
      <c r="T1331" s="8" t="s">
        <v>2466</v>
      </c>
      <c r="U1331" s="8" t="s">
        <v>2702</v>
      </c>
      <c r="V1331" s="8" t="s">
        <v>1057</v>
      </c>
      <c r="W1331" s="8">
        <f t="shared" si="40"/>
        <v>1</v>
      </c>
      <c r="X1331" s="8">
        <f>K1331*L1331*N1331</f>
        <v>8649.2800000000007</v>
      </c>
    </row>
    <row r="1332" spans="1:24" s="8" customFormat="1" ht="41.5" customHeight="1">
      <c r="A1332" s="8" t="s">
        <v>2463</v>
      </c>
      <c r="B1332" s="8" t="s">
        <v>2915</v>
      </c>
      <c r="C1332" s="9">
        <v>45744.6765615162</v>
      </c>
      <c r="D1332" s="8" t="s">
        <v>2056</v>
      </c>
      <c r="E1332" s="8" t="s">
        <v>2057</v>
      </c>
      <c r="F1332" s="8">
        <v>41</v>
      </c>
      <c r="G1332" s="22" t="s">
        <v>2923</v>
      </c>
      <c r="H1332" s="8" t="s">
        <v>1091</v>
      </c>
      <c r="I1332" s="2" t="str">
        <f t="shared" si="39"/>
        <v>Nối góc 45 độ phun uPVC DN 42 PN10</v>
      </c>
      <c r="J1332" s="8" t="s">
        <v>15</v>
      </c>
      <c r="K1332" s="10">
        <v>50</v>
      </c>
      <c r="L1332" s="10">
        <v>3243.47</v>
      </c>
      <c r="M1332" s="11">
        <v>162174</v>
      </c>
      <c r="N1332" s="8" t="s">
        <v>16</v>
      </c>
      <c r="O1332" s="8" t="s">
        <v>17</v>
      </c>
      <c r="P1332" s="8" t="s">
        <v>18</v>
      </c>
      <c r="Q1332" s="8" t="s">
        <v>18</v>
      </c>
      <c r="R1332" s="8" t="s">
        <v>2115</v>
      </c>
      <c r="S1332" s="8" t="s">
        <v>2465</v>
      </c>
      <c r="T1332" s="8" t="s">
        <v>2466</v>
      </c>
      <c r="U1332" s="8" t="s">
        <v>2702</v>
      </c>
      <c r="V1332" s="8" t="s">
        <v>1057</v>
      </c>
      <c r="W1332" s="8">
        <f t="shared" si="40"/>
        <v>1</v>
      </c>
      <c r="X1332" s="8">
        <f>K1332*L1332*N1332</f>
        <v>12973.880000000001</v>
      </c>
    </row>
    <row r="1333" spans="1:24" s="8" customFormat="1" ht="41.5" customHeight="1">
      <c r="A1333" s="8" t="s">
        <v>2463</v>
      </c>
      <c r="B1333" s="8" t="s">
        <v>2915</v>
      </c>
      <c r="C1333" s="9">
        <v>45744.6765615162</v>
      </c>
      <c r="D1333" s="8" t="s">
        <v>2056</v>
      </c>
      <c r="E1333" s="8" t="s">
        <v>2057</v>
      </c>
      <c r="F1333" s="8">
        <v>42</v>
      </c>
      <c r="G1333" s="22" t="s">
        <v>1092</v>
      </c>
      <c r="H1333" s="8" t="s">
        <v>1092</v>
      </c>
      <c r="I1333" s="2" t="str">
        <f t="shared" si="39"/>
        <v>Nối góc 45 độ phun uPVC đk 48 PN10</v>
      </c>
      <c r="J1333" s="8" t="s">
        <v>15</v>
      </c>
      <c r="K1333" s="10">
        <v>50</v>
      </c>
      <c r="L1333" s="10">
        <v>5156.29</v>
      </c>
      <c r="M1333" s="11">
        <v>257815</v>
      </c>
      <c r="N1333" s="8" t="s">
        <v>16</v>
      </c>
      <c r="O1333" s="8" t="s">
        <v>17</v>
      </c>
      <c r="P1333" s="8" t="s">
        <v>18</v>
      </c>
      <c r="Q1333" s="8" t="s">
        <v>18</v>
      </c>
      <c r="R1333" s="8" t="s">
        <v>2115</v>
      </c>
      <c r="S1333" s="8" t="s">
        <v>2465</v>
      </c>
      <c r="T1333" s="8" t="s">
        <v>2466</v>
      </c>
      <c r="U1333" s="8" t="s">
        <v>2702</v>
      </c>
      <c r="V1333" s="8" t="s">
        <v>1057</v>
      </c>
      <c r="W1333" s="8">
        <f t="shared" si="40"/>
        <v>1</v>
      </c>
      <c r="X1333" s="8">
        <f>K1333*L1333*N1333</f>
        <v>20625.16</v>
      </c>
    </row>
    <row r="1334" spans="1:24" s="8" customFormat="1" ht="41.5" customHeight="1">
      <c r="A1334" s="8" t="s">
        <v>2463</v>
      </c>
      <c r="B1334" s="8" t="s">
        <v>2915</v>
      </c>
      <c r="C1334" s="9">
        <v>45744.6765615162</v>
      </c>
      <c r="D1334" s="8" t="s">
        <v>2056</v>
      </c>
      <c r="E1334" s="8" t="s">
        <v>2057</v>
      </c>
      <c r="F1334" s="8">
        <v>43</v>
      </c>
      <c r="G1334" s="22" t="s">
        <v>1093</v>
      </c>
      <c r="H1334" s="8" t="s">
        <v>1093</v>
      </c>
      <c r="I1334" s="2" t="str">
        <f t="shared" si="39"/>
        <v>Nối góc 45 độ phun uPVC đk 60 PN8</v>
      </c>
      <c r="J1334" s="8" t="s">
        <v>15</v>
      </c>
      <c r="K1334" s="10">
        <v>50</v>
      </c>
      <c r="L1334" s="10">
        <v>8399.77</v>
      </c>
      <c r="M1334" s="11">
        <v>419989</v>
      </c>
      <c r="N1334" s="8" t="s">
        <v>16</v>
      </c>
      <c r="O1334" s="8" t="s">
        <v>17</v>
      </c>
      <c r="P1334" s="8" t="s">
        <v>18</v>
      </c>
      <c r="Q1334" s="8" t="s">
        <v>18</v>
      </c>
      <c r="R1334" s="8" t="s">
        <v>2115</v>
      </c>
      <c r="S1334" s="8" t="s">
        <v>2465</v>
      </c>
      <c r="T1334" s="8" t="s">
        <v>2466</v>
      </c>
      <c r="U1334" s="8" t="s">
        <v>2702</v>
      </c>
      <c r="V1334" s="8" t="s">
        <v>1057</v>
      </c>
      <c r="W1334" s="8">
        <f t="shared" si="40"/>
        <v>1</v>
      </c>
      <c r="X1334" s="8">
        <f>K1334*L1334*N1334</f>
        <v>33599.08</v>
      </c>
    </row>
    <row r="1335" spans="1:24" s="8" customFormat="1" ht="41.5" customHeight="1">
      <c r="A1335" s="8" t="s">
        <v>2463</v>
      </c>
      <c r="B1335" s="8" t="s">
        <v>2915</v>
      </c>
      <c r="C1335" s="9">
        <v>45744.6765615162</v>
      </c>
      <c r="D1335" s="8" t="s">
        <v>2056</v>
      </c>
      <c r="E1335" s="8" t="s">
        <v>2057</v>
      </c>
      <c r="F1335" s="8">
        <v>44</v>
      </c>
      <c r="G1335" s="22" t="s">
        <v>2843</v>
      </c>
      <c r="H1335" s="8" t="s">
        <v>979</v>
      </c>
      <c r="I1335" s="2" t="str">
        <f t="shared" si="39"/>
        <v>Nối góc 45 đội đk 75 PN8</v>
      </c>
      <c r="J1335" s="8" t="s">
        <v>15</v>
      </c>
      <c r="K1335" s="10">
        <v>50</v>
      </c>
      <c r="L1335" s="10">
        <v>14554.05</v>
      </c>
      <c r="M1335" s="11">
        <v>727703</v>
      </c>
      <c r="N1335" s="8" t="s">
        <v>16</v>
      </c>
      <c r="O1335" s="8" t="s">
        <v>17</v>
      </c>
      <c r="P1335" s="8" t="s">
        <v>18</v>
      </c>
      <c r="Q1335" s="8" t="s">
        <v>18</v>
      </c>
      <c r="R1335" s="8" t="s">
        <v>2115</v>
      </c>
      <c r="S1335" s="8" t="s">
        <v>2465</v>
      </c>
      <c r="T1335" s="8" t="s">
        <v>2466</v>
      </c>
      <c r="U1335" s="8" t="s">
        <v>2702</v>
      </c>
      <c r="V1335" s="8" t="s">
        <v>1057</v>
      </c>
      <c r="W1335" s="8">
        <f t="shared" si="40"/>
        <v>1</v>
      </c>
      <c r="X1335" s="8">
        <f>K1335*L1335*N1335</f>
        <v>58216.200000000004</v>
      </c>
    </row>
    <row r="1336" spans="1:24" s="8" customFormat="1" ht="41.5" customHeight="1">
      <c r="A1336" s="8" t="s">
        <v>2463</v>
      </c>
      <c r="B1336" s="8" t="s">
        <v>2915</v>
      </c>
      <c r="C1336" s="9">
        <v>45744.6765615162</v>
      </c>
      <c r="D1336" s="8" t="s">
        <v>2056</v>
      </c>
      <c r="E1336" s="8" t="s">
        <v>2057</v>
      </c>
      <c r="F1336" s="8">
        <v>45</v>
      </c>
      <c r="G1336" s="22" t="s">
        <v>2842</v>
      </c>
      <c r="H1336" s="8" t="s">
        <v>978</v>
      </c>
      <c r="I1336" s="2" t="str">
        <f t="shared" si="39"/>
        <v>Nối góc 45 độ phun uPVC DN 90 PN6</v>
      </c>
      <c r="J1336" s="8" t="s">
        <v>15</v>
      </c>
      <c r="K1336" s="10">
        <v>50</v>
      </c>
      <c r="L1336" s="10">
        <v>19045.009999999998</v>
      </c>
      <c r="M1336" s="11">
        <v>952251</v>
      </c>
      <c r="N1336" s="8" t="s">
        <v>16</v>
      </c>
      <c r="O1336" s="8" t="s">
        <v>17</v>
      </c>
      <c r="P1336" s="8" t="s">
        <v>18</v>
      </c>
      <c r="Q1336" s="8" t="s">
        <v>18</v>
      </c>
      <c r="R1336" s="8" t="s">
        <v>2115</v>
      </c>
      <c r="S1336" s="8" t="s">
        <v>2465</v>
      </c>
      <c r="T1336" s="8" t="s">
        <v>2466</v>
      </c>
      <c r="U1336" s="8" t="s">
        <v>2702</v>
      </c>
      <c r="V1336" s="8" t="s">
        <v>1057</v>
      </c>
      <c r="W1336" s="8">
        <f t="shared" si="40"/>
        <v>1</v>
      </c>
      <c r="X1336" s="8">
        <f>K1336*L1336*N1336</f>
        <v>76180.039999999994</v>
      </c>
    </row>
    <row r="1337" spans="1:24" s="8" customFormat="1" ht="41.5" customHeight="1">
      <c r="A1337" s="8" t="s">
        <v>2463</v>
      </c>
      <c r="B1337" s="8" t="s">
        <v>2915</v>
      </c>
      <c r="C1337" s="9">
        <v>45744.6765615162</v>
      </c>
      <c r="D1337" s="8" t="s">
        <v>2056</v>
      </c>
      <c r="E1337" s="8" t="s">
        <v>2057</v>
      </c>
      <c r="F1337" s="8">
        <v>46</v>
      </c>
      <c r="G1337" s="22" t="s">
        <v>1283</v>
      </c>
      <c r="H1337" s="8" t="s">
        <v>977</v>
      </c>
      <c r="I1337" s="2" t="str">
        <f t="shared" si="39"/>
        <v>Nối góc 45 độ DK 110 PN6</v>
      </c>
      <c r="J1337" s="8" t="s">
        <v>15</v>
      </c>
      <c r="K1337" s="10">
        <v>50</v>
      </c>
      <c r="L1337" s="10">
        <v>29108.1</v>
      </c>
      <c r="M1337" s="11">
        <v>1455405</v>
      </c>
      <c r="N1337" s="8" t="s">
        <v>16</v>
      </c>
      <c r="O1337" s="8" t="s">
        <v>17</v>
      </c>
      <c r="P1337" s="8" t="s">
        <v>18</v>
      </c>
      <c r="Q1337" s="8" t="s">
        <v>18</v>
      </c>
      <c r="R1337" s="8" t="s">
        <v>2115</v>
      </c>
      <c r="S1337" s="8" t="s">
        <v>2465</v>
      </c>
      <c r="T1337" s="8" t="s">
        <v>2466</v>
      </c>
      <c r="U1337" s="8" t="s">
        <v>2702</v>
      </c>
      <c r="V1337" s="8" t="s">
        <v>1057</v>
      </c>
      <c r="W1337" s="8">
        <f t="shared" si="40"/>
        <v>1</v>
      </c>
      <c r="X1337" s="8">
        <f>K1337*L1337*N1337</f>
        <v>116432.40000000001</v>
      </c>
    </row>
    <row r="1338" spans="1:24" s="8" customFormat="1" ht="41.5" customHeight="1">
      <c r="A1338" s="8" t="s">
        <v>2463</v>
      </c>
      <c r="B1338" s="8" t="s">
        <v>2915</v>
      </c>
      <c r="C1338" s="9">
        <v>45744.6765615162</v>
      </c>
      <c r="D1338" s="8" t="s">
        <v>2056</v>
      </c>
      <c r="E1338" s="8" t="s">
        <v>2057</v>
      </c>
      <c r="F1338" s="8">
        <v>47</v>
      </c>
      <c r="G1338" s="22" t="s">
        <v>1094</v>
      </c>
      <c r="H1338" s="8" t="s">
        <v>1094</v>
      </c>
      <c r="I1338" s="2" t="str">
        <f t="shared" si="39"/>
        <v>Ba chạc 90 độ fun ĐK 21</v>
      </c>
      <c r="J1338" s="8" t="s">
        <v>15</v>
      </c>
      <c r="K1338" s="10">
        <v>50</v>
      </c>
      <c r="L1338" s="10">
        <v>1746.49</v>
      </c>
      <c r="M1338" s="11">
        <v>87325</v>
      </c>
      <c r="N1338" s="8" t="s">
        <v>16</v>
      </c>
      <c r="O1338" s="8" t="s">
        <v>17</v>
      </c>
      <c r="P1338" s="8" t="s">
        <v>18</v>
      </c>
      <c r="Q1338" s="8" t="s">
        <v>18</v>
      </c>
      <c r="R1338" s="8" t="s">
        <v>2115</v>
      </c>
      <c r="S1338" s="8" t="s">
        <v>2465</v>
      </c>
      <c r="T1338" s="8" t="s">
        <v>2466</v>
      </c>
      <c r="U1338" s="8" t="s">
        <v>2702</v>
      </c>
      <c r="V1338" s="8" t="s">
        <v>1057</v>
      </c>
      <c r="W1338" s="8">
        <f t="shared" si="40"/>
        <v>1</v>
      </c>
      <c r="X1338" s="8">
        <f>K1338*L1338*N1338</f>
        <v>6985.96</v>
      </c>
    </row>
    <row r="1339" spans="1:24" s="8" customFormat="1" ht="41.5" customHeight="1">
      <c r="A1339" s="8" t="s">
        <v>2463</v>
      </c>
      <c r="B1339" s="8" t="s">
        <v>2915</v>
      </c>
      <c r="C1339" s="9">
        <v>45744.6765615162</v>
      </c>
      <c r="D1339" s="8" t="s">
        <v>2056</v>
      </c>
      <c r="E1339" s="8" t="s">
        <v>2057</v>
      </c>
      <c r="F1339" s="8">
        <v>48</v>
      </c>
      <c r="G1339" s="22" t="s">
        <v>1344</v>
      </c>
      <c r="H1339" s="8" t="s">
        <v>1095</v>
      </c>
      <c r="I1339" s="2" t="str">
        <f t="shared" si="39"/>
        <v>Ba chạc 90 độ uPVC DN27 (T-10)</v>
      </c>
      <c r="J1339" s="8" t="s">
        <v>15</v>
      </c>
      <c r="K1339" s="10">
        <v>50</v>
      </c>
      <c r="L1339" s="10">
        <v>2910.81</v>
      </c>
      <c r="M1339" s="11">
        <v>145541</v>
      </c>
      <c r="N1339" s="8" t="s">
        <v>16</v>
      </c>
      <c r="O1339" s="8" t="s">
        <v>17</v>
      </c>
      <c r="P1339" s="8" t="s">
        <v>18</v>
      </c>
      <c r="Q1339" s="8" t="s">
        <v>18</v>
      </c>
      <c r="R1339" s="8" t="s">
        <v>2115</v>
      </c>
      <c r="S1339" s="8" t="s">
        <v>2465</v>
      </c>
      <c r="T1339" s="8" t="s">
        <v>2466</v>
      </c>
      <c r="U1339" s="8" t="s">
        <v>2702</v>
      </c>
      <c r="V1339" s="8" t="s">
        <v>1057</v>
      </c>
      <c r="W1339" s="8">
        <f t="shared" si="40"/>
        <v>1</v>
      </c>
      <c r="X1339" s="8">
        <f>K1339*L1339*N1339</f>
        <v>11643.24</v>
      </c>
    </row>
    <row r="1340" spans="1:24" s="8" customFormat="1" ht="41.5" customHeight="1">
      <c r="A1340" s="8" t="s">
        <v>2463</v>
      </c>
      <c r="B1340" s="8" t="s">
        <v>2915</v>
      </c>
      <c r="C1340" s="9">
        <v>45744.6765615162</v>
      </c>
      <c r="D1340" s="8" t="s">
        <v>2056</v>
      </c>
      <c r="E1340" s="8" t="s">
        <v>2057</v>
      </c>
      <c r="F1340" s="8">
        <v>49</v>
      </c>
      <c r="G1340" s="22" t="s">
        <v>2924</v>
      </c>
      <c r="H1340" s="8" t="s">
        <v>1096</v>
      </c>
      <c r="I1340" s="2" t="str">
        <f t="shared" si="39"/>
        <v>Ba chạc 90 độ uPVC DN34 (T-10)</v>
      </c>
      <c r="J1340" s="8" t="s">
        <v>15</v>
      </c>
      <c r="K1340" s="10">
        <v>50</v>
      </c>
      <c r="L1340" s="10">
        <v>3908.8</v>
      </c>
      <c r="M1340" s="11">
        <v>195440</v>
      </c>
      <c r="N1340" s="8" t="s">
        <v>16</v>
      </c>
      <c r="O1340" s="8" t="s">
        <v>17</v>
      </c>
      <c r="P1340" s="8" t="s">
        <v>18</v>
      </c>
      <c r="Q1340" s="8" t="s">
        <v>18</v>
      </c>
      <c r="R1340" s="8" t="s">
        <v>2115</v>
      </c>
      <c r="S1340" s="8" t="s">
        <v>2465</v>
      </c>
      <c r="T1340" s="8" t="s">
        <v>2466</v>
      </c>
      <c r="U1340" s="8" t="s">
        <v>2702</v>
      </c>
      <c r="V1340" s="8" t="s">
        <v>1057</v>
      </c>
      <c r="W1340" s="8">
        <f t="shared" si="40"/>
        <v>1</v>
      </c>
      <c r="X1340" s="8">
        <f>K1340*L1340*N1340</f>
        <v>15635.2</v>
      </c>
    </row>
    <row r="1341" spans="1:24" s="8" customFormat="1" ht="41.5" customHeight="1">
      <c r="A1341" s="8" t="s">
        <v>2463</v>
      </c>
      <c r="B1341" s="8" t="s">
        <v>2915</v>
      </c>
      <c r="C1341" s="9">
        <v>45744.6765615162</v>
      </c>
      <c r="D1341" s="8" t="s">
        <v>2056</v>
      </c>
      <c r="E1341" s="8" t="s">
        <v>2057</v>
      </c>
      <c r="F1341" s="8">
        <v>50</v>
      </c>
      <c r="G1341" s="22" t="s">
        <v>2925</v>
      </c>
      <c r="H1341" s="8" t="s">
        <v>1097</v>
      </c>
      <c r="I1341" s="2" t="str">
        <f t="shared" ref="I1341:I1404" si="41">G1341</f>
        <v>Ba chạc 90 độ uPVC DN42 (T-10)</v>
      </c>
      <c r="J1341" s="8" t="s">
        <v>15</v>
      </c>
      <c r="K1341" s="10">
        <v>50</v>
      </c>
      <c r="L1341" s="10">
        <v>5572.12</v>
      </c>
      <c r="M1341" s="11">
        <v>278606</v>
      </c>
      <c r="N1341" s="8" t="s">
        <v>16</v>
      </c>
      <c r="O1341" s="8" t="s">
        <v>17</v>
      </c>
      <c r="P1341" s="8" t="s">
        <v>18</v>
      </c>
      <c r="Q1341" s="8" t="s">
        <v>18</v>
      </c>
      <c r="R1341" s="8" t="s">
        <v>2115</v>
      </c>
      <c r="S1341" s="8" t="s">
        <v>2465</v>
      </c>
      <c r="T1341" s="8" t="s">
        <v>2466</v>
      </c>
      <c r="U1341" s="8" t="s">
        <v>2702</v>
      </c>
      <c r="V1341" s="8" t="s">
        <v>1057</v>
      </c>
      <c r="W1341" s="8">
        <f t="shared" si="40"/>
        <v>1</v>
      </c>
      <c r="X1341" s="8">
        <f>K1341*L1341*N1341</f>
        <v>22288.48</v>
      </c>
    </row>
    <row r="1342" spans="1:24" s="8" customFormat="1" ht="41.5" customHeight="1">
      <c r="A1342" s="8" t="s">
        <v>2463</v>
      </c>
      <c r="B1342" s="8" t="s">
        <v>2915</v>
      </c>
      <c r="C1342" s="9">
        <v>45744.6765615162</v>
      </c>
      <c r="D1342" s="8" t="s">
        <v>2056</v>
      </c>
      <c r="E1342" s="8" t="s">
        <v>2057</v>
      </c>
      <c r="F1342" s="8">
        <v>51</v>
      </c>
      <c r="G1342" s="22" t="s">
        <v>151</v>
      </c>
      <c r="H1342" s="8" t="s">
        <v>151</v>
      </c>
      <c r="I1342" s="2" t="str">
        <f t="shared" si="41"/>
        <v>Ba chạc 90 độ fun ĐK 48</v>
      </c>
      <c r="J1342" s="8" t="s">
        <v>15</v>
      </c>
      <c r="K1342" s="10">
        <v>50</v>
      </c>
      <c r="L1342" s="10">
        <v>8316.6</v>
      </c>
      <c r="M1342" s="11">
        <v>415830</v>
      </c>
      <c r="N1342" s="8" t="s">
        <v>16</v>
      </c>
      <c r="O1342" s="8" t="s">
        <v>17</v>
      </c>
      <c r="P1342" s="8" t="s">
        <v>18</v>
      </c>
      <c r="Q1342" s="8" t="s">
        <v>18</v>
      </c>
      <c r="R1342" s="8" t="s">
        <v>2115</v>
      </c>
      <c r="S1342" s="8" t="s">
        <v>2465</v>
      </c>
      <c r="T1342" s="8" t="s">
        <v>2466</v>
      </c>
      <c r="U1342" s="8" t="s">
        <v>2702</v>
      </c>
      <c r="V1342" s="8" t="s">
        <v>1057</v>
      </c>
      <c r="W1342" s="8">
        <f t="shared" si="40"/>
        <v>1</v>
      </c>
      <c r="X1342" s="8">
        <f>K1342*L1342*N1342</f>
        <v>33266.400000000001</v>
      </c>
    </row>
    <row r="1343" spans="1:24" s="8" customFormat="1" ht="41.5" customHeight="1">
      <c r="A1343" s="8" t="s">
        <v>2463</v>
      </c>
      <c r="B1343" s="8" t="s">
        <v>2915</v>
      </c>
      <c r="C1343" s="9">
        <v>45744.6765615162</v>
      </c>
      <c r="D1343" s="8" t="s">
        <v>2056</v>
      </c>
      <c r="E1343" s="8" t="s">
        <v>2057</v>
      </c>
      <c r="F1343" s="8">
        <v>52</v>
      </c>
      <c r="G1343" s="22" t="s">
        <v>1098</v>
      </c>
      <c r="H1343" s="8" t="s">
        <v>1098</v>
      </c>
      <c r="I1343" s="2" t="str">
        <f t="shared" si="41"/>
        <v>Ba chạc 90 độ fun ĐK 60</v>
      </c>
      <c r="J1343" s="8" t="s">
        <v>15</v>
      </c>
      <c r="K1343" s="10">
        <v>50</v>
      </c>
      <c r="L1343" s="10">
        <v>13140.23</v>
      </c>
      <c r="M1343" s="11">
        <v>657012</v>
      </c>
      <c r="N1343" s="8" t="s">
        <v>16</v>
      </c>
      <c r="O1343" s="8" t="s">
        <v>17</v>
      </c>
      <c r="P1343" s="8" t="s">
        <v>18</v>
      </c>
      <c r="Q1343" s="8" t="s">
        <v>18</v>
      </c>
      <c r="R1343" s="8" t="s">
        <v>2115</v>
      </c>
      <c r="S1343" s="8" t="s">
        <v>2465</v>
      </c>
      <c r="T1343" s="8" t="s">
        <v>2466</v>
      </c>
      <c r="U1343" s="8" t="s">
        <v>2702</v>
      </c>
      <c r="V1343" s="8" t="s">
        <v>1057</v>
      </c>
      <c r="W1343" s="8">
        <f t="shared" si="40"/>
        <v>1</v>
      </c>
      <c r="X1343" s="8">
        <f>K1343*L1343*N1343</f>
        <v>52560.92</v>
      </c>
    </row>
    <row r="1344" spans="1:24" s="8" customFormat="1" ht="41.5" customHeight="1">
      <c r="A1344" s="8" t="s">
        <v>2463</v>
      </c>
      <c r="B1344" s="8" t="s">
        <v>2915</v>
      </c>
      <c r="C1344" s="9">
        <v>45744.6765615162</v>
      </c>
      <c r="D1344" s="8" t="s">
        <v>2056</v>
      </c>
      <c r="E1344" s="8" t="s">
        <v>2057</v>
      </c>
      <c r="F1344" s="8">
        <v>53</v>
      </c>
      <c r="G1344" s="22" t="s">
        <v>1570</v>
      </c>
      <c r="H1344" s="8" t="s">
        <v>969</v>
      </c>
      <c r="I1344" s="2" t="str">
        <f t="shared" si="41"/>
        <v>Ba chạc 90 độ fun uPVC đk 75 PN8</v>
      </c>
      <c r="J1344" s="8" t="s">
        <v>15</v>
      </c>
      <c r="K1344" s="10">
        <v>50</v>
      </c>
      <c r="L1344" s="10">
        <v>22371.65</v>
      </c>
      <c r="M1344" s="11">
        <v>1118583</v>
      </c>
      <c r="N1344" s="8" t="s">
        <v>16</v>
      </c>
      <c r="O1344" s="8" t="s">
        <v>17</v>
      </c>
      <c r="P1344" s="8" t="s">
        <v>18</v>
      </c>
      <c r="Q1344" s="8" t="s">
        <v>18</v>
      </c>
      <c r="R1344" s="8" t="s">
        <v>2115</v>
      </c>
      <c r="S1344" s="8" t="s">
        <v>2465</v>
      </c>
      <c r="T1344" s="8" t="s">
        <v>2466</v>
      </c>
      <c r="U1344" s="8" t="s">
        <v>2702</v>
      </c>
      <c r="V1344" s="8" t="s">
        <v>1057</v>
      </c>
      <c r="W1344" s="8">
        <f t="shared" si="40"/>
        <v>1</v>
      </c>
      <c r="X1344" s="8">
        <f>K1344*L1344*N1344</f>
        <v>89486.6</v>
      </c>
    </row>
    <row r="1345" spans="1:24" s="8" customFormat="1" ht="41.5" customHeight="1">
      <c r="A1345" s="8" t="s">
        <v>2463</v>
      </c>
      <c r="B1345" s="8" t="s">
        <v>2915</v>
      </c>
      <c r="C1345" s="9">
        <v>45744.6765615162</v>
      </c>
      <c r="D1345" s="8" t="s">
        <v>2056</v>
      </c>
      <c r="E1345" s="8" t="s">
        <v>2057</v>
      </c>
      <c r="F1345" s="8">
        <v>54</v>
      </c>
      <c r="G1345" s="22" t="s">
        <v>1602</v>
      </c>
      <c r="H1345" s="8" t="s">
        <v>968</v>
      </c>
      <c r="I1345" s="2" t="str">
        <f t="shared" si="41"/>
        <v>Ba chạc 90 độ fun uPVC đk 90 PN6</v>
      </c>
      <c r="J1345" s="8" t="s">
        <v>15</v>
      </c>
      <c r="K1345" s="10">
        <v>50</v>
      </c>
      <c r="L1345" s="10">
        <v>30854.59</v>
      </c>
      <c r="M1345" s="11">
        <v>1542730</v>
      </c>
      <c r="N1345" s="8" t="s">
        <v>16</v>
      </c>
      <c r="O1345" s="8" t="s">
        <v>17</v>
      </c>
      <c r="P1345" s="8" t="s">
        <v>18</v>
      </c>
      <c r="Q1345" s="8" t="s">
        <v>18</v>
      </c>
      <c r="R1345" s="8" t="s">
        <v>2115</v>
      </c>
      <c r="S1345" s="8" t="s">
        <v>2465</v>
      </c>
      <c r="T1345" s="8" t="s">
        <v>2466</v>
      </c>
      <c r="U1345" s="8" t="s">
        <v>2702</v>
      </c>
      <c r="V1345" s="8" t="s">
        <v>1057</v>
      </c>
      <c r="W1345" s="8">
        <f t="shared" si="40"/>
        <v>1</v>
      </c>
      <c r="X1345" s="8">
        <f>K1345*L1345*N1345</f>
        <v>123418.36</v>
      </c>
    </row>
    <row r="1346" spans="1:24" s="8" customFormat="1" ht="41.5" customHeight="1">
      <c r="A1346" s="8" t="s">
        <v>2463</v>
      </c>
      <c r="B1346" s="8" t="s">
        <v>2915</v>
      </c>
      <c r="C1346" s="9">
        <v>45744.6765615162</v>
      </c>
      <c r="D1346" s="8" t="s">
        <v>2056</v>
      </c>
      <c r="E1346" s="8" t="s">
        <v>2057</v>
      </c>
      <c r="F1346" s="8">
        <v>55</v>
      </c>
      <c r="G1346" s="22" t="s">
        <v>2926</v>
      </c>
      <c r="H1346" s="8" t="s">
        <v>1099</v>
      </c>
      <c r="I1346" s="2" t="str">
        <f t="shared" si="41"/>
        <v>TB004HN (val 21 trắng)</v>
      </c>
      <c r="J1346" s="8" t="s">
        <v>15</v>
      </c>
      <c r="K1346" s="10">
        <v>50</v>
      </c>
      <c r="L1346" s="10">
        <v>11187.33</v>
      </c>
      <c r="M1346" s="11">
        <v>559367</v>
      </c>
      <c r="N1346" s="8" t="s">
        <v>16</v>
      </c>
      <c r="O1346" s="8" t="s">
        <v>17</v>
      </c>
      <c r="P1346" s="8" t="s">
        <v>18</v>
      </c>
      <c r="Q1346" s="8" t="s">
        <v>18</v>
      </c>
      <c r="R1346" s="8" t="s">
        <v>2115</v>
      </c>
      <c r="S1346" s="8" t="s">
        <v>2465</v>
      </c>
      <c r="T1346" s="8" t="s">
        <v>2466</v>
      </c>
      <c r="U1346" s="8" t="s">
        <v>2702</v>
      </c>
      <c r="V1346" s="8" t="s">
        <v>1057</v>
      </c>
      <c r="W1346" s="8">
        <f t="shared" si="40"/>
        <v>1</v>
      </c>
      <c r="X1346" s="8">
        <f>K1346*L1346*N1346</f>
        <v>44749.32</v>
      </c>
    </row>
    <row r="1347" spans="1:24" s="8" customFormat="1" ht="41.5" customHeight="1">
      <c r="A1347" s="8" t="s">
        <v>2463</v>
      </c>
      <c r="B1347" s="8" t="s">
        <v>2915</v>
      </c>
      <c r="C1347" s="9">
        <v>45744.6765615162</v>
      </c>
      <c r="D1347" s="8" t="s">
        <v>2056</v>
      </c>
      <c r="E1347" s="8" t="s">
        <v>2057</v>
      </c>
      <c r="F1347" s="8">
        <v>56</v>
      </c>
      <c r="G1347" s="22" t="s">
        <v>1275</v>
      </c>
      <c r="H1347" s="8" t="s">
        <v>1100</v>
      </c>
      <c r="I1347" s="2" t="str">
        <f t="shared" si="41"/>
        <v>TB006HN (val 27 trắng)</v>
      </c>
      <c r="J1347" s="8" t="s">
        <v>15</v>
      </c>
      <c r="K1347" s="10">
        <v>50</v>
      </c>
      <c r="L1347" s="10">
        <v>13952.85</v>
      </c>
      <c r="M1347" s="11">
        <v>697643</v>
      </c>
      <c r="N1347" s="8" t="s">
        <v>16</v>
      </c>
      <c r="O1347" s="8" t="s">
        <v>17</v>
      </c>
      <c r="P1347" s="8" t="s">
        <v>18</v>
      </c>
      <c r="Q1347" s="8" t="s">
        <v>18</v>
      </c>
      <c r="R1347" s="8" t="s">
        <v>2115</v>
      </c>
      <c r="S1347" s="8" t="s">
        <v>2465</v>
      </c>
      <c r="T1347" s="8" t="s">
        <v>2466</v>
      </c>
      <c r="U1347" s="8" t="s">
        <v>2702</v>
      </c>
      <c r="V1347" s="8" t="s">
        <v>1057</v>
      </c>
      <c r="W1347" s="8">
        <f t="shared" si="40"/>
        <v>1</v>
      </c>
      <c r="X1347" s="8">
        <f>K1347*L1347*N1347</f>
        <v>55811.4</v>
      </c>
    </row>
    <row r="1348" spans="1:24" s="8" customFormat="1" ht="41.5" customHeight="1">
      <c r="A1348" s="8" t="s">
        <v>2463</v>
      </c>
      <c r="B1348" s="8" t="s">
        <v>2915</v>
      </c>
      <c r="C1348" s="9">
        <v>45744.6765615162</v>
      </c>
      <c r="D1348" s="8" t="s">
        <v>2056</v>
      </c>
      <c r="E1348" s="8" t="s">
        <v>2057</v>
      </c>
      <c r="F1348" s="8">
        <v>57</v>
      </c>
      <c r="G1348" s="22" t="s">
        <v>2927</v>
      </c>
      <c r="H1348" s="8" t="s">
        <v>1101</v>
      </c>
      <c r="I1348" s="2" t="str">
        <f t="shared" si="41"/>
        <v>TB010HN (val 34 trắng)</v>
      </c>
      <c r="J1348" s="8" t="s">
        <v>15</v>
      </c>
      <c r="K1348" s="10">
        <v>50</v>
      </c>
      <c r="L1348" s="10">
        <v>20929.78</v>
      </c>
      <c r="M1348" s="11">
        <v>1046489</v>
      </c>
      <c r="N1348" s="8" t="s">
        <v>16</v>
      </c>
      <c r="O1348" s="8" t="s">
        <v>17</v>
      </c>
      <c r="P1348" s="8" t="s">
        <v>18</v>
      </c>
      <c r="Q1348" s="8" t="s">
        <v>18</v>
      </c>
      <c r="R1348" s="8" t="s">
        <v>2115</v>
      </c>
      <c r="S1348" s="8" t="s">
        <v>2465</v>
      </c>
      <c r="T1348" s="8" t="s">
        <v>2466</v>
      </c>
      <c r="U1348" s="8" t="s">
        <v>2702</v>
      </c>
      <c r="V1348" s="8" t="s">
        <v>1057</v>
      </c>
      <c r="W1348" s="8">
        <f t="shared" si="40"/>
        <v>1</v>
      </c>
      <c r="X1348" s="8">
        <f>K1348*L1348*N1348</f>
        <v>83719.12</v>
      </c>
    </row>
    <row r="1349" spans="1:24" s="8" customFormat="1" ht="41.5" customHeight="1">
      <c r="A1349" s="8" t="s">
        <v>2463</v>
      </c>
      <c r="B1349" s="8" t="s">
        <v>2915</v>
      </c>
      <c r="C1349" s="9">
        <v>45744.6765615162</v>
      </c>
      <c r="D1349" s="8" t="s">
        <v>2056</v>
      </c>
      <c r="E1349" s="8" t="s">
        <v>2057</v>
      </c>
      <c r="F1349" s="8">
        <v>58</v>
      </c>
      <c r="G1349" s="22" t="s">
        <v>1492</v>
      </c>
      <c r="H1349" s="8" t="s">
        <v>1102</v>
      </c>
      <c r="I1349" s="2" t="str">
        <f t="shared" si="41"/>
        <v>TB012HN (val 42 trắng)</v>
      </c>
      <c r="J1349" s="8" t="s">
        <v>15</v>
      </c>
      <c r="K1349" s="10">
        <v>50</v>
      </c>
      <c r="L1349" s="10">
        <v>32054.98</v>
      </c>
      <c r="M1349" s="11">
        <v>1602749</v>
      </c>
      <c r="N1349" s="8" t="s">
        <v>16</v>
      </c>
      <c r="O1349" s="8" t="s">
        <v>17</v>
      </c>
      <c r="P1349" s="8" t="s">
        <v>18</v>
      </c>
      <c r="Q1349" s="8" t="s">
        <v>18</v>
      </c>
      <c r="R1349" s="8" t="s">
        <v>2115</v>
      </c>
      <c r="S1349" s="8" t="s">
        <v>2465</v>
      </c>
      <c r="T1349" s="8" t="s">
        <v>2466</v>
      </c>
      <c r="U1349" s="8" t="s">
        <v>2702</v>
      </c>
      <c r="V1349" s="8" t="s">
        <v>1057</v>
      </c>
      <c r="W1349" s="8">
        <f t="shared" si="40"/>
        <v>1</v>
      </c>
      <c r="X1349" s="8">
        <f>K1349*L1349*N1349</f>
        <v>128219.92</v>
      </c>
    </row>
    <row r="1350" spans="1:24" s="8" customFormat="1" ht="41.5" customHeight="1">
      <c r="A1350" s="8" t="s">
        <v>2463</v>
      </c>
      <c r="B1350" s="8" t="s">
        <v>2915</v>
      </c>
      <c r="C1350" s="9">
        <v>45744.6765615162</v>
      </c>
      <c r="D1350" s="8" t="s">
        <v>2056</v>
      </c>
      <c r="E1350" s="8" t="s">
        <v>2057</v>
      </c>
      <c r="F1350" s="8">
        <v>59</v>
      </c>
      <c r="G1350" s="22" t="s">
        <v>1256</v>
      </c>
      <c r="H1350" s="8" t="s">
        <v>1103</v>
      </c>
      <c r="I1350" s="2" t="str">
        <f t="shared" si="41"/>
        <v>TB015HN (val 48 trắng)</v>
      </c>
      <c r="J1350" s="8" t="s">
        <v>15</v>
      </c>
      <c r="K1350" s="10">
        <v>50</v>
      </c>
      <c r="L1350" s="10">
        <v>46762.34</v>
      </c>
      <c r="M1350" s="11">
        <v>2338117</v>
      </c>
      <c r="N1350" s="8" t="s">
        <v>16</v>
      </c>
      <c r="O1350" s="8" t="s">
        <v>17</v>
      </c>
      <c r="P1350" s="8" t="s">
        <v>18</v>
      </c>
      <c r="Q1350" s="8" t="s">
        <v>18</v>
      </c>
      <c r="R1350" s="8" t="s">
        <v>2115</v>
      </c>
      <c r="S1350" s="8" t="s">
        <v>2465</v>
      </c>
      <c r="T1350" s="8" t="s">
        <v>2466</v>
      </c>
      <c r="U1350" s="8" t="s">
        <v>2702</v>
      </c>
      <c r="V1350" s="8" t="s">
        <v>1057</v>
      </c>
      <c r="W1350" s="8">
        <f t="shared" si="40"/>
        <v>1</v>
      </c>
      <c r="X1350" s="8">
        <f>K1350*L1350*N1350</f>
        <v>187049.36000000002</v>
      </c>
    </row>
    <row r="1351" spans="1:24" s="8" customFormat="1" ht="41.5" customHeight="1">
      <c r="A1351" s="8" t="s">
        <v>2463</v>
      </c>
      <c r="B1351" s="8" t="s">
        <v>2915</v>
      </c>
      <c r="C1351" s="9">
        <v>45744.6765615162</v>
      </c>
      <c r="D1351" s="8" t="s">
        <v>2056</v>
      </c>
      <c r="E1351" s="8" t="s">
        <v>2057</v>
      </c>
      <c r="F1351" s="8">
        <v>60</v>
      </c>
      <c r="G1351" s="22" t="s">
        <v>1496</v>
      </c>
      <c r="H1351" s="8" t="s">
        <v>1104</v>
      </c>
      <c r="I1351" s="2" t="str">
        <f t="shared" si="41"/>
        <v>TB020HN (val 60 trắng)</v>
      </c>
      <c r="J1351" s="8" t="s">
        <v>15</v>
      </c>
      <c r="K1351" s="10">
        <v>50</v>
      </c>
      <c r="L1351" s="10">
        <v>64235.21</v>
      </c>
      <c r="M1351" s="11">
        <v>3211761</v>
      </c>
      <c r="N1351" s="8" t="s">
        <v>16</v>
      </c>
      <c r="O1351" s="8" t="s">
        <v>17</v>
      </c>
      <c r="P1351" s="8" t="s">
        <v>18</v>
      </c>
      <c r="Q1351" s="8" t="s">
        <v>18</v>
      </c>
      <c r="R1351" s="8" t="s">
        <v>2115</v>
      </c>
      <c r="S1351" s="8" t="s">
        <v>2465</v>
      </c>
      <c r="T1351" s="8" t="s">
        <v>2466</v>
      </c>
      <c r="U1351" s="8" t="s">
        <v>2702</v>
      </c>
      <c r="V1351" s="8" t="s">
        <v>1057</v>
      </c>
      <c r="W1351" s="8">
        <f t="shared" si="40"/>
        <v>1</v>
      </c>
      <c r="X1351" s="8">
        <f>K1351*L1351*N1351</f>
        <v>256940.84</v>
      </c>
    </row>
    <row r="1352" spans="1:24" s="8" customFormat="1" ht="41.5" customHeight="1">
      <c r="A1352" s="8" t="s">
        <v>2463</v>
      </c>
      <c r="B1352" s="8" t="s">
        <v>2915</v>
      </c>
      <c r="C1352" s="9">
        <v>45744.6765615162</v>
      </c>
      <c r="D1352" s="8" t="s">
        <v>2056</v>
      </c>
      <c r="E1352" s="8" t="s">
        <v>2057</v>
      </c>
      <c r="F1352" s="8">
        <v>61</v>
      </c>
      <c r="G1352" s="22" t="s">
        <v>2928</v>
      </c>
      <c r="H1352" s="8" t="s">
        <v>1105</v>
      </c>
      <c r="I1352" s="2" t="str">
        <f t="shared" si="41"/>
        <v>Đầu nối ren ngoài phun uPVC đk 21-1/2" PN10</v>
      </c>
      <c r="J1352" s="8" t="s">
        <v>15</v>
      </c>
      <c r="K1352" s="10">
        <v>50</v>
      </c>
      <c r="L1352" s="10">
        <v>997.99</v>
      </c>
      <c r="M1352" s="11">
        <v>49900</v>
      </c>
      <c r="N1352" s="8" t="s">
        <v>16</v>
      </c>
      <c r="O1352" s="8" t="s">
        <v>17</v>
      </c>
      <c r="P1352" s="8" t="s">
        <v>18</v>
      </c>
      <c r="Q1352" s="8" t="s">
        <v>18</v>
      </c>
      <c r="R1352" s="8" t="s">
        <v>2115</v>
      </c>
      <c r="S1352" s="8" t="s">
        <v>2465</v>
      </c>
      <c r="T1352" s="8" t="s">
        <v>2466</v>
      </c>
      <c r="U1352" s="8" t="s">
        <v>2702</v>
      </c>
      <c r="V1352" s="8" t="s">
        <v>1057</v>
      </c>
      <c r="W1352" s="8">
        <f t="shared" si="40"/>
        <v>1</v>
      </c>
      <c r="X1352" s="8">
        <f>K1352*L1352*N1352</f>
        <v>3991.96</v>
      </c>
    </row>
    <row r="1353" spans="1:24" s="8" customFormat="1" ht="41.5" customHeight="1">
      <c r="A1353" s="8" t="s">
        <v>2463</v>
      </c>
      <c r="B1353" s="8" t="s">
        <v>2915</v>
      </c>
      <c r="C1353" s="9">
        <v>45744.6765615162</v>
      </c>
      <c r="D1353" s="8" t="s">
        <v>2056</v>
      </c>
      <c r="E1353" s="8" t="s">
        <v>2057</v>
      </c>
      <c r="F1353" s="8">
        <v>62</v>
      </c>
      <c r="G1353" s="22" t="s">
        <v>2929</v>
      </c>
      <c r="H1353" s="8" t="s">
        <v>1106</v>
      </c>
      <c r="I1353" s="2" t="str">
        <f t="shared" si="41"/>
        <v>Đầu nối ren ngoài phun uPVC đk 27-/" PN10</v>
      </c>
      <c r="J1353" s="8" t="s">
        <v>15</v>
      </c>
      <c r="K1353" s="10">
        <v>50</v>
      </c>
      <c r="L1353" s="10">
        <v>1247.49</v>
      </c>
      <c r="M1353" s="11">
        <v>62375</v>
      </c>
      <c r="N1353" s="8" t="s">
        <v>16</v>
      </c>
      <c r="O1353" s="8" t="s">
        <v>17</v>
      </c>
      <c r="P1353" s="8" t="s">
        <v>18</v>
      </c>
      <c r="Q1353" s="8" t="s">
        <v>18</v>
      </c>
      <c r="R1353" s="8" t="s">
        <v>2115</v>
      </c>
      <c r="S1353" s="8" t="s">
        <v>2465</v>
      </c>
      <c r="T1353" s="8" t="s">
        <v>2466</v>
      </c>
      <c r="U1353" s="8" t="s">
        <v>2702</v>
      </c>
      <c r="V1353" s="8" t="s">
        <v>1057</v>
      </c>
      <c r="W1353" s="8">
        <f t="shared" si="40"/>
        <v>1</v>
      </c>
      <c r="X1353" s="8">
        <f>K1353*L1353*N1353</f>
        <v>4989.96</v>
      </c>
    </row>
    <row r="1354" spans="1:24" s="8" customFormat="1" ht="41.5" customHeight="1">
      <c r="A1354" s="8" t="s">
        <v>2463</v>
      </c>
      <c r="B1354" s="8" t="s">
        <v>2915</v>
      </c>
      <c r="C1354" s="9">
        <v>45744.6765615162</v>
      </c>
      <c r="D1354" s="8" t="s">
        <v>2056</v>
      </c>
      <c r="E1354" s="8" t="s">
        <v>2057</v>
      </c>
      <c r="F1354" s="8">
        <v>63</v>
      </c>
      <c r="G1354" s="22" t="s">
        <v>1305</v>
      </c>
      <c r="H1354" s="8" t="s">
        <v>1107</v>
      </c>
      <c r="I1354" s="2" t="str">
        <f t="shared" si="41"/>
        <v>Đầu nối ren ngoài phun uPVC đk 34-1" PN10</v>
      </c>
      <c r="J1354" s="8" t="s">
        <v>15</v>
      </c>
      <c r="K1354" s="10">
        <v>50</v>
      </c>
      <c r="L1354" s="10">
        <v>2245.48</v>
      </c>
      <c r="M1354" s="11">
        <v>112274</v>
      </c>
      <c r="N1354" s="8" t="s">
        <v>16</v>
      </c>
      <c r="O1354" s="8" t="s">
        <v>17</v>
      </c>
      <c r="P1354" s="8" t="s">
        <v>18</v>
      </c>
      <c r="Q1354" s="8" t="s">
        <v>18</v>
      </c>
      <c r="R1354" s="8" t="s">
        <v>2115</v>
      </c>
      <c r="S1354" s="8" t="s">
        <v>2465</v>
      </c>
      <c r="T1354" s="8" t="s">
        <v>2466</v>
      </c>
      <c r="U1354" s="8" t="s">
        <v>2702</v>
      </c>
      <c r="V1354" s="8" t="s">
        <v>1057</v>
      </c>
      <c r="W1354" s="8">
        <f t="shared" si="40"/>
        <v>1</v>
      </c>
      <c r="X1354" s="8">
        <f>K1354*L1354*N1354</f>
        <v>8981.92</v>
      </c>
    </row>
    <row r="1355" spans="1:24" s="8" customFormat="1" ht="41.5" customHeight="1">
      <c r="A1355" s="8" t="s">
        <v>2463</v>
      </c>
      <c r="B1355" s="8" t="s">
        <v>2915</v>
      </c>
      <c r="C1355" s="9">
        <v>45744.6765615162</v>
      </c>
      <c r="D1355" s="8" t="s">
        <v>2056</v>
      </c>
      <c r="E1355" s="8" t="s">
        <v>2057</v>
      </c>
      <c r="F1355" s="8">
        <v>64</v>
      </c>
      <c r="G1355" s="22" t="s">
        <v>1441</v>
      </c>
      <c r="H1355" s="8" t="s">
        <v>1108</v>
      </c>
      <c r="I1355" s="2" t="str">
        <f t="shared" si="41"/>
        <v>Đầu nối ren ngoài phun uPVC đk 42-1.1/4"" PN10</v>
      </c>
      <c r="J1355" s="8" t="s">
        <v>15</v>
      </c>
      <c r="K1355" s="10">
        <v>50</v>
      </c>
      <c r="L1355" s="10">
        <v>3160.31</v>
      </c>
      <c r="M1355" s="11">
        <v>158016</v>
      </c>
      <c r="N1355" s="8" t="s">
        <v>16</v>
      </c>
      <c r="O1355" s="8" t="s">
        <v>17</v>
      </c>
      <c r="P1355" s="8" t="s">
        <v>18</v>
      </c>
      <c r="Q1355" s="8" t="s">
        <v>18</v>
      </c>
      <c r="R1355" s="8" t="s">
        <v>2115</v>
      </c>
      <c r="S1355" s="8" t="s">
        <v>2465</v>
      </c>
      <c r="T1355" s="8" t="s">
        <v>2466</v>
      </c>
      <c r="U1355" s="8" t="s">
        <v>2702</v>
      </c>
      <c r="V1355" s="8" t="s">
        <v>1057</v>
      </c>
      <c r="W1355" s="8">
        <f t="shared" si="40"/>
        <v>1</v>
      </c>
      <c r="X1355" s="8">
        <f>K1355*L1355*N1355</f>
        <v>12641.24</v>
      </c>
    </row>
    <row r="1356" spans="1:24" s="8" customFormat="1" ht="41.5" customHeight="1">
      <c r="A1356" s="8" t="s">
        <v>2463</v>
      </c>
      <c r="B1356" s="8" t="s">
        <v>2915</v>
      </c>
      <c r="C1356" s="9">
        <v>45744.6765615162</v>
      </c>
      <c r="D1356" s="8" t="s">
        <v>2056</v>
      </c>
      <c r="E1356" s="8" t="s">
        <v>2057</v>
      </c>
      <c r="F1356" s="8">
        <v>65</v>
      </c>
      <c r="G1356" s="22" t="s">
        <v>1436</v>
      </c>
      <c r="H1356" s="8" t="s">
        <v>1109</v>
      </c>
      <c r="I1356" s="2" t="str">
        <f t="shared" si="41"/>
        <v>Đầu nối ren ngoài phun uPVC đk 48-1.1/2"" PN10</v>
      </c>
      <c r="J1356" s="8" t="s">
        <v>15</v>
      </c>
      <c r="K1356" s="10">
        <v>40</v>
      </c>
      <c r="L1356" s="10">
        <v>4490.96</v>
      </c>
      <c r="M1356" s="11">
        <v>179638</v>
      </c>
      <c r="N1356" s="8" t="s">
        <v>16</v>
      </c>
      <c r="O1356" s="8" t="s">
        <v>17</v>
      </c>
      <c r="P1356" s="8" t="s">
        <v>18</v>
      </c>
      <c r="Q1356" s="8" t="s">
        <v>18</v>
      </c>
      <c r="R1356" s="8" t="s">
        <v>2115</v>
      </c>
      <c r="S1356" s="8" t="s">
        <v>2465</v>
      </c>
      <c r="T1356" s="8" t="s">
        <v>2466</v>
      </c>
      <c r="U1356" s="8" t="s">
        <v>2702</v>
      </c>
      <c r="V1356" s="8" t="s">
        <v>1057</v>
      </c>
      <c r="W1356" s="8">
        <f t="shared" si="40"/>
        <v>1</v>
      </c>
      <c r="X1356" s="8">
        <f>K1356*L1356*N1356</f>
        <v>14371.072</v>
      </c>
    </row>
    <row r="1357" spans="1:24" s="8" customFormat="1" ht="41.5" customHeight="1">
      <c r="A1357" s="8" t="s">
        <v>2463</v>
      </c>
      <c r="B1357" s="8" t="s">
        <v>2915</v>
      </c>
      <c r="C1357" s="9">
        <v>45744.6765615162</v>
      </c>
      <c r="D1357" s="8" t="s">
        <v>2056</v>
      </c>
      <c r="E1357" s="8" t="s">
        <v>2057</v>
      </c>
      <c r="F1357" s="8">
        <v>66</v>
      </c>
      <c r="G1357" s="22" t="s">
        <v>1343</v>
      </c>
      <c r="H1357" s="8" t="s">
        <v>1110</v>
      </c>
      <c r="I1357" s="2" t="str">
        <f t="shared" si="41"/>
        <v>Đầu nối ren ngoài phun uPVC đk 60-2" PN10</v>
      </c>
      <c r="J1357" s="8" t="s">
        <v>15</v>
      </c>
      <c r="K1357" s="10">
        <v>40</v>
      </c>
      <c r="L1357" s="10">
        <v>7152.28</v>
      </c>
      <c r="M1357" s="11">
        <v>286091</v>
      </c>
      <c r="N1357" s="8" t="s">
        <v>16</v>
      </c>
      <c r="O1357" s="8" t="s">
        <v>17</v>
      </c>
      <c r="P1357" s="8" t="s">
        <v>18</v>
      </c>
      <c r="Q1357" s="8" t="s">
        <v>18</v>
      </c>
      <c r="R1357" s="8" t="s">
        <v>2115</v>
      </c>
      <c r="S1357" s="8" t="s">
        <v>2465</v>
      </c>
      <c r="T1357" s="8" t="s">
        <v>2466</v>
      </c>
      <c r="U1357" s="8" t="s">
        <v>2702</v>
      </c>
      <c r="V1357" s="8" t="s">
        <v>1057</v>
      </c>
      <c r="W1357" s="8">
        <f t="shared" si="40"/>
        <v>1</v>
      </c>
      <c r="X1357" s="8">
        <f>K1357*L1357*N1357</f>
        <v>22887.296000000002</v>
      </c>
    </row>
    <row r="1358" spans="1:24" s="8" customFormat="1" ht="41.5" customHeight="1">
      <c r="A1358" s="8" t="s">
        <v>2463</v>
      </c>
      <c r="B1358" s="8" t="s">
        <v>2915</v>
      </c>
      <c r="C1358" s="9">
        <v>45744.6765615162</v>
      </c>
      <c r="D1358" s="8" t="s">
        <v>2056</v>
      </c>
      <c r="E1358" s="8" t="s">
        <v>2057</v>
      </c>
      <c r="F1358" s="8">
        <v>67</v>
      </c>
      <c r="G1358" s="22" t="s">
        <v>2930</v>
      </c>
      <c r="H1358" s="8" t="s">
        <v>1111</v>
      </c>
      <c r="I1358" s="2" t="str">
        <f t="shared" si="41"/>
        <v>Bóng led bulb A45N1/3W E27 3000K</v>
      </c>
      <c r="J1358" s="8" t="s">
        <v>15</v>
      </c>
      <c r="K1358" s="10">
        <v>50</v>
      </c>
      <c r="L1358" s="10">
        <v>19038</v>
      </c>
      <c r="M1358" s="11">
        <v>951900</v>
      </c>
      <c r="N1358" s="8" t="s">
        <v>16</v>
      </c>
      <c r="O1358" s="8" t="s">
        <v>17</v>
      </c>
      <c r="P1358" s="8" t="s">
        <v>18</v>
      </c>
      <c r="Q1358" s="8" t="s">
        <v>18</v>
      </c>
      <c r="R1358" s="8" t="s">
        <v>2115</v>
      </c>
      <c r="S1358" s="8" t="s">
        <v>2465</v>
      </c>
      <c r="T1358" s="8" t="s">
        <v>2466</v>
      </c>
      <c r="U1358" s="8" t="s">
        <v>2702</v>
      </c>
      <c r="V1358" s="8" t="s">
        <v>1057</v>
      </c>
      <c r="W1358" s="8">
        <f t="shared" si="40"/>
        <v>1</v>
      </c>
      <c r="X1358" s="8">
        <f>K1358*L1358*N1358</f>
        <v>76152</v>
      </c>
    </row>
    <row r="1359" spans="1:24" s="8" customFormat="1" ht="41.5" customHeight="1">
      <c r="A1359" s="8" t="s">
        <v>2463</v>
      </c>
      <c r="B1359" s="8" t="s">
        <v>2915</v>
      </c>
      <c r="C1359" s="9">
        <v>45744.6765615162</v>
      </c>
      <c r="D1359" s="8" t="s">
        <v>2056</v>
      </c>
      <c r="E1359" s="8" t="s">
        <v>2057</v>
      </c>
      <c r="F1359" s="8">
        <v>68</v>
      </c>
      <c r="G1359" s="22" t="s">
        <v>2931</v>
      </c>
      <c r="H1359" s="8" t="s">
        <v>1112</v>
      </c>
      <c r="I1359" s="2" t="str">
        <f t="shared" si="41"/>
        <v>Bóng led bulb A55N4/5W E27 3000K</v>
      </c>
      <c r="J1359" s="8" t="s">
        <v>15</v>
      </c>
      <c r="K1359" s="10">
        <v>50</v>
      </c>
      <c r="L1359" s="10">
        <v>23194.3</v>
      </c>
      <c r="M1359" s="11">
        <v>1159715</v>
      </c>
      <c r="N1359" s="8" t="s">
        <v>16</v>
      </c>
      <c r="O1359" s="8" t="s">
        <v>17</v>
      </c>
      <c r="P1359" s="8" t="s">
        <v>18</v>
      </c>
      <c r="Q1359" s="8" t="s">
        <v>18</v>
      </c>
      <c r="R1359" s="8" t="s">
        <v>2115</v>
      </c>
      <c r="S1359" s="8" t="s">
        <v>2465</v>
      </c>
      <c r="T1359" s="8" t="s">
        <v>2466</v>
      </c>
      <c r="U1359" s="8" t="s">
        <v>2702</v>
      </c>
      <c r="V1359" s="8" t="s">
        <v>1057</v>
      </c>
      <c r="W1359" s="8">
        <f t="shared" si="40"/>
        <v>1</v>
      </c>
      <c r="X1359" s="8">
        <f>K1359*L1359*N1359</f>
        <v>92777.2</v>
      </c>
    </row>
    <row r="1360" spans="1:24" s="8" customFormat="1" ht="41.5" customHeight="1">
      <c r="A1360" s="8" t="s">
        <v>2463</v>
      </c>
      <c r="B1360" s="8" t="s">
        <v>2915</v>
      </c>
      <c r="C1360" s="9">
        <v>45744.6765615162</v>
      </c>
      <c r="D1360" s="8" t="s">
        <v>2056</v>
      </c>
      <c r="E1360" s="8" t="s">
        <v>2057</v>
      </c>
      <c r="F1360" s="8">
        <v>69</v>
      </c>
      <c r="G1360" s="22" t="s">
        <v>2932</v>
      </c>
      <c r="H1360" s="8" t="s">
        <v>1113</v>
      </c>
      <c r="I1360" s="2" t="str">
        <f t="shared" si="41"/>
        <v>Bóng led bulb A60N1/9W.H E27 6500K</v>
      </c>
      <c r="J1360" s="8" t="s">
        <v>15</v>
      </c>
      <c r="K1360" s="10">
        <v>50</v>
      </c>
      <c r="L1360" s="10">
        <v>33000</v>
      </c>
      <c r="M1360" s="11">
        <v>1650000</v>
      </c>
      <c r="N1360" s="8" t="s">
        <v>16</v>
      </c>
      <c r="O1360" s="8" t="s">
        <v>17</v>
      </c>
      <c r="P1360" s="8" t="s">
        <v>18</v>
      </c>
      <c r="Q1360" s="8" t="s">
        <v>18</v>
      </c>
      <c r="R1360" s="8" t="s">
        <v>2115</v>
      </c>
      <c r="S1360" s="8" t="s">
        <v>2465</v>
      </c>
      <c r="T1360" s="8" t="s">
        <v>2466</v>
      </c>
      <c r="U1360" s="8" t="s">
        <v>2702</v>
      </c>
      <c r="V1360" s="8" t="s">
        <v>1057</v>
      </c>
      <c r="W1360" s="8">
        <f t="shared" si="40"/>
        <v>1</v>
      </c>
      <c r="X1360" s="8">
        <f>K1360*L1360*N1360</f>
        <v>132000</v>
      </c>
    </row>
    <row r="1361" spans="1:24" s="8" customFormat="1" ht="41.5" customHeight="1">
      <c r="A1361" s="8" t="s">
        <v>2463</v>
      </c>
      <c r="B1361" s="8" t="s">
        <v>2915</v>
      </c>
      <c r="C1361" s="9">
        <v>45744.6765615162</v>
      </c>
      <c r="D1361" s="8" t="s">
        <v>2056</v>
      </c>
      <c r="E1361" s="8" t="s">
        <v>2057</v>
      </c>
      <c r="F1361" s="8">
        <v>70</v>
      </c>
      <c r="G1361" s="22" t="s">
        <v>1290</v>
      </c>
      <c r="H1361" s="8" t="s">
        <v>1114</v>
      </c>
      <c r="I1361" s="2" t="str">
        <f t="shared" si="41"/>
        <v>Led bulb 12W</v>
      </c>
      <c r="J1361" s="8" t="s">
        <v>15</v>
      </c>
      <c r="K1361" s="10">
        <v>50</v>
      </c>
      <c r="L1361" s="10">
        <v>37111.07</v>
      </c>
      <c r="M1361" s="11">
        <v>1855554</v>
      </c>
      <c r="N1361" s="8" t="s">
        <v>16</v>
      </c>
      <c r="O1361" s="8" t="s">
        <v>17</v>
      </c>
      <c r="P1361" s="8" t="s">
        <v>18</v>
      </c>
      <c r="Q1361" s="8" t="s">
        <v>18</v>
      </c>
      <c r="R1361" s="8" t="s">
        <v>2115</v>
      </c>
      <c r="S1361" s="8" t="s">
        <v>2465</v>
      </c>
      <c r="T1361" s="8" t="s">
        <v>2466</v>
      </c>
      <c r="U1361" s="8" t="s">
        <v>2702</v>
      </c>
      <c r="V1361" s="8" t="s">
        <v>1057</v>
      </c>
      <c r="W1361" s="8">
        <f t="shared" si="40"/>
        <v>1</v>
      </c>
      <c r="X1361" s="8">
        <f>K1361*L1361*N1361</f>
        <v>148444.28</v>
      </c>
    </row>
    <row r="1362" spans="1:24" s="8" customFormat="1" ht="41.5" customHeight="1">
      <c r="A1362" s="8" t="s">
        <v>2463</v>
      </c>
      <c r="B1362" s="8" t="s">
        <v>2915</v>
      </c>
      <c r="C1362" s="9">
        <v>45744.6765615162</v>
      </c>
      <c r="D1362" s="8" t="s">
        <v>2056</v>
      </c>
      <c r="E1362" s="8" t="s">
        <v>2057</v>
      </c>
      <c r="F1362" s="8">
        <v>71</v>
      </c>
      <c r="G1362" s="22" t="s">
        <v>1254</v>
      </c>
      <c r="H1362" s="8" t="s">
        <v>1115</v>
      </c>
      <c r="I1362" s="2" t="str">
        <f t="shared" si="41"/>
        <v>Led Bulb 15W</v>
      </c>
      <c r="J1362" s="8" t="s">
        <v>15</v>
      </c>
      <c r="K1362" s="10">
        <v>50</v>
      </c>
      <c r="L1362" s="10">
        <v>51000</v>
      </c>
      <c r="M1362" s="11">
        <v>2550000</v>
      </c>
      <c r="N1362" s="8" t="s">
        <v>16</v>
      </c>
      <c r="O1362" s="8" t="s">
        <v>17</v>
      </c>
      <c r="P1362" s="8" t="s">
        <v>18</v>
      </c>
      <c r="Q1362" s="8" t="s">
        <v>18</v>
      </c>
      <c r="R1362" s="8" t="s">
        <v>2115</v>
      </c>
      <c r="S1362" s="8" t="s">
        <v>2465</v>
      </c>
      <c r="T1362" s="8" t="s">
        <v>2466</v>
      </c>
      <c r="U1362" s="8" t="s">
        <v>2702</v>
      </c>
      <c r="V1362" s="8" t="s">
        <v>1057</v>
      </c>
      <c r="W1362" s="8">
        <f t="shared" si="40"/>
        <v>1</v>
      </c>
      <c r="X1362" s="8">
        <f>K1362*L1362*N1362</f>
        <v>204000</v>
      </c>
    </row>
    <row r="1363" spans="1:24" s="8" customFormat="1" ht="41.5" customHeight="1">
      <c r="A1363" s="8" t="s">
        <v>2463</v>
      </c>
      <c r="B1363" s="8" t="s">
        <v>2915</v>
      </c>
      <c r="C1363" s="9">
        <v>45744.6765615162</v>
      </c>
      <c r="D1363" s="8" t="s">
        <v>2056</v>
      </c>
      <c r="E1363" s="8" t="s">
        <v>2057</v>
      </c>
      <c r="F1363" s="8">
        <v>72</v>
      </c>
      <c r="G1363" s="22" t="s">
        <v>1277</v>
      </c>
      <c r="H1363" s="8" t="s">
        <v>1116</v>
      </c>
      <c r="I1363" s="2" t="str">
        <f t="shared" si="41"/>
        <v>Led Buld 20W</v>
      </c>
      <c r="J1363" s="8" t="s">
        <v>15</v>
      </c>
      <c r="K1363" s="10">
        <v>50</v>
      </c>
      <c r="L1363" s="10">
        <v>67728.19</v>
      </c>
      <c r="M1363" s="11">
        <v>3386410</v>
      </c>
      <c r="N1363" s="8" t="s">
        <v>16</v>
      </c>
      <c r="O1363" s="8" t="s">
        <v>17</v>
      </c>
      <c r="P1363" s="8" t="s">
        <v>18</v>
      </c>
      <c r="Q1363" s="8" t="s">
        <v>18</v>
      </c>
      <c r="R1363" s="8" t="s">
        <v>2115</v>
      </c>
      <c r="S1363" s="8" t="s">
        <v>2465</v>
      </c>
      <c r="T1363" s="8" t="s">
        <v>2466</v>
      </c>
      <c r="U1363" s="8" t="s">
        <v>2702</v>
      </c>
      <c r="V1363" s="8" t="s">
        <v>1057</v>
      </c>
      <c r="W1363" s="8">
        <f t="shared" si="40"/>
        <v>1</v>
      </c>
      <c r="X1363" s="8">
        <f>K1363*L1363*N1363</f>
        <v>270912.76</v>
      </c>
    </row>
    <row r="1364" spans="1:24" s="8" customFormat="1" ht="41.5" customHeight="1">
      <c r="A1364" s="8" t="s">
        <v>2463</v>
      </c>
      <c r="B1364" s="8" t="s">
        <v>2915</v>
      </c>
      <c r="C1364" s="9">
        <v>45744.6765615162</v>
      </c>
      <c r="D1364" s="8" t="s">
        <v>2056</v>
      </c>
      <c r="E1364" s="8" t="s">
        <v>2057</v>
      </c>
      <c r="F1364" s="8">
        <v>73</v>
      </c>
      <c r="G1364" s="22" t="s">
        <v>2933</v>
      </c>
      <c r="H1364" s="8" t="s">
        <v>1117</v>
      </c>
      <c r="I1364" s="2" t="str">
        <f t="shared" si="41"/>
        <v>led bulb A120N1/30W E27 6500K SS</v>
      </c>
      <c r="J1364" s="8" t="s">
        <v>15</v>
      </c>
      <c r="K1364" s="10">
        <v>50</v>
      </c>
      <c r="L1364" s="10">
        <v>100200</v>
      </c>
      <c r="M1364" s="11">
        <v>5010000</v>
      </c>
      <c r="N1364" s="8" t="s">
        <v>16</v>
      </c>
      <c r="O1364" s="8" t="s">
        <v>17</v>
      </c>
      <c r="P1364" s="8" t="s">
        <v>18</v>
      </c>
      <c r="Q1364" s="8" t="s">
        <v>18</v>
      </c>
      <c r="R1364" s="8" t="s">
        <v>2115</v>
      </c>
      <c r="S1364" s="8" t="s">
        <v>2465</v>
      </c>
      <c r="T1364" s="8" t="s">
        <v>2466</v>
      </c>
      <c r="U1364" s="8" t="s">
        <v>2702</v>
      </c>
      <c r="V1364" s="8" t="s">
        <v>1057</v>
      </c>
      <c r="W1364" s="8">
        <f t="shared" si="40"/>
        <v>1</v>
      </c>
      <c r="X1364" s="8">
        <f>K1364*L1364*N1364</f>
        <v>400800</v>
      </c>
    </row>
    <row r="1365" spans="1:24" s="8" customFormat="1" ht="41.5" customHeight="1">
      <c r="A1365" s="8" t="s">
        <v>2463</v>
      </c>
      <c r="B1365" s="8" t="s">
        <v>2915</v>
      </c>
      <c r="C1365" s="9">
        <v>45744.6765615162</v>
      </c>
      <c r="D1365" s="8" t="s">
        <v>2056</v>
      </c>
      <c r="E1365" s="8" t="s">
        <v>2057</v>
      </c>
      <c r="F1365" s="8">
        <v>74</v>
      </c>
      <c r="G1365" s="22" t="s">
        <v>2934</v>
      </c>
      <c r="H1365" s="8" t="s">
        <v>1118</v>
      </c>
      <c r="I1365" s="2" t="str">
        <f t="shared" si="41"/>
        <v xml:space="preserve"> led bulb TR120N1/40W E27 6500K SS</v>
      </c>
      <c r="J1365" s="8" t="s">
        <v>15</v>
      </c>
      <c r="K1365" s="10">
        <v>50</v>
      </c>
      <c r="L1365" s="10">
        <v>123394.3</v>
      </c>
      <c r="M1365" s="11">
        <v>6169715</v>
      </c>
      <c r="N1365" s="8" t="s">
        <v>16</v>
      </c>
      <c r="O1365" s="8" t="s">
        <v>17</v>
      </c>
      <c r="P1365" s="8" t="s">
        <v>18</v>
      </c>
      <c r="Q1365" s="8" t="s">
        <v>18</v>
      </c>
      <c r="R1365" s="8" t="s">
        <v>2115</v>
      </c>
      <c r="S1365" s="8" t="s">
        <v>2465</v>
      </c>
      <c r="T1365" s="8" t="s">
        <v>2466</v>
      </c>
      <c r="U1365" s="8" t="s">
        <v>2702</v>
      </c>
      <c r="V1365" s="8" t="s">
        <v>1057</v>
      </c>
      <c r="W1365" s="8">
        <f t="shared" si="40"/>
        <v>1</v>
      </c>
      <c r="X1365" s="8">
        <f>K1365*L1365*N1365</f>
        <v>493577.2</v>
      </c>
    </row>
    <row r="1366" spans="1:24" s="8" customFormat="1" ht="41.5" customHeight="1">
      <c r="A1366" s="8" t="s">
        <v>2463</v>
      </c>
      <c r="B1366" s="8" t="s">
        <v>2915</v>
      </c>
      <c r="C1366" s="9">
        <v>45744.6765615162</v>
      </c>
      <c r="D1366" s="8" t="s">
        <v>2056</v>
      </c>
      <c r="E1366" s="8" t="s">
        <v>2057</v>
      </c>
      <c r="F1366" s="8">
        <v>75</v>
      </c>
      <c r="G1366" s="22" t="s">
        <v>1336</v>
      </c>
      <c r="H1366" s="8" t="s">
        <v>1119</v>
      </c>
      <c r="I1366" s="2" t="str">
        <f t="shared" si="41"/>
        <v>Bộ đèn led M26 1200/50W 6500K</v>
      </c>
      <c r="J1366" s="8" t="s">
        <v>15</v>
      </c>
      <c r="K1366" s="10">
        <v>50</v>
      </c>
      <c r="L1366" s="10">
        <v>120000</v>
      </c>
      <c r="M1366" s="11">
        <v>6000000</v>
      </c>
      <c r="N1366" s="8" t="s">
        <v>16</v>
      </c>
      <c r="O1366" s="8" t="s">
        <v>17</v>
      </c>
      <c r="P1366" s="8" t="s">
        <v>18</v>
      </c>
      <c r="Q1366" s="8" t="s">
        <v>18</v>
      </c>
      <c r="R1366" s="8" t="s">
        <v>2115</v>
      </c>
      <c r="S1366" s="8" t="s">
        <v>2465</v>
      </c>
      <c r="T1366" s="8" t="s">
        <v>2466</v>
      </c>
      <c r="U1366" s="8" t="s">
        <v>2702</v>
      </c>
      <c r="V1366" s="8" t="s">
        <v>1057</v>
      </c>
      <c r="W1366" s="8">
        <f t="shared" si="40"/>
        <v>1</v>
      </c>
      <c r="X1366" s="8">
        <f>K1366*L1366*N1366</f>
        <v>480000</v>
      </c>
    </row>
    <row r="1367" spans="1:24" s="8" customFormat="1" ht="41.5" customHeight="1">
      <c r="A1367" s="8" t="s">
        <v>2463</v>
      </c>
      <c r="B1367" s="8" t="s">
        <v>2915</v>
      </c>
      <c r="C1367" s="9">
        <v>45744.6765615162</v>
      </c>
      <c r="D1367" s="8" t="s">
        <v>2056</v>
      </c>
      <c r="E1367" s="8" t="s">
        <v>2057</v>
      </c>
      <c r="F1367" s="8">
        <v>76</v>
      </c>
      <c r="G1367" s="22" t="s">
        <v>1924</v>
      </c>
      <c r="H1367" s="8" t="s">
        <v>1120</v>
      </c>
      <c r="I1367" s="2" t="str">
        <f t="shared" si="41"/>
        <v>SB-30 (cầu dao an toàn 30A)</v>
      </c>
      <c r="J1367" s="8" t="s">
        <v>15</v>
      </c>
      <c r="K1367" s="10">
        <v>50</v>
      </c>
      <c r="L1367" s="10">
        <v>22843.599999999999</v>
      </c>
      <c r="M1367" s="11">
        <v>1142180</v>
      </c>
      <c r="N1367" s="8" t="s">
        <v>16</v>
      </c>
      <c r="O1367" s="8" t="s">
        <v>17</v>
      </c>
      <c r="P1367" s="8" t="s">
        <v>18</v>
      </c>
      <c r="Q1367" s="8" t="s">
        <v>18</v>
      </c>
      <c r="R1367" s="8" t="s">
        <v>2115</v>
      </c>
      <c r="S1367" s="8" t="s">
        <v>2465</v>
      </c>
      <c r="T1367" s="8" t="s">
        <v>2466</v>
      </c>
      <c r="U1367" s="8" t="s">
        <v>2702</v>
      </c>
      <c r="V1367" s="8" t="s">
        <v>1057</v>
      </c>
      <c r="W1367" s="8">
        <f t="shared" si="40"/>
        <v>1</v>
      </c>
      <c r="X1367" s="8">
        <f>K1367*L1367*N1367</f>
        <v>91374.400000000009</v>
      </c>
    </row>
    <row r="1368" spans="1:24" s="8" customFormat="1" ht="41.5" customHeight="1">
      <c r="A1368" s="8" t="s">
        <v>2463</v>
      </c>
      <c r="B1368" s="8" t="s">
        <v>2915</v>
      </c>
      <c r="C1368" s="9">
        <v>45744.6765615162</v>
      </c>
      <c r="D1368" s="8" t="s">
        <v>2056</v>
      </c>
      <c r="E1368" s="8" t="s">
        <v>2057</v>
      </c>
      <c r="F1368" s="8">
        <v>77</v>
      </c>
      <c r="G1368" s="22" t="s">
        <v>993</v>
      </c>
      <c r="H1368" s="8" t="s">
        <v>993</v>
      </c>
      <c r="I1368" s="2" t="str">
        <f t="shared" si="41"/>
        <v>A30/1 (Công tắc 1 chiều 10A)</v>
      </c>
      <c r="J1368" s="8" t="s">
        <v>15</v>
      </c>
      <c r="K1368" s="10">
        <v>50</v>
      </c>
      <c r="L1368" s="10">
        <v>5500</v>
      </c>
      <c r="M1368" s="11">
        <v>275000</v>
      </c>
      <c r="N1368" s="8" t="s">
        <v>16</v>
      </c>
      <c r="O1368" s="8" t="s">
        <v>17</v>
      </c>
      <c r="P1368" s="8" t="s">
        <v>18</v>
      </c>
      <c r="Q1368" s="8" t="s">
        <v>18</v>
      </c>
      <c r="R1368" s="8" t="s">
        <v>2115</v>
      </c>
      <c r="S1368" s="8" t="s">
        <v>2465</v>
      </c>
      <c r="T1368" s="8" t="s">
        <v>2466</v>
      </c>
      <c r="U1368" s="8" t="s">
        <v>2702</v>
      </c>
      <c r="V1368" s="8" t="s">
        <v>1057</v>
      </c>
      <c r="W1368" s="8">
        <f t="shared" si="40"/>
        <v>1</v>
      </c>
      <c r="X1368" s="8">
        <f>K1368*L1368*N1368</f>
        <v>22000</v>
      </c>
    </row>
    <row r="1369" spans="1:24" s="8" customFormat="1" ht="41.5" customHeight="1">
      <c r="A1369" s="8" t="s">
        <v>2463</v>
      </c>
      <c r="B1369" s="8" t="s">
        <v>2915</v>
      </c>
      <c r="C1369" s="9">
        <v>45744.6765615162</v>
      </c>
      <c r="D1369" s="8" t="s">
        <v>2056</v>
      </c>
      <c r="E1369" s="8" t="s">
        <v>2057</v>
      </c>
      <c r="F1369" s="8">
        <v>78</v>
      </c>
      <c r="G1369" s="22" t="s">
        <v>829</v>
      </c>
      <c r="H1369" s="8" t="s">
        <v>829</v>
      </c>
      <c r="I1369" s="2" t="str">
        <f t="shared" si="41"/>
        <v>Máng điện 14x8</v>
      </c>
      <c r="J1369" s="8" t="s">
        <v>247</v>
      </c>
      <c r="K1369" s="10">
        <v>50</v>
      </c>
      <c r="L1369" s="10">
        <v>7817.6</v>
      </c>
      <c r="M1369" s="11">
        <v>390880</v>
      </c>
      <c r="N1369" s="8" t="s">
        <v>16</v>
      </c>
      <c r="O1369" s="8" t="s">
        <v>17</v>
      </c>
      <c r="P1369" s="8" t="s">
        <v>18</v>
      </c>
      <c r="Q1369" s="8" t="s">
        <v>18</v>
      </c>
      <c r="R1369" s="8" t="s">
        <v>2115</v>
      </c>
      <c r="S1369" s="8" t="s">
        <v>2465</v>
      </c>
      <c r="T1369" s="8" t="s">
        <v>2466</v>
      </c>
      <c r="U1369" s="8" t="s">
        <v>2702</v>
      </c>
      <c r="V1369" s="8" t="s">
        <v>1057</v>
      </c>
      <c r="W1369" s="8">
        <f t="shared" si="40"/>
        <v>1</v>
      </c>
      <c r="X1369" s="8">
        <f>K1369*L1369*N1369</f>
        <v>31270.400000000001</v>
      </c>
    </row>
    <row r="1370" spans="1:24" s="8" customFormat="1" ht="41.5" customHeight="1">
      <c r="A1370" s="8" t="s">
        <v>2463</v>
      </c>
      <c r="B1370" s="8" t="s">
        <v>2915</v>
      </c>
      <c r="C1370" s="9">
        <v>45744.6765615162</v>
      </c>
      <c r="D1370" s="8" t="s">
        <v>2056</v>
      </c>
      <c r="E1370" s="8" t="s">
        <v>2057</v>
      </c>
      <c r="F1370" s="8">
        <v>79</v>
      </c>
      <c r="G1370" s="22" t="s">
        <v>1121</v>
      </c>
      <c r="H1370" s="8" t="s">
        <v>1121</v>
      </c>
      <c r="I1370" s="2" t="str">
        <f t="shared" si="41"/>
        <v>Máng điện 18*10</v>
      </c>
      <c r="J1370" s="8" t="s">
        <v>247</v>
      </c>
      <c r="K1370" s="10">
        <v>50</v>
      </c>
      <c r="L1370" s="10">
        <v>9231.43</v>
      </c>
      <c r="M1370" s="11">
        <v>461572</v>
      </c>
      <c r="N1370" s="8" t="s">
        <v>16</v>
      </c>
      <c r="O1370" s="8" t="s">
        <v>17</v>
      </c>
      <c r="P1370" s="8" t="s">
        <v>18</v>
      </c>
      <c r="Q1370" s="8" t="s">
        <v>18</v>
      </c>
      <c r="R1370" s="8" t="s">
        <v>2115</v>
      </c>
      <c r="S1370" s="8" t="s">
        <v>2465</v>
      </c>
      <c r="T1370" s="8" t="s">
        <v>2466</v>
      </c>
      <c r="U1370" s="8" t="s">
        <v>2702</v>
      </c>
      <c r="V1370" s="8" t="s">
        <v>1057</v>
      </c>
      <c r="W1370" s="8">
        <f t="shared" si="40"/>
        <v>1</v>
      </c>
      <c r="X1370" s="8">
        <f>K1370*L1370*N1370</f>
        <v>36925.72</v>
      </c>
    </row>
    <row r="1371" spans="1:24" s="8" customFormat="1" ht="41.5" customHeight="1">
      <c r="A1371" s="8" t="s">
        <v>2463</v>
      </c>
      <c r="B1371" s="8" t="s">
        <v>2915</v>
      </c>
      <c r="C1371" s="9">
        <v>45744.6765615162</v>
      </c>
      <c r="D1371" s="8" t="s">
        <v>2056</v>
      </c>
      <c r="E1371" s="8" t="s">
        <v>2057</v>
      </c>
      <c r="F1371" s="8">
        <v>80</v>
      </c>
      <c r="G1371" s="22" t="s">
        <v>1828</v>
      </c>
      <c r="H1371" s="8" t="s">
        <v>1122</v>
      </c>
      <c r="I1371" s="2" t="str">
        <f t="shared" si="41"/>
        <v>2 ổ cắm 2 chấu 16A với 1 lỗ S186 -S186U2X</v>
      </c>
      <c r="J1371" s="8" t="s">
        <v>15</v>
      </c>
      <c r="K1371" s="10">
        <v>50</v>
      </c>
      <c r="L1371" s="10">
        <v>24000</v>
      </c>
      <c r="M1371" s="11">
        <v>1200000</v>
      </c>
      <c r="N1371" s="8" t="s">
        <v>16</v>
      </c>
      <c r="O1371" s="8" t="s">
        <v>17</v>
      </c>
      <c r="P1371" s="8" t="s">
        <v>18</v>
      </c>
      <c r="Q1371" s="8" t="s">
        <v>18</v>
      </c>
      <c r="R1371" s="8" t="s">
        <v>2115</v>
      </c>
      <c r="S1371" s="8" t="s">
        <v>2465</v>
      </c>
      <c r="T1371" s="8" t="s">
        <v>2466</v>
      </c>
      <c r="U1371" s="8" t="s">
        <v>2702</v>
      </c>
      <c r="V1371" s="8" t="s">
        <v>1057</v>
      </c>
      <c r="W1371" s="8">
        <f t="shared" si="40"/>
        <v>1</v>
      </c>
      <c r="X1371" s="8">
        <f>K1371*L1371*N1371</f>
        <v>96000</v>
      </c>
    </row>
    <row r="1372" spans="1:24" s="8" customFormat="1" ht="41.5" customHeight="1">
      <c r="A1372" s="8" t="s">
        <v>2463</v>
      </c>
      <c r="B1372" s="8" t="s">
        <v>2915</v>
      </c>
      <c r="C1372" s="9">
        <v>45744.6765615162</v>
      </c>
      <c r="D1372" s="8" t="s">
        <v>2056</v>
      </c>
      <c r="E1372" s="8" t="s">
        <v>2057</v>
      </c>
      <c r="F1372" s="8">
        <v>81</v>
      </c>
      <c r="G1372" s="22" t="s">
        <v>1317</v>
      </c>
      <c r="H1372" s="8" t="s">
        <v>1123</v>
      </c>
      <c r="I1372" s="2" t="str">
        <f t="shared" si="41"/>
        <v>Đế âm S2157</v>
      </c>
      <c r="J1372" s="8" t="s">
        <v>15</v>
      </c>
      <c r="K1372" s="10">
        <v>29</v>
      </c>
      <c r="L1372" s="10">
        <v>2250</v>
      </c>
      <c r="M1372" s="11">
        <v>65250</v>
      </c>
      <c r="N1372" s="8" t="s">
        <v>16</v>
      </c>
      <c r="O1372" s="8" t="s">
        <v>17</v>
      </c>
      <c r="P1372" s="8" t="s">
        <v>18</v>
      </c>
      <c r="Q1372" s="8" t="s">
        <v>18</v>
      </c>
      <c r="R1372" s="8" t="s">
        <v>2115</v>
      </c>
      <c r="S1372" s="8" t="s">
        <v>2465</v>
      </c>
      <c r="T1372" s="8" t="s">
        <v>2466</v>
      </c>
      <c r="U1372" s="8" t="s">
        <v>2702</v>
      </c>
      <c r="V1372" s="8" t="s">
        <v>1057</v>
      </c>
      <c r="W1372" s="8">
        <f t="shared" si="40"/>
        <v>1</v>
      </c>
      <c r="X1372" s="8">
        <f>K1372*L1372*N1372</f>
        <v>5220</v>
      </c>
    </row>
    <row r="1373" spans="1:24" s="8" customFormat="1" ht="41.5" customHeight="1">
      <c r="A1373" s="8" t="s">
        <v>2463</v>
      </c>
      <c r="B1373" s="8" t="s">
        <v>2915</v>
      </c>
      <c r="C1373" s="9">
        <v>45744.6765615162</v>
      </c>
      <c r="D1373" s="8" t="s">
        <v>2056</v>
      </c>
      <c r="E1373" s="8" t="s">
        <v>2057</v>
      </c>
      <c r="F1373" s="8">
        <v>82</v>
      </c>
      <c r="G1373" s="22" t="s">
        <v>1337</v>
      </c>
      <c r="H1373" s="8" t="s">
        <v>1124</v>
      </c>
      <c r="I1373" s="2" t="str">
        <f t="shared" si="41"/>
        <v>Đế âm đôi S2157/D</v>
      </c>
      <c r="J1373" s="8" t="s">
        <v>15</v>
      </c>
      <c r="K1373" s="10">
        <v>30</v>
      </c>
      <c r="L1373" s="10">
        <v>5355.69</v>
      </c>
      <c r="M1373" s="11">
        <v>160671</v>
      </c>
      <c r="N1373" s="8" t="s">
        <v>16</v>
      </c>
      <c r="O1373" s="8" t="s">
        <v>17</v>
      </c>
      <c r="P1373" s="8" t="s">
        <v>18</v>
      </c>
      <c r="Q1373" s="8" t="s">
        <v>18</v>
      </c>
      <c r="R1373" s="8" t="s">
        <v>2115</v>
      </c>
      <c r="S1373" s="8" t="s">
        <v>2465</v>
      </c>
      <c r="T1373" s="8" t="s">
        <v>2466</v>
      </c>
      <c r="U1373" s="8" t="s">
        <v>2702</v>
      </c>
      <c r="V1373" s="8" t="s">
        <v>1057</v>
      </c>
      <c r="W1373" s="8">
        <f t="shared" ref="W1373:W1436" si="42">ROUNDUP(MONTH(V1373)/3,0)</f>
        <v>1</v>
      </c>
      <c r="X1373" s="8">
        <f>K1373*L1373*N1373</f>
        <v>12853.655999999999</v>
      </c>
    </row>
    <row r="1374" spans="1:24" s="8" customFormat="1" ht="41.5" customHeight="1">
      <c r="A1374" s="8" t="s">
        <v>2463</v>
      </c>
      <c r="B1374" s="8" t="s">
        <v>2915</v>
      </c>
      <c r="C1374" s="9">
        <v>45744.6765615162</v>
      </c>
      <c r="D1374" s="8" t="s">
        <v>2056</v>
      </c>
      <c r="E1374" s="8" t="s">
        <v>2057</v>
      </c>
      <c r="F1374" s="8">
        <v>83</v>
      </c>
      <c r="G1374" s="22" t="s">
        <v>2935</v>
      </c>
      <c r="H1374" s="8" t="s">
        <v>1125</v>
      </c>
      <c r="I1374" s="2" t="str">
        <f t="shared" si="41"/>
        <v>BKD băng keo điện màu đen</v>
      </c>
      <c r="J1374" s="8" t="s">
        <v>127</v>
      </c>
      <c r="K1374" s="10">
        <v>32</v>
      </c>
      <c r="L1374" s="10">
        <v>4539.59</v>
      </c>
      <c r="M1374" s="11">
        <v>145267</v>
      </c>
      <c r="N1374" s="8" t="s">
        <v>16</v>
      </c>
      <c r="O1374" s="8" t="s">
        <v>17</v>
      </c>
      <c r="P1374" s="8" t="s">
        <v>18</v>
      </c>
      <c r="Q1374" s="8" t="s">
        <v>18</v>
      </c>
      <c r="R1374" s="8" t="s">
        <v>2115</v>
      </c>
      <c r="S1374" s="8" t="s">
        <v>2465</v>
      </c>
      <c r="T1374" s="8" t="s">
        <v>2466</v>
      </c>
      <c r="U1374" s="8" t="s">
        <v>2702</v>
      </c>
      <c r="V1374" s="8" t="s">
        <v>1057</v>
      </c>
      <c r="W1374" s="8">
        <f t="shared" si="42"/>
        <v>1</v>
      </c>
      <c r="X1374" s="8">
        <f>K1374*L1374*N1374</f>
        <v>11621.350400000001</v>
      </c>
    </row>
    <row r="1375" spans="1:24" s="8" customFormat="1" ht="41.5" customHeight="1">
      <c r="A1375" s="8" t="s">
        <v>2280</v>
      </c>
      <c r="B1375" s="8" t="s">
        <v>1126</v>
      </c>
      <c r="C1375" s="9">
        <v>45745.669752453701</v>
      </c>
      <c r="D1375" s="8" t="s">
        <v>2056</v>
      </c>
      <c r="E1375" s="8" t="s">
        <v>2057</v>
      </c>
      <c r="F1375" s="8">
        <v>1</v>
      </c>
      <c r="G1375" s="22" t="s">
        <v>1127</v>
      </c>
      <c r="H1375" s="8" t="s">
        <v>1127</v>
      </c>
      <c r="I1375" s="2" t="str">
        <f t="shared" si="41"/>
        <v>Gạch lát KT 500x500</v>
      </c>
      <c r="J1375" s="8" t="s">
        <v>55</v>
      </c>
      <c r="K1375" s="10">
        <v>150</v>
      </c>
      <c r="L1375" s="10">
        <v>95000</v>
      </c>
      <c r="M1375" s="11">
        <v>14250000</v>
      </c>
      <c r="N1375" s="8" t="s">
        <v>16</v>
      </c>
      <c r="O1375" s="8" t="s">
        <v>17</v>
      </c>
      <c r="P1375" s="8" t="s">
        <v>18</v>
      </c>
      <c r="Q1375" s="8" t="s">
        <v>18</v>
      </c>
      <c r="R1375" s="8" t="s">
        <v>2110</v>
      </c>
      <c r="S1375" s="8" t="s">
        <v>2198</v>
      </c>
      <c r="T1375" s="8" t="s">
        <v>2199</v>
      </c>
      <c r="U1375" s="8" t="s">
        <v>2936</v>
      </c>
      <c r="V1375" s="8" t="s">
        <v>1128</v>
      </c>
      <c r="W1375" s="8">
        <f t="shared" si="42"/>
        <v>1</v>
      </c>
      <c r="X1375" s="8">
        <f>K1375*L1375*N1375</f>
        <v>1140000</v>
      </c>
    </row>
    <row r="1376" spans="1:24" s="8" customFormat="1" ht="41.5" customHeight="1">
      <c r="A1376" s="8" t="s">
        <v>2280</v>
      </c>
      <c r="B1376" s="8" t="s">
        <v>1126</v>
      </c>
      <c r="C1376" s="9">
        <v>45745.669752453701</v>
      </c>
      <c r="D1376" s="8" t="s">
        <v>2056</v>
      </c>
      <c r="E1376" s="8" t="s">
        <v>2057</v>
      </c>
      <c r="F1376" s="8">
        <v>2</v>
      </c>
      <c r="G1376" s="19" t="s">
        <v>2937</v>
      </c>
      <c r="H1376" s="8" t="s">
        <v>105</v>
      </c>
      <c r="I1376" s="2" t="str">
        <f t="shared" si="41"/>
        <v>Gạch lát KT 300x600</v>
      </c>
      <c r="J1376" s="8" t="s">
        <v>55</v>
      </c>
      <c r="K1376" s="10">
        <v>120</v>
      </c>
      <c r="L1376" s="10">
        <v>90000</v>
      </c>
      <c r="M1376" s="11">
        <v>10800000</v>
      </c>
      <c r="N1376" s="8" t="s">
        <v>16</v>
      </c>
      <c r="O1376" s="8" t="s">
        <v>17</v>
      </c>
      <c r="P1376" s="8" t="s">
        <v>18</v>
      </c>
      <c r="Q1376" s="8" t="s">
        <v>18</v>
      </c>
      <c r="R1376" s="8" t="s">
        <v>2110</v>
      </c>
      <c r="S1376" s="8" t="s">
        <v>2198</v>
      </c>
      <c r="T1376" s="8" t="s">
        <v>2199</v>
      </c>
      <c r="U1376" s="8" t="s">
        <v>2936</v>
      </c>
      <c r="V1376" s="8" t="s">
        <v>1128</v>
      </c>
      <c r="W1376" s="8">
        <f t="shared" si="42"/>
        <v>1</v>
      </c>
      <c r="X1376" s="8">
        <f>K1376*L1376*N1376</f>
        <v>864000</v>
      </c>
    </row>
    <row r="1377" spans="1:24" s="8" customFormat="1" ht="41.5" customHeight="1">
      <c r="A1377" s="8" t="s">
        <v>2280</v>
      </c>
      <c r="B1377" s="8" t="s">
        <v>1126</v>
      </c>
      <c r="C1377" s="9">
        <v>45745.669752453701</v>
      </c>
      <c r="D1377" s="8" t="s">
        <v>2056</v>
      </c>
      <c r="E1377" s="8" t="s">
        <v>2057</v>
      </c>
      <c r="F1377" s="8">
        <v>3</v>
      </c>
      <c r="G1377" s="22" t="s">
        <v>2938</v>
      </c>
      <c r="H1377" s="8" t="s">
        <v>104</v>
      </c>
      <c r="I1377" s="2" t="str">
        <f t="shared" si="41"/>
        <v>Gạch lát 60x60</v>
      </c>
      <c r="J1377" s="8" t="s">
        <v>55</v>
      </c>
      <c r="K1377" s="10">
        <v>20</v>
      </c>
      <c r="L1377" s="10">
        <v>140000</v>
      </c>
      <c r="M1377" s="11">
        <v>2800000</v>
      </c>
      <c r="N1377" s="8" t="s">
        <v>16</v>
      </c>
      <c r="O1377" s="8" t="s">
        <v>17</v>
      </c>
      <c r="P1377" s="8" t="s">
        <v>18</v>
      </c>
      <c r="Q1377" s="8" t="s">
        <v>18</v>
      </c>
      <c r="R1377" s="8" t="s">
        <v>2110</v>
      </c>
      <c r="S1377" s="8" t="s">
        <v>2198</v>
      </c>
      <c r="T1377" s="8" t="s">
        <v>2199</v>
      </c>
      <c r="U1377" s="8" t="s">
        <v>2936</v>
      </c>
      <c r="V1377" s="8" t="s">
        <v>1128</v>
      </c>
      <c r="W1377" s="8">
        <f t="shared" si="42"/>
        <v>1</v>
      </c>
      <c r="X1377" s="8">
        <f>K1377*L1377*N1377</f>
        <v>224000</v>
      </c>
    </row>
    <row r="1378" spans="1:24" s="8" customFormat="1" ht="41.5" customHeight="1">
      <c r="A1378" s="8" t="s">
        <v>2280</v>
      </c>
      <c r="B1378" s="8" t="s">
        <v>1129</v>
      </c>
      <c r="C1378" s="9">
        <v>45744.3674102199</v>
      </c>
      <c r="D1378" s="8" t="s">
        <v>2056</v>
      </c>
      <c r="E1378" s="8" t="s">
        <v>2057</v>
      </c>
      <c r="F1378" s="8">
        <v>1</v>
      </c>
      <c r="G1378" s="22" t="s">
        <v>776</v>
      </c>
      <c r="H1378" s="8" t="s">
        <v>776</v>
      </c>
      <c r="I1378" s="2" t="str">
        <f t="shared" si="41"/>
        <v>Que hàn sắt Kim Tín KT421 D2.5 20kg/thùng</v>
      </c>
      <c r="J1378" s="8" t="s">
        <v>35</v>
      </c>
      <c r="K1378" s="10">
        <v>260</v>
      </c>
      <c r="L1378" s="10">
        <v>24600</v>
      </c>
      <c r="M1378" s="11">
        <v>6396000</v>
      </c>
      <c r="N1378" s="8" t="s">
        <v>30</v>
      </c>
      <c r="O1378" s="8" t="s">
        <v>17</v>
      </c>
      <c r="P1378" s="8" t="s">
        <v>18</v>
      </c>
      <c r="Q1378" s="8" t="s">
        <v>18</v>
      </c>
      <c r="R1378" s="8" t="s">
        <v>2110</v>
      </c>
      <c r="S1378" s="8" t="s">
        <v>2292</v>
      </c>
      <c r="T1378" s="8" t="s">
        <v>2293</v>
      </c>
      <c r="U1378" s="8" t="s">
        <v>2710</v>
      </c>
      <c r="V1378" s="8" t="s">
        <v>1057</v>
      </c>
      <c r="W1378" s="8">
        <f t="shared" si="42"/>
        <v>1</v>
      </c>
      <c r="X1378" s="8">
        <f>K1378*L1378*N1378</f>
        <v>639600</v>
      </c>
    </row>
    <row r="1379" spans="1:24" s="8" customFormat="1" ht="41.5" customHeight="1">
      <c r="A1379" s="8" t="s">
        <v>2280</v>
      </c>
      <c r="B1379" s="8" t="s">
        <v>1129</v>
      </c>
      <c r="C1379" s="9">
        <v>45744.3674102199</v>
      </c>
      <c r="D1379" s="8" t="s">
        <v>2056</v>
      </c>
      <c r="E1379" s="8" t="s">
        <v>2057</v>
      </c>
      <c r="F1379" s="8">
        <v>2</v>
      </c>
      <c r="G1379" s="22" t="s">
        <v>1339</v>
      </c>
      <c r="H1379" s="8" t="s">
        <v>1130</v>
      </c>
      <c r="I1379" s="2" t="str">
        <f t="shared" si="41"/>
        <v>Dây thép MK D1.0</v>
      </c>
      <c r="J1379" s="8" t="s">
        <v>35</v>
      </c>
      <c r="K1379" s="10">
        <v>1925</v>
      </c>
      <c r="L1379" s="10">
        <v>20800</v>
      </c>
      <c r="M1379" s="11">
        <v>40040000</v>
      </c>
      <c r="N1379" s="8" t="s">
        <v>30</v>
      </c>
      <c r="O1379" s="8" t="s">
        <v>17</v>
      </c>
      <c r="P1379" s="8" t="s">
        <v>18</v>
      </c>
      <c r="Q1379" s="8" t="s">
        <v>18</v>
      </c>
      <c r="R1379" s="8" t="s">
        <v>2110</v>
      </c>
      <c r="S1379" s="8" t="s">
        <v>2292</v>
      </c>
      <c r="T1379" s="8" t="s">
        <v>2293</v>
      </c>
      <c r="U1379" s="8" t="s">
        <v>2710</v>
      </c>
      <c r="V1379" s="8" t="s">
        <v>1057</v>
      </c>
      <c r="W1379" s="8">
        <f t="shared" si="42"/>
        <v>1</v>
      </c>
      <c r="X1379" s="8">
        <f>K1379*L1379*N1379</f>
        <v>4004000</v>
      </c>
    </row>
    <row r="1380" spans="1:24" s="8" customFormat="1" ht="41.5" customHeight="1">
      <c r="A1380" s="8" t="s">
        <v>2280</v>
      </c>
      <c r="B1380" s="8" t="s">
        <v>1129</v>
      </c>
      <c r="C1380" s="9">
        <v>45744.3674102199</v>
      </c>
      <c r="D1380" s="8" t="s">
        <v>2056</v>
      </c>
      <c r="E1380" s="8" t="s">
        <v>2057</v>
      </c>
      <c r="F1380" s="8">
        <v>3</v>
      </c>
      <c r="G1380" s="22" t="s">
        <v>2135</v>
      </c>
      <c r="H1380" s="8" t="s">
        <v>1131</v>
      </c>
      <c r="I1380" s="2" t="str">
        <f t="shared" si="41"/>
        <v>Dây thép MK D3.0-4.7</v>
      </c>
      <c r="J1380" s="8" t="s">
        <v>35</v>
      </c>
      <c r="K1380" s="10">
        <v>775</v>
      </c>
      <c r="L1380" s="10">
        <v>18600</v>
      </c>
      <c r="M1380" s="11">
        <v>14415000</v>
      </c>
      <c r="N1380" s="8" t="s">
        <v>30</v>
      </c>
      <c r="O1380" s="8" t="s">
        <v>17</v>
      </c>
      <c r="P1380" s="8" t="s">
        <v>18</v>
      </c>
      <c r="Q1380" s="8" t="s">
        <v>18</v>
      </c>
      <c r="R1380" s="8" t="s">
        <v>2110</v>
      </c>
      <c r="S1380" s="8" t="s">
        <v>2292</v>
      </c>
      <c r="T1380" s="8" t="s">
        <v>2293</v>
      </c>
      <c r="U1380" s="8" t="s">
        <v>2710</v>
      </c>
      <c r="V1380" s="8" t="s">
        <v>1057</v>
      </c>
      <c r="W1380" s="8">
        <f t="shared" si="42"/>
        <v>1</v>
      </c>
      <c r="X1380" s="8">
        <f>K1380*L1380*N1380</f>
        <v>1441500</v>
      </c>
    </row>
    <row r="1381" spans="1:24" s="8" customFormat="1" ht="41.5" customHeight="1">
      <c r="A1381" s="8" t="s">
        <v>2280</v>
      </c>
      <c r="B1381" s="8" t="s">
        <v>1132</v>
      </c>
      <c r="C1381" s="9">
        <v>45744.628338194401</v>
      </c>
      <c r="D1381" s="8" t="s">
        <v>2056</v>
      </c>
      <c r="E1381" s="8" t="s">
        <v>2057</v>
      </c>
      <c r="F1381" s="8">
        <v>1</v>
      </c>
      <c r="G1381" s="22" t="s">
        <v>128</v>
      </c>
      <c r="H1381" s="8" t="s">
        <v>58</v>
      </c>
      <c r="I1381" s="2" t="str">
        <f t="shared" si="41"/>
        <v>Phụ gia bê tông chống thấm Sika Latex TH 25L</v>
      </c>
      <c r="J1381" s="8" t="s">
        <v>45</v>
      </c>
      <c r="K1381" s="10">
        <v>100</v>
      </c>
      <c r="L1381" s="10">
        <v>49259.26</v>
      </c>
      <c r="M1381" s="11">
        <v>4925926</v>
      </c>
      <c r="N1381" s="8" t="s">
        <v>16</v>
      </c>
      <c r="O1381" s="8" t="s">
        <v>17</v>
      </c>
      <c r="P1381" s="8" t="s">
        <v>18</v>
      </c>
      <c r="Q1381" s="8" t="s">
        <v>18</v>
      </c>
      <c r="R1381" s="8" t="s">
        <v>2110</v>
      </c>
      <c r="S1381" s="8" t="s">
        <v>2123</v>
      </c>
      <c r="T1381" s="8" t="s">
        <v>2124</v>
      </c>
      <c r="U1381" s="8" t="s">
        <v>2635</v>
      </c>
      <c r="V1381" s="8" t="s">
        <v>1057</v>
      </c>
      <c r="W1381" s="8">
        <f t="shared" si="42"/>
        <v>1</v>
      </c>
      <c r="X1381" s="8">
        <f>K1381*L1381*N1381</f>
        <v>394074.08</v>
      </c>
    </row>
    <row r="1382" spans="1:24" s="8" customFormat="1" ht="41.5" customHeight="1">
      <c r="A1382" s="8" t="s">
        <v>2409</v>
      </c>
      <c r="B1382" s="8" t="s">
        <v>1133</v>
      </c>
      <c r="C1382" s="9">
        <v>45745.844180266198</v>
      </c>
      <c r="D1382" s="8" t="s">
        <v>2056</v>
      </c>
      <c r="E1382" s="8" t="s">
        <v>2057</v>
      </c>
      <c r="F1382" s="8">
        <v>1</v>
      </c>
      <c r="G1382" s="22" t="s">
        <v>1134</v>
      </c>
      <c r="H1382" s="8" t="s">
        <v>1134</v>
      </c>
      <c r="I1382" s="2" t="str">
        <f t="shared" si="41"/>
        <v>Máng cáp thép 200x100x1.0</v>
      </c>
      <c r="J1382" s="8" t="s">
        <v>47</v>
      </c>
      <c r="K1382" s="10">
        <v>6</v>
      </c>
      <c r="L1382" s="10">
        <v>365000</v>
      </c>
      <c r="M1382" s="11">
        <v>2190000</v>
      </c>
      <c r="N1382" s="8" t="s">
        <v>30</v>
      </c>
      <c r="O1382" s="8" t="s">
        <v>17</v>
      </c>
      <c r="P1382" s="8" t="s">
        <v>18</v>
      </c>
      <c r="Q1382" s="8" t="s">
        <v>18</v>
      </c>
      <c r="R1382" s="8" t="s">
        <v>2115</v>
      </c>
      <c r="S1382" s="8" t="s">
        <v>2411</v>
      </c>
      <c r="T1382" s="8" t="s">
        <v>2412</v>
      </c>
      <c r="U1382" s="8" t="s">
        <v>2852</v>
      </c>
      <c r="V1382" s="8" t="s">
        <v>1128</v>
      </c>
      <c r="W1382" s="8">
        <f t="shared" si="42"/>
        <v>1</v>
      </c>
      <c r="X1382" s="8">
        <f>K1382*L1382*N1382</f>
        <v>219000</v>
      </c>
    </row>
    <row r="1383" spans="1:24" s="8" customFormat="1" ht="41.5" customHeight="1">
      <c r="A1383" s="8" t="s">
        <v>2409</v>
      </c>
      <c r="B1383" s="8" t="s">
        <v>1133</v>
      </c>
      <c r="C1383" s="9">
        <v>45745.844180266198</v>
      </c>
      <c r="D1383" s="8" t="s">
        <v>2056</v>
      </c>
      <c r="E1383" s="8" t="s">
        <v>2057</v>
      </c>
      <c r="F1383" s="8">
        <v>2</v>
      </c>
      <c r="G1383" s="22" t="s">
        <v>2939</v>
      </c>
      <c r="H1383" s="8" t="s">
        <v>1135</v>
      </c>
      <c r="I1383" s="2" t="str">
        <f t="shared" si="41"/>
        <v>Cáp cu/XLPE/PVC 3x10+1x6</v>
      </c>
      <c r="J1383" s="8" t="s">
        <v>47</v>
      </c>
      <c r="K1383" s="10">
        <v>5</v>
      </c>
      <c r="L1383" s="10">
        <v>120000</v>
      </c>
      <c r="M1383" s="11">
        <v>600000</v>
      </c>
      <c r="N1383" s="8" t="s">
        <v>30</v>
      </c>
      <c r="O1383" s="8" t="s">
        <v>17</v>
      </c>
      <c r="P1383" s="8" t="s">
        <v>18</v>
      </c>
      <c r="Q1383" s="8" t="s">
        <v>18</v>
      </c>
      <c r="R1383" s="8" t="s">
        <v>2115</v>
      </c>
      <c r="S1383" s="8" t="s">
        <v>2411</v>
      </c>
      <c r="T1383" s="8" t="s">
        <v>2412</v>
      </c>
      <c r="U1383" s="8" t="s">
        <v>2852</v>
      </c>
      <c r="V1383" s="8" t="s">
        <v>1128</v>
      </c>
      <c r="W1383" s="8">
        <f t="shared" si="42"/>
        <v>1</v>
      </c>
      <c r="X1383" s="8">
        <f>K1383*L1383*N1383</f>
        <v>60000</v>
      </c>
    </row>
    <row r="1384" spans="1:24" s="8" customFormat="1" ht="41.5" customHeight="1">
      <c r="A1384" s="8" t="s">
        <v>2409</v>
      </c>
      <c r="B1384" s="8" t="s">
        <v>1133</v>
      </c>
      <c r="C1384" s="9">
        <v>45745.844180266198</v>
      </c>
      <c r="D1384" s="8" t="s">
        <v>2056</v>
      </c>
      <c r="E1384" s="8" t="s">
        <v>2057</v>
      </c>
      <c r="F1384" s="8">
        <v>3</v>
      </c>
      <c r="G1384" s="22" t="s">
        <v>1136</v>
      </c>
      <c r="H1384" s="8" t="s">
        <v>1136</v>
      </c>
      <c r="I1384" s="2" t="str">
        <f t="shared" si="41"/>
        <v>Cáp Cu/XLPE/PVC 3x25+1x16</v>
      </c>
      <c r="J1384" s="8" t="s">
        <v>47</v>
      </c>
      <c r="K1384" s="10">
        <v>10</v>
      </c>
      <c r="L1384" s="10">
        <v>260000</v>
      </c>
      <c r="M1384" s="11">
        <v>2600000</v>
      </c>
      <c r="N1384" s="8" t="s">
        <v>30</v>
      </c>
      <c r="O1384" s="8" t="s">
        <v>17</v>
      </c>
      <c r="P1384" s="8" t="s">
        <v>18</v>
      </c>
      <c r="Q1384" s="8" t="s">
        <v>18</v>
      </c>
      <c r="R1384" s="8" t="s">
        <v>2115</v>
      </c>
      <c r="S1384" s="8" t="s">
        <v>2411</v>
      </c>
      <c r="T1384" s="8" t="s">
        <v>2412</v>
      </c>
      <c r="U1384" s="8" t="s">
        <v>2852</v>
      </c>
      <c r="V1384" s="8" t="s">
        <v>1128</v>
      </c>
      <c r="W1384" s="8">
        <f t="shared" si="42"/>
        <v>1</v>
      </c>
      <c r="X1384" s="8">
        <f>K1384*L1384*N1384</f>
        <v>260000</v>
      </c>
    </row>
    <row r="1385" spans="1:24" s="8" customFormat="1" ht="41.5" customHeight="1">
      <c r="A1385" s="8" t="s">
        <v>2409</v>
      </c>
      <c r="B1385" s="8" t="s">
        <v>1133</v>
      </c>
      <c r="C1385" s="9">
        <v>45745.844180266198</v>
      </c>
      <c r="D1385" s="8" t="s">
        <v>2056</v>
      </c>
      <c r="E1385" s="8" t="s">
        <v>2057</v>
      </c>
      <c r="F1385" s="8">
        <v>4</v>
      </c>
      <c r="G1385" s="27" t="s">
        <v>1137</v>
      </c>
      <c r="H1385" s="8" t="s">
        <v>1137</v>
      </c>
      <c r="I1385" s="2" t="str">
        <f t="shared" si="41"/>
        <v>Kìm cắt cáp Asaki 24in</v>
      </c>
      <c r="J1385" s="8" t="s">
        <v>15</v>
      </c>
      <c r="K1385" s="10">
        <v>1</v>
      </c>
      <c r="L1385" s="10">
        <v>380000</v>
      </c>
      <c r="M1385" s="11">
        <v>380000</v>
      </c>
      <c r="N1385" s="8" t="s">
        <v>30</v>
      </c>
      <c r="O1385" s="8" t="s">
        <v>17</v>
      </c>
      <c r="P1385" s="8" t="s">
        <v>18</v>
      </c>
      <c r="Q1385" s="8" t="s">
        <v>18</v>
      </c>
      <c r="R1385" s="8" t="s">
        <v>2115</v>
      </c>
      <c r="S1385" s="8" t="s">
        <v>2411</v>
      </c>
      <c r="T1385" s="8" t="s">
        <v>2412</v>
      </c>
      <c r="U1385" s="8" t="s">
        <v>2852</v>
      </c>
      <c r="V1385" s="8" t="s">
        <v>1128</v>
      </c>
      <c r="W1385" s="8">
        <f t="shared" si="42"/>
        <v>1</v>
      </c>
      <c r="X1385" s="8">
        <f>K1385*L1385*N1385</f>
        <v>38000</v>
      </c>
    </row>
    <row r="1386" spans="1:24" s="8" customFormat="1" ht="41.5" customHeight="1">
      <c r="A1386" s="8" t="s">
        <v>2409</v>
      </c>
      <c r="B1386" s="8" t="s">
        <v>1133</v>
      </c>
      <c r="C1386" s="9">
        <v>45745.844180266198</v>
      </c>
      <c r="D1386" s="8" t="s">
        <v>2056</v>
      </c>
      <c r="E1386" s="8" t="s">
        <v>2057</v>
      </c>
      <c r="F1386" s="8">
        <v>5</v>
      </c>
      <c r="G1386" s="22" t="s">
        <v>1138</v>
      </c>
      <c r="H1386" s="8" t="s">
        <v>1138</v>
      </c>
      <c r="I1386" s="2" t="str">
        <f t="shared" si="41"/>
        <v>Kìm bấm cos</v>
      </c>
      <c r="J1386" s="8" t="s">
        <v>15</v>
      </c>
      <c r="K1386" s="10">
        <v>1</v>
      </c>
      <c r="L1386" s="10">
        <v>380000</v>
      </c>
      <c r="M1386" s="11">
        <v>380000</v>
      </c>
      <c r="N1386" s="8" t="s">
        <v>30</v>
      </c>
      <c r="O1386" s="8" t="s">
        <v>17</v>
      </c>
      <c r="P1386" s="8" t="s">
        <v>18</v>
      </c>
      <c r="Q1386" s="8" t="s">
        <v>18</v>
      </c>
      <c r="R1386" s="8" t="s">
        <v>2115</v>
      </c>
      <c r="S1386" s="8" t="s">
        <v>2411</v>
      </c>
      <c r="T1386" s="8" t="s">
        <v>2412</v>
      </c>
      <c r="U1386" s="8" t="s">
        <v>2852</v>
      </c>
      <c r="V1386" s="8" t="s">
        <v>1128</v>
      </c>
      <c r="W1386" s="8">
        <f t="shared" si="42"/>
        <v>1</v>
      </c>
      <c r="X1386" s="8">
        <f>K1386*L1386*N1386</f>
        <v>38000</v>
      </c>
    </row>
    <row r="1387" spans="1:24" s="8" customFormat="1" ht="41.5" customHeight="1">
      <c r="A1387" s="8" t="s">
        <v>2409</v>
      </c>
      <c r="B1387" s="8" t="s">
        <v>1133</v>
      </c>
      <c r="C1387" s="9">
        <v>45745.844180266198</v>
      </c>
      <c r="D1387" s="8" t="s">
        <v>2056</v>
      </c>
      <c r="E1387" s="8" t="s">
        <v>2057</v>
      </c>
      <c r="F1387" s="8">
        <v>6</v>
      </c>
      <c r="G1387" s="22" t="s">
        <v>2940</v>
      </c>
      <c r="H1387" s="8" t="s">
        <v>1139</v>
      </c>
      <c r="I1387" s="2" t="str">
        <f t="shared" si="41"/>
        <v>Dây Cu/PVC/VCTF 4x4.0</v>
      </c>
      <c r="J1387" s="8" t="s">
        <v>47</v>
      </c>
      <c r="K1387" s="10">
        <v>100</v>
      </c>
      <c r="L1387" s="10">
        <v>52000</v>
      </c>
      <c r="M1387" s="11">
        <v>5200000</v>
      </c>
      <c r="N1387" s="8" t="s">
        <v>30</v>
      </c>
      <c r="O1387" s="8" t="s">
        <v>17</v>
      </c>
      <c r="P1387" s="8" t="s">
        <v>18</v>
      </c>
      <c r="Q1387" s="8" t="s">
        <v>18</v>
      </c>
      <c r="R1387" s="8" t="s">
        <v>2115</v>
      </c>
      <c r="S1387" s="8" t="s">
        <v>2411</v>
      </c>
      <c r="T1387" s="8" t="s">
        <v>2412</v>
      </c>
      <c r="U1387" s="8" t="s">
        <v>2852</v>
      </c>
      <c r="V1387" s="8" t="s">
        <v>1128</v>
      </c>
      <c r="W1387" s="8">
        <f t="shared" si="42"/>
        <v>1</v>
      </c>
      <c r="X1387" s="8">
        <f>K1387*L1387*N1387</f>
        <v>520000</v>
      </c>
    </row>
    <row r="1388" spans="1:24" s="8" customFormat="1" ht="41.5" customHeight="1">
      <c r="A1388" s="8" t="s">
        <v>2409</v>
      </c>
      <c r="B1388" s="8" t="s">
        <v>1133</v>
      </c>
      <c r="C1388" s="9">
        <v>45745.844180266198</v>
      </c>
      <c r="D1388" s="8" t="s">
        <v>2056</v>
      </c>
      <c r="E1388" s="8" t="s">
        <v>2057</v>
      </c>
      <c r="F1388" s="8">
        <v>7</v>
      </c>
      <c r="G1388" s="22" t="s">
        <v>1140</v>
      </c>
      <c r="H1388" s="8" t="s">
        <v>1140</v>
      </c>
      <c r="I1388" s="2" t="str">
        <f t="shared" si="41"/>
        <v>Dây điện 2x0.75 TP</v>
      </c>
      <c r="J1388" s="8" t="s">
        <v>47</v>
      </c>
      <c r="K1388" s="10">
        <v>30</v>
      </c>
      <c r="L1388" s="10">
        <v>6500</v>
      </c>
      <c r="M1388" s="11">
        <v>195000</v>
      </c>
      <c r="N1388" s="8" t="s">
        <v>30</v>
      </c>
      <c r="O1388" s="8" t="s">
        <v>17</v>
      </c>
      <c r="P1388" s="8" t="s">
        <v>18</v>
      </c>
      <c r="Q1388" s="8" t="s">
        <v>18</v>
      </c>
      <c r="R1388" s="8" t="s">
        <v>2115</v>
      </c>
      <c r="S1388" s="8" t="s">
        <v>2411</v>
      </c>
      <c r="T1388" s="8" t="s">
        <v>2412</v>
      </c>
      <c r="U1388" s="8" t="s">
        <v>2852</v>
      </c>
      <c r="V1388" s="8" t="s">
        <v>1128</v>
      </c>
      <c r="W1388" s="8">
        <f t="shared" si="42"/>
        <v>1</v>
      </c>
      <c r="X1388" s="8">
        <f>K1388*L1388*N1388</f>
        <v>19500</v>
      </c>
    </row>
    <row r="1389" spans="1:24" s="8" customFormat="1" ht="41.5" customHeight="1">
      <c r="A1389" s="8" t="s">
        <v>2409</v>
      </c>
      <c r="B1389" s="8" t="s">
        <v>1133</v>
      </c>
      <c r="C1389" s="9">
        <v>45745.844180266198</v>
      </c>
      <c r="D1389" s="8" t="s">
        <v>2056</v>
      </c>
      <c r="E1389" s="8" t="s">
        <v>2057</v>
      </c>
      <c r="F1389" s="8">
        <v>8</v>
      </c>
      <c r="G1389" s="22" t="s">
        <v>1141</v>
      </c>
      <c r="H1389" s="8" t="s">
        <v>1141</v>
      </c>
      <c r="I1389" s="2" t="str">
        <f t="shared" si="41"/>
        <v>Đầu cos 16-8</v>
      </c>
      <c r="J1389" s="8" t="s">
        <v>15</v>
      </c>
      <c r="K1389" s="10">
        <v>100</v>
      </c>
      <c r="L1389" s="10">
        <v>3000</v>
      </c>
      <c r="M1389" s="11">
        <v>300000</v>
      </c>
      <c r="N1389" s="8" t="s">
        <v>30</v>
      </c>
      <c r="O1389" s="8" t="s">
        <v>17</v>
      </c>
      <c r="P1389" s="8" t="s">
        <v>18</v>
      </c>
      <c r="Q1389" s="8" t="s">
        <v>18</v>
      </c>
      <c r="R1389" s="8" t="s">
        <v>2115</v>
      </c>
      <c r="S1389" s="8" t="s">
        <v>2411</v>
      </c>
      <c r="T1389" s="8" t="s">
        <v>2412</v>
      </c>
      <c r="U1389" s="8" t="s">
        <v>2852</v>
      </c>
      <c r="V1389" s="8" t="s">
        <v>1128</v>
      </c>
      <c r="W1389" s="8">
        <f t="shared" si="42"/>
        <v>1</v>
      </c>
      <c r="X1389" s="8">
        <f>K1389*L1389*N1389</f>
        <v>30000</v>
      </c>
    </row>
    <row r="1390" spans="1:24" s="8" customFormat="1" ht="41.5" customHeight="1">
      <c r="A1390" s="8" t="s">
        <v>2409</v>
      </c>
      <c r="B1390" s="8" t="s">
        <v>1133</v>
      </c>
      <c r="C1390" s="9">
        <v>45745.844180266198</v>
      </c>
      <c r="D1390" s="8" t="s">
        <v>2056</v>
      </c>
      <c r="E1390" s="8" t="s">
        <v>2057</v>
      </c>
      <c r="F1390" s="8">
        <v>9</v>
      </c>
      <c r="G1390" s="22" t="s">
        <v>1142</v>
      </c>
      <c r="H1390" s="8" t="s">
        <v>1142</v>
      </c>
      <c r="I1390" s="2" t="str">
        <f t="shared" si="41"/>
        <v>Đầu cos nối 16</v>
      </c>
      <c r="J1390" s="8" t="s">
        <v>15</v>
      </c>
      <c r="K1390" s="10">
        <v>100</v>
      </c>
      <c r="L1390" s="10">
        <v>2500</v>
      </c>
      <c r="M1390" s="11">
        <v>250000</v>
      </c>
      <c r="N1390" s="8" t="s">
        <v>30</v>
      </c>
      <c r="O1390" s="8" t="s">
        <v>17</v>
      </c>
      <c r="P1390" s="8" t="s">
        <v>18</v>
      </c>
      <c r="Q1390" s="8" t="s">
        <v>18</v>
      </c>
      <c r="R1390" s="8" t="s">
        <v>2115</v>
      </c>
      <c r="S1390" s="8" t="s">
        <v>2411</v>
      </c>
      <c r="T1390" s="8" t="s">
        <v>2412</v>
      </c>
      <c r="U1390" s="8" t="s">
        <v>2852</v>
      </c>
      <c r="V1390" s="8" t="s">
        <v>1128</v>
      </c>
      <c r="W1390" s="8">
        <f t="shared" si="42"/>
        <v>1</v>
      </c>
      <c r="X1390" s="8">
        <f>K1390*L1390*N1390</f>
        <v>25000</v>
      </c>
    </row>
    <row r="1391" spans="1:24" s="8" customFormat="1" ht="41.5" customHeight="1">
      <c r="A1391" s="8" t="s">
        <v>2409</v>
      </c>
      <c r="B1391" s="8" t="s">
        <v>1143</v>
      </c>
      <c r="C1391" s="9">
        <v>45745.841262581002</v>
      </c>
      <c r="D1391" s="8" t="s">
        <v>2056</v>
      </c>
      <c r="E1391" s="8" t="s">
        <v>2057</v>
      </c>
      <c r="F1391" s="8">
        <v>1</v>
      </c>
      <c r="G1391" s="27" t="s">
        <v>2941</v>
      </c>
      <c r="H1391" s="8" t="s">
        <v>1144</v>
      </c>
      <c r="I1391" s="2" t="str">
        <f t="shared" si="41"/>
        <v>hạt công tắc</v>
      </c>
      <c r="J1391" s="8" t="s">
        <v>15</v>
      </c>
      <c r="K1391" s="10">
        <v>4</v>
      </c>
      <c r="L1391" s="10">
        <v>10000</v>
      </c>
      <c r="M1391" s="11">
        <v>40000</v>
      </c>
      <c r="N1391" s="8" t="s">
        <v>30</v>
      </c>
      <c r="O1391" s="8" t="s">
        <v>17</v>
      </c>
      <c r="P1391" s="8" t="s">
        <v>18</v>
      </c>
      <c r="Q1391" s="8" t="s">
        <v>18</v>
      </c>
      <c r="R1391" s="8" t="s">
        <v>2115</v>
      </c>
      <c r="S1391" s="8" t="s">
        <v>2411</v>
      </c>
      <c r="T1391" s="8" t="s">
        <v>2412</v>
      </c>
      <c r="U1391" s="8" t="s">
        <v>2852</v>
      </c>
      <c r="V1391" s="8" t="s">
        <v>1128</v>
      </c>
      <c r="W1391" s="8">
        <f t="shared" si="42"/>
        <v>1</v>
      </c>
      <c r="X1391" s="8">
        <f>K1391*L1391*N1391</f>
        <v>4000</v>
      </c>
    </row>
    <row r="1392" spans="1:24" s="8" customFormat="1" ht="41.5" customHeight="1">
      <c r="A1392" s="8" t="s">
        <v>2409</v>
      </c>
      <c r="B1392" s="8" t="s">
        <v>1143</v>
      </c>
      <c r="C1392" s="9">
        <v>45745.841262581002</v>
      </c>
      <c r="D1392" s="8" t="s">
        <v>2056</v>
      </c>
      <c r="E1392" s="8" t="s">
        <v>2057</v>
      </c>
      <c r="F1392" s="8">
        <v>2</v>
      </c>
      <c r="G1392" s="22" t="s">
        <v>1145</v>
      </c>
      <c r="H1392" s="8" t="s">
        <v>1145</v>
      </c>
      <c r="I1392" s="2" t="str">
        <f t="shared" si="41"/>
        <v>Băng keo đen</v>
      </c>
      <c r="J1392" s="8" t="s">
        <v>127</v>
      </c>
      <c r="K1392" s="10">
        <v>5</v>
      </c>
      <c r="L1392" s="10">
        <v>10000</v>
      </c>
      <c r="M1392" s="11">
        <v>50000</v>
      </c>
      <c r="N1392" s="8" t="s">
        <v>30</v>
      </c>
      <c r="O1392" s="8" t="s">
        <v>17</v>
      </c>
      <c r="P1392" s="8" t="s">
        <v>18</v>
      </c>
      <c r="Q1392" s="8" t="s">
        <v>18</v>
      </c>
      <c r="R1392" s="8" t="s">
        <v>2115</v>
      </c>
      <c r="S1392" s="8" t="s">
        <v>2411</v>
      </c>
      <c r="T1392" s="8" t="s">
        <v>2412</v>
      </c>
      <c r="U1392" s="8" t="s">
        <v>2852</v>
      </c>
      <c r="V1392" s="8" t="s">
        <v>1128</v>
      </c>
      <c r="W1392" s="8">
        <f t="shared" si="42"/>
        <v>1</v>
      </c>
      <c r="X1392" s="8">
        <f>K1392*L1392*N1392</f>
        <v>5000</v>
      </c>
    </row>
    <row r="1393" spans="1:24" s="8" customFormat="1" ht="41.5" customHeight="1">
      <c r="A1393" s="8" t="s">
        <v>2409</v>
      </c>
      <c r="B1393" s="8" t="s">
        <v>1143</v>
      </c>
      <c r="C1393" s="9">
        <v>45745.841262581002</v>
      </c>
      <c r="D1393" s="8" t="s">
        <v>2056</v>
      </c>
      <c r="E1393" s="8" t="s">
        <v>2057</v>
      </c>
      <c r="F1393" s="8">
        <v>3</v>
      </c>
      <c r="G1393" s="22" t="s">
        <v>1146</v>
      </c>
      <c r="H1393" s="8" t="s">
        <v>1146</v>
      </c>
      <c r="I1393" s="2" t="str">
        <f t="shared" si="41"/>
        <v>Đui đèn xoáy E27</v>
      </c>
      <c r="J1393" s="8" t="s">
        <v>15</v>
      </c>
      <c r="K1393" s="10">
        <v>5</v>
      </c>
      <c r="L1393" s="10">
        <v>5000</v>
      </c>
      <c r="M1393" s="11">
        <v>25000</v>
      </c>
      <c r="N1393" s="8" t="s">
        <v>30</v>
      </c>
      <c r="O1393" s="8" t="s">
        <v>17</v>
      </c>
      <c r="P1393" s="8" t="s">
        <v>18</v>
      </c>
      <c r="Q1393" s="8" t="s">
        <v>18</v>
      </c>
      <c r="R1393" s="8" t="s">
        <v>2115</v>
      </c>
      <c r="S1393" s="8" t="s">
        <v>2411</v>
      </c>
      <c r="T1393" s="8" t="s">
        <v>2412</v>
      </c>
      <c r="U1393" s="8" t="s">
        <v>2852</v>
      </c>
      <c r="V1393" s="8" t="s">
        <v>1128</v>
      </c>
      <c r="W1393" s="8">
        <f t="shared" si="42"/>
        <v>1</v>
      </c>
      <c r="X1393" s="8">
        <f>K1393*L1393*N1393</f>
        <v>2500</v>
      </c>
    </row>
    <row r="1394" spans="1:24" s="8" customFormat="1" ht="41.5" customHeight="1">
      <c r="A1394" s="8" t="s">
        <v>2409</v>
      </c>
      <c r="B1394" s="8" t="s">
        <v>1143</v>
      </c>
      <c r="C1394" s="9">
        <v>45745.841262581002</v>
      </c>
      <c r="D1394" s="8" t="s">
        <v>2056</v>
      </c>
      <c r="E1394" s="8" t="s">
        <v>2057</v>
      </c>
      <c r="F1394" s="8">
        <v>4</v>
      </c>
      <c r="G1394" s="22" t="s">
        <v>2942</v>
      </c>
      <c r="H1394" s="8" t="s">
        <v>1147</v>
      </c>
      <c r="I1394" s="2" t="str">
        <f t="shared" si="41"/>
        <v>Bóng led trụ nhôm 50W</v>
      </c>
      <c r="J1394" s="8" t="s">
        <v>15</v>
      </c>
      <c r="K1394" s="10">
        <v>5</v>
      </c>
      <c r="L1394" s="10">
        <v>80000</v>
      </c>
      <c r="M1394" s="11">
        <v>400000</v>
      </c>
      <c r="N1394" s="8" t="s">
        <v>30</v>
      </c>
      <c r="O1394" s="8" t="s">
        <v>17</v>
      </c>
      <c r="P1394" s="8" t="s">
        <v>18</v>
      </c>
      <c r="Q1394" s="8" t="s">
        <v>18</v>
      </c>
      <c r="R1394" s="8" t="s">
        <v>2115</v>
      </c>
      <c r="S1394" s="8" t="s">
        <v>2411</v>
      </c>
      <c r="T1394" s="8" t="s">
        <v>2412</v>
      </c>
      <c r="U1394" s="8" t="s">
        <v>2852</v>
      </c>
      <c r="V1394" s="8" t="s">
        <v>1128</v>
      </c>
      <c r="W1394" s="8">
        <f t="shared" si="42"/>
        <v>1</v>
      </c>
      <c r="X1394" s="8">
        <f>K1394*L1394*N1394</f>
        <v>40000</v>
      </c>
    </row>
    <row r="1395" spans="1:24" s="8" customFormat="1" ht="41.5" customHeight="1">
      <c r="A1395" s="8" t="s">
        <v>2409</v>
      </c>
      <c r="B1395" s="8" t="s">
        <v>1143</v>
      </c>
      <c r="C1395" s="9">
        <v>45745.841262581002</v>
      </c>
      <c r="D1395" s="8" t="s">
        <v>2056</v>
      </c>
      <c r="E1395" s="8" t="s">
        <v>2057</v>
      </c>
      <c r="F1395" s="8">
        <v>5</v>
      </c>
      <c r="G1395" s="22" t="s">
        <v>1148</v>
      </c>
      <c r="H1395" s="8" t="s">
        <v>1148</v>
      </c>
      <c r="I1395" s="2" t="str">
        <f t="shared" si="41"/>
        <v>BKJ 4P 40A LS (MCB 4P 40A)</v>
      </c>
      <c r="J1395" s="8" t="s">
        <v>15</v>
      </c>
      <c r="K1395" s="10">
        <v>6</v>
      </c>
      <c r="L1395" s="10">
        <v>360000</v>
      </c>
      <c r="M1395" s="11">
        <v>2160000</v>
      </c>
      <c r="N1395" s="8" t="s">
        <v>30</v>
      </c>
      <c r="O1395" s="8" t="s">
        <v>17</v>
      </c>
      <c r="P1395" s="8" t="s">
        <v>18</v>
      </c>
      <c r="Q1395" s="8" t="s">
        <v>18</v>
      </c>
      <c r="R1395" s="8" t="s">
        <v>2115</v>
      </c>
      <c r="S1395" s="8" t="s">
        <v>2411</v>
      </c>
      <c r="T1395" s="8" t="s">
        <v>2412</v>
      </c>
      <c r="U1395" s="8" t="s">
        <v>2852</v>
      </c>
      <c r="V1395" s="8" t="s">
        <v>1128</v>
      </c>
      <c r="W1395" s="8">
        <f t="shared" si="42"/>
        <v>1</v>
      </c>
      <c r="X1395" s="8">
        <f>K1395*L1395*N1395</f>
        <v>216000</v>
      </c>
    </row>
    <row r="1396" spans="1:24" s="8" customFormat="1" ht="41.5" customHeight="1">
      <c r="A1396" s="8" t="s">
        <v>2409</v>
      </c>
      <c r="B1396" s="8" t="s">
        <v>1143</v>
      </c>
      <c r="C1396" s="9">
        <v>45745.841262581002</v>
      </c>
      <c r="D1396" s="8" t="s">
        <v>2056</v>
      </c>
      <c r="E1396" s="8" t="s">
        <v>2057</v>
      </c>
      <c r="F1396" s="8">
        <v>6</v>
      </c>
      <c r="G1396" s="22" t="s">
        <v>1149</v>
      </c>
      <c r="H1396" s="8" t="s">
        <v>1149</v>
      </c>
      <c r="I1396" s="2" t="str">
        <f t="shared" si="41"/>
        <v>MCCB 3P 100A LS</v>
      </c>
      <c r="J1396" s="8" t="s">
        <v>15</v>
      </c>
      <c r="K1396" s="10">
        <v>3</v>
      </c>
      <c r="L1396" s="10">
        <v>780000</v>
      </c>
      <c r="M1396" s="11">
        <v>2340000</v>
      </c>
      <c r="N1396" s="8" t="s">
        <v>30</v>
      </c>
      <c r="O1396" s="8" t="s">
        <v>17</v>
      </c>
      <c r="P1396" s="8" t="s">
        <v>18</v>
      </c>
      <c r="Q1396" s="8" t="s">
        <v>18</v>
      </c>
      <c r="R1396" s="8" t="s">
        <v>2115</v>
      </c>
      <c r="S1396" s="8" t="s">
        <v>2411</v>
      </c>
      <c r="T1396" s="8" t="s">
        <v>2412</v>
      </c>
      <c r="U1396" s="8" t="s">
        <v>2852</v>
      </c>
      <c r="V1396" s="8" t="s">
        <v>1128</v>
      </c>
      <c r="W1396" s="8">
        <f t="shared" si="42"/>
        <v>1</v>
      </c>
      <c r="X1396" s="8">
        <f>K1396*L1396*N1396</f>
        <v>234000</v>
      </c>
    </row>
    <row r="1397" spans="1:24" s="8" customFormat="1" ht="41.5" customHeight="1">
      <c r="A1397" s="8" t="s">
        <v>2409</v>
      </c>
      <c r="B1397" s="8" t="s">
        <v>1143</v>
      </c>
      <c r="C1397" s="9">
        <v>45745.841262581002</v>
      </c>
      <c r="D1397" s="8" t="s">
        <v>2056</v>
      </c>
      <c r="E1397" s="8" t="s">
        <v>2057</v>
      </c>
      <c r="F1397" s="8">
        <v>7</v>
      </c>
      <c r="G1397" s="22" t="s">
        <v>1150</v>
      </c>
      <c r="H1397" s="8" t="s">
        <v>1150</v>
      </c>
      <c r="I1397" s="2" t="str">
        <f t="shared" si="41"/>
        <v>Ống gân xoắn OSPEN 40/50</v>
      </c>
      <c r="J1397" s="8" t="s">
        <v>47</v>
      </c>
      <c r="K1397" s="10">
        <v>116</v>
      </c>
      <c r="L1397" s="10">
        <v>15000</v>
      </c>
      <c r="M1397" s="11">
        <v>1740000</v>
      </c>
      <c r="N1397" s="8" t="s">
        <v>30</v>
      </c>
      <c r="O1397" s="8" t="s">
        <v>17</v>
      </c>
      <c r="P1397" s="8" t="s">
        <v>18</v>
      </c>
      <c r="Q1397" s="8" t="s">
        <v>18</v>
      </c>
      <c r="R1397" s="8" t="s">
        <v>2115</v>
      </c>
      <c r="S1397" s="8" t="s">
        <v>2411</v>
      </c>
      <c r="T1397" s="8" t="s">
        <v>2412</v>
      </c>
      <c r="U1397" s="8" t="s">
        <v>2852</v>
      </c>
      <c r="V1397" s="8" t="s">
        <v>1128</v>
      </c>
      <c r="W1397" s="8">
        <f t="shared" si="42"/>
        <v>1</v>
      </c>
      <c r="X1397" s="8">
        <f>K1397*L1397*N1397</f>
        <v>174000</v>
      </c>
    </row>
    <row r="1398" spans="1:24" s="8" customFormat="1" ht="41.5" customHeight="1">
      <c r="A1398" s="8" t="s">
        <v>2409</v>
      </c>
      <c r="B1398" s="8" t="s">
        <v>1143</v>
      </c>
      <c r="C1398" s="9">
        <v>45745.841262581002</v>
      </c>
      <c r="D1398" s="8" t="s">
        <v>2056</v>
      </c>
      <c r="E1398" s="8" t="s">
        <v>2057</v>
      </c>
      <c r="F1398" s="8">
        <v>8</v>
      </c>
      <c r="G1398" s="22" t="s">
        <v>2943</v>
      </c>
      <c r="H1398" s="8" t="s">
        <v>1151</v>
      </c>
      <c r="I1398" s="2" t="str">
        <f t="shared" si="41"/>
        <v>Đèn báo pha (vàng)</v>
      </c>
      <c r="J1398" s="8" t="s">
        <v>15</v>
      </c>
      <c r="K1398" s="10">
        <v>16</v>
      </c>
      <c r="L1398" s="10">
        <v>10000</v>
      </c>
      <c r="M1398" s="11">
        <v>160000</v>
      </c>
      <c r="N1398" s="8" t="s">
        <v>30</v>
      </c>
      <c r="O1398" s="8" t="s">
        <v>17</v>
      </c>
      <c r="P1398" s="8" t="s">
        <v>18</v>
      </c>
      <c r="Q1398" s="8" t="s">
        <v>18</v>
      </c>
      <c r="R1398" s="8" t="s">
        <v>2115</v>
      </c>
      <c r="S1398" s="8" t="s">
        <v>2411</v>
      </c>
      <c r="T1398" s="8" t="s">
        <v>2412</v>
      </c>
      <c r="U1398" s="8" t="s">
        <v>2852</v>
      </c>
      <c r="V1398" s="8" t="s">
        <v>1128</v>
      </c>
      <c r="W1398" s="8">
        <f t="shared" si="42"/>
        <v>1</v>
      </c>
      <c r="X1398" s="8">
        <f>K1398*L1398*N1398</f>
        <v>16000</v>
      </c>
    </row>
    <row r="1399" spans="1:24" s="8" customFormat="1" ht="41.5" customHeight="1">
      <c r="A1399" s="8" t="s">
        <v>2409</v>
      </c>
      <c r="B1399" s="8" t="s">
        <v>1143</v>
      </c>
      <c r="C1399" s="9">
        <v>45745.841262581002</v>
      </c>
      <c r="D1399" s="8" t="s">
        <v>2056</v>
      </c>
      <c r="E1399" s="8" t="s">
        <v>2057</v>
      </c>
      <c r="F1399" s="8">
        <v>9</v>
      </c>
      <c r="G1399" s="22" t="s">
        <v>2944</v>
      </c>
      <c r="H1399" s="8" t="s">
        <v>1152</v>
      </c>
      <c r="I1399" s="2" t="str">
        <f t="shared" si="41"/>
        <v>Ổ 2 chấu S18U2</v>
      </c>
      <c r="J1399" s="8" t="s">
        <v>15</v>
      </c>
      <c r="K1399" s="10">
        <v>4</v>
      </c>
      <c r="L1399" s="10">
        <v>35000</v>
      </c>
      <c r="M1399" s="11">
        <v>140000</v>
      </c>
      <c r="N1399" s="8" t="s">
        <v>30</v>
      </c>
      <c r="O1399" s="8" t="s">
        <v>17</v>
      </c>
      <c r="P1399" s="8" t="s">
        <v>18</v>
      </c>
      <c r="Q1399" s="8" t="s">
        <v>18</v>
      </c>
      <c r="R1399" s="8" t="s">
        <v>2115</v>
      </c>
      <c r="S1399" s="8" t="s">
        <v>2411</v>
      </c>
      <c r="T1399" s="8" t="s">
        <v>2412</v>
      </c>
      <c r="U1399" s="8" t="s">
        <v>2852</v>
      </c>
      <c r="V1399" s="8" t="s">
        <v>1128</v>
      </c>
      <c r="W1399" s="8">
        <f t="shared" si="42"/>
        <v>1</v>
      </c>
      <c r="X1399" s="8">
        <f>K1399*L1399*N1399</f>
        <v>14000</v>
      </c>
    </row>
    <row r="1400" spans="1:24" s="8" customFormat="1" ht="41.5" customHeight="1">
      <c r="A1400" s="8" t="s">
        <v>2409</v>
      </c>
      <c r="B1400" s="8" t="s">
        <v>1143</v>
      </c>
      <c r="C1400" s="9">
        <v>45745.841262581002</v>
      </c>
      <c r="D1400" s="8" t="s">
        <v>2056</v>
      </c>
      <c r="E1400" s="8" t="s">
        <v>2057</v>
      </c>
      <c r="F1400" s="8">
        <v>10</v>
      </c>
      <c r="G1400" s="22" t="s">
        <v>2945</v>
      </c>
      <c r="H1400" s="8" t="s">
        <v>1153</v>
      </c>
      <c r="I1400" s="2" t="str">
        <f t="shared" si="41"/>
        <v>Mặt 2 lỗ S182/x</v>
      </c>
      <c r="J1400" s="8" t="s">
        <v>15</v>
      </c>
      <c r="K1400" s="10">
        <v>2</v>
      </c>
      <c r="L1400" s="10">
        <v>15000</v>
      </c>
      <c r="M1400" s="11">
        <v>30000</v>
      </c>
      <c r="N1400" s="8" t="s">
        <v>30</v>
      </c>
      <c r="O1400" s="8" t="s">
        <v>17</v>
      </c>
      <c r="P1400" s="8" t="s">
        <v>18</v>
      </c>
      <c r="Q1400" s="8" t="s">
        <v>18</v>
      </c>
      <c r="R1400" s="8" t="s">
        <v>2115</v>
      </c>
      <c r="S1400" s="8" t="s">
        <v>2411</v>
      </c>
      <c r="T1400" s="8" t="s">
        <v>2412</v>
      </c>
      <c r="U1400" s="8" t="s">
        <v>2852</v>
      </c>
      <c r="V1400" s="8" t="s">
        <v>1128</v>
      </c>
      <c r="W1400" s="8">
        <f t="shared" si="42"/>
        <v>1</v>
      </c>
      <c r="X1400" s="8">
        <f>K1400*L1400*N1400</f>
        <v>3000</v>
      </c>
    </row>
    <row r="1401" spans="1:24" s="8" customFormat="1" ht="41.5" customHeight="1">
      <c r="A1401" s="8" t="s">
        <v>2853</v>
      </c>
      <c r="B1401" s="8" t="s">
        <v>2946</v>
      </c>
      <c r="C1401" s="9">
        <v>45743.656907129603</v>
      </c>
      <c r="D1401" s="8" t="s">
        <v>2056</v>
      </c>
      <c r="E1401" s="8" t="s">
        <v>2057</v>
      </c>
      <c r="F1401" s="8">
        <v>1</v>
      </c>
      <c r="G1401" s="27" t="s">
        <v>2140</v>
      </c>
      <c r="H1401" s="8" t="s">
        <v>1154</v>
      </c>
      <c r="I1401" s="2" t="str">
        <f t="shared" si="41"/>
        <v>Thép ống hộp</v>
      </c>
      <c r="J1401" s="8" t="s">
        <v>35</v>
      </c>
      <c r="K1401" s="10">
        <v>6969.2</v>
      </c>
      <c r="L1401" s="10">
        <v>17400</v>
      </c>
      <c r="M1401" s="11">
        <v>121264080</v>
      </c>
      <c r="N1401" s="8" t="s">
        <v>30</v>
      </c>
      <c r="O1401" s="8" t="s">
        <v>17</v>
      </c>
      <c r="P1401" s="8" t="s">
        <v>18</v>
      </c>
      <c r="Q1401" s="8" t="s">
        <v>18</v>
      </c>
      <c r="R1401" s="8" t="s">
        <v>2110</v>
      </c>
      <c r="S1401" s="8" t="s">
        <v>2126</v>
      </c>
      <c r="T1401" s="8" t="s">
        <v>2127</v>
      </c>
      <c r="U1401" s="8" t="s">
        <v>2645</v>
      </c>
      <c r="V1401" s="8" t="s">
        <v>1155</v>
      </c>
      <c r="W1401" s="8">
        <f t="shared" si="42"/>
        <v>1</v>
      </c>
      <c r="X1401" s="8">
        <f>K1401*L1401*N1401</f>
        <v>12126408</v>
      </c>
    </row>
    <row r="1402" spans="1:24" s="13" customFormat="1" ht="41.5" customHeight="1">
      <c r="A1402" s="8" t="s">
        <v>2853</v>
      </c>
      <c r="B1402" s="13" t="s">
        <v>2946</v>
      </c>
      <c r="C1402" s="14">
        <v>45743.656907129603</v>
      </c>
      <c r="D1402" s="13" t="s">
        <v>2056</v>
      </c>
      <c r="E1402" s="13" t="s">
        <v>2057</v>
      </c>
      <c r="F1402" s="13">
        <v>2</v>
      </c>
      <c r="G1402" s="28" t="s">
        <v>1363</v>
      </c>
      <c r="H1402" s="13" t="s">
        <v>59</v>
      </c>
      <c r="I1402" s="2" t="str">
        <f t="shared" si="41"/>
        <v>Tôn màu</v>
      </c>
      <c r="J1402" s="13" t="s">
        <v>106</v>
      </c>
      <c r="K1402" s="15">
        <v>2140.3000000000002</v>
      </c>
      <c r="L1402" s="15">
        <v>77000</v>
      </c>
      <c r="M1402" s="16">
        <v>164803100</v>
      </c>
      <c r="N1402" s="13" t="s">
        <v>30</v>
      </c>
      <c r="O1402" s="13" t="s">
        <v>17</v>
      </c>
      <c r="P1402" s="13" t="s">
        <v>18</v>
      </c>
      <c r="Q1402" s="13" t="s">
        <v>18</v>
      </c>
      <c r="R1402" s="13" t="s">
        <v>2110</v>
      </c>
      <c r="S1402" s="13" t="s">
        <v>2126</v>
      </c>
      <c r="T1402" s="13" t="s">
        <v>2127</v>
      </c>
      <c r="U1402" s="13" t="s">
        <v>2645</v>
      </c>
      <c r="V1402" s="13" t="s">
        <v>1155</v>
      </c>
      <c r="W1402" s="13">
        <f t="shared" si="42"/>
        <v>1</v>
      </c>
      <c r="X1402" s="8">
        <f>K1402*L1402*N1402</f>
        <v>16480310</v>
      </c>
    </row>
    <row r="1403" spans="1:24" s="8" customFormat="1" ht="41.5" customHeight="1">
      <c r="A1403" s="8" t="s">
        <v>2280</v>
      </c>
      <c r="B1403" s="8" t="s">
        <v>748</v>
      </c>
      <c r="C1403" s="9">
        <v>45746.470324791699</v>
      </c>
      <c r="D1403" s="8" t="s">
        <v>2056</v>
      </c>
      <c r="E1403" s="8" t="s">
        <v>2057</v>
      </c>
      <c r="F1403" s="8">
        <v>1</v>
      </c>
      <c r="G1403" s="22" t="s">
        <v>792</v>
      </c>
      <c r="H1403" s="8" t="s">
        <v>792</v>
      </c>
      <c r="I1403" s="2" t="str">
        <f t="shared" si="41"/>
        <v>Nilon</v>
      </c>
      <c r="J1403" s="8" t="s">
        <v>35</v>
      </c>
      <c r="K1403" s="10">
        <v>520</v>
      </c>
      <c r="L1403" s="10">
        <v>34000</v>
      </c>
      <c r="M1403" s="11">
        <v>17680000</v>
      </c>
      <c r="N1403" s="8" t="s">
        <v>16</v>
      </c>
      <c r="O1403" s="8" t="s">
        <v>17</v>
      </c>
      <c r="P1403" s="8" t="s">
        <v>18</v>
      </c>
      <c r="Q1403" s="8" t="s">
        <v>18</v>
      </c>
      <c r="R1403" s="8" t="s">
        <v>2110</v>
      </c>
      <c r="S1403" s="8" t="s">
        <v>2073</v>
      </c>
      <c r="T1403" s="8" t="s">
        <v>2074</v>
      </c>
      <c r="U1403" s="8" t="s">
        <v>2075</v>
      </c>
      <c r="V1403" s="8" t="s">
        <v>1156</v>
      </c>
      <c r="W1403" s="8">
        <f t="shared" si="42"/>
        <v>1</v>
      </c>
      <c r="X1403" s="8">
        <f>K1403*L1403*N1403</f>
        <v>1414400</v>
      </c>
    </row>
    <row r="1404" spans="1:24" s="8" customFormat="1" ht="41.5" customHeight="1">
      <c r="A1404" s="8" t="s">
        <v>2280</v>
      </c>
      <c r="B1404" s="8" t="s">
        <v>1157</v>
      </c>
      <c r="C1404" s="9">
        <v>45745.366494988397</v>
      </c>
      <c r="D1404" s="8" t="s">
        <v>2056</v>
      </c>
      <c r="E1404" s="8" t="s">
        <v>2057</v>
      </c>
      <c r="F1404" s="8">
        <v>1</v>
      </c>
      <c r="G1404" s="22" t="s">
        <v>792</v>
      </c>
      <c r="H1404" s="8" t="s">
        <v>792</v>
      </c>
      <c r="I1404" s="2" t="str">
        <f t="shared" si="41"/>
        <v>Nilon</v>
      </c>
      <c r="J1404" s="8" t="s">
        <v>35</v>
      </c>
      <c r="K1404" s="10">
        <v>520</v>
      </c>
      <c r="L1404" s="10">
        <v>34000</v>
      </c>
      <c r="M1404" s="11">
        <v>17680000</v>
      </c>
      <c r="N1404" s="8" t="s">
        <v>16</v>
      </c>
      <c r="O1404" s="8" t="s">
        <v>17</v>
      </c>
      <c r="P1404" s="8" t="s">
        <v>18</v>
      </c>
      <c r="Q1404" s="8" t="s">
        <v>18</v>
      </c>
      <c r="R1404" s="8" t="s">
        <v>2110</v>
      </c>
      <c r="S1404" s="8" t="s">
        <v>2073</v>
      </c>
      <c r="T1404" s="8" t="s">
        <v>2074</v>
      </c>
      <c r="U1404" s="8" t="s">
        <v>2075</v>
      </c>
      <c r="V1404" s="8" t="s">
        <v>1128</v>
      </c>
      <c r="W1404" s="8">
        <f t="shared" si="42"/>
        <v>1</v>
      </c>
      <c r="X1404" s="8">
        <f>K1404*L1404*N1404</f>
        <v>1414400</v>
      </c>
    </row>
    <row r="1405" spans="1:24" s="8" customFormat="1" ht="41.5" customHeight="1">
      <c r="A1405" s="8" t="s">
        <v>2280</v>
      </c>
      <c r="B1405" s="8" t="s">
        <v>1158</v>
      </c>
      <c r="C1405" s="9">
        <v>45744.700585613398</v>
      </c>
      <c r="D1405" s="8" t="s">
        <v>2056</v>
      </c>
      <c r="E1405" s="8" t="s">
        <v>2057</v>
      </c>
      <c r="F1405" s="8">
        <v>1</v>
      </c>
      <c r="G1405" s="22" t="s">
        <v>1159</v>
      </c>
      <c r="H1405" s="8" t="s">
        <v>1159</v>
      </c>
      <c r="I1405" s="2" t="str">
        <f t="shared" ref="I1405:I1468" si="43">G1405</f>
        <v>Bì gai</v>
      </c>
      <c r="J1405" s="8" t="s">
        <v>15</v>
      </c>
      <c r="K1405" s="10">
        <v>500</v>
      </c>
      <c r="L1405" s="10">
        <v>8500</v>
      </c>
      <c r="M1405" s="11">
        <v>4250000</v>
      </c>
      <c r="N1405" s="8" t="s">
        <v>16</v>
      </c>
      <c r="O1405" s="8" t="s">
        <v>17</v>
      </c>
      <c r="P1405" s="8" t="s">
        <v>18</v>
      </c>
      <c r="Q1405" s="8" t="s">
        <v>18</v>
      </c>
      <c r="R1405" s="8" t="s">
        <v>2110</v>
      </c>
      <c r="S1405" s="8" t="s">
        <v>2073</v>
      </c>
      <c r="T1405" s="8" t="s">
        <v>2074</v>
      </c>
      <c r="U1405" s="8" t="s">
        <v>2075</v>
      </c>
      <c r="V1405" s="8" t="s">
        <v>1057</v>
      </c>
      <c r="W1405" s="8">
        <f t="shared" si="42"/>
        <v>1</v>
      </c>
      <c r="X1405" s="8">
        <f>K1405*L1405*N1405</f>
        <v>340000</v>
      </c>
    </row>
    <row r="1406" spans="1:24" s="8" customFormat="1" ht="41.5" customHeight="1">
      <c r="A1406" s="8" t="s">
        <v>2280</v>
      </c>
      <c r="B1406" s="8" t="s">
        <v>1158</v>
      </c>
      <c r="C1406" s="9">
        <v>45744.700585613398</v>
      </c>
      <c r="D1406" s="8" t="s">
        <v>2056</v>
      </c>
      <c r="E1406" s="8" t="s">
        <v>2057</v>
      </c>
      <c r="F1406" s="8">
        <v>2</v>
      </c>
      <c r="G1406" s="22" t="s">
        <v>1160</v>
      </c>
      <c r="H1406" s="8" t="s">
        <v>1160</v>
      </c>
      <c r="I1406" s="2" t="str">
        <f t="shared" si="43"/>
        <v>Bì xanh</v>
      </c>
      <c r="J1406" s="8" t="s">
        <v>15</v>
      </c>
      <c r="K1406" s="10">
        <v>1000</v>
      </c>
      <c r="L1406" s="10">
        <v>1100</v>
      </c>
      <c r="M1406" s="11">
        <v>1100000</v>
      </c>
      <c r="N1406" s="8" t="s">
        <v>16</v>
      </c>
      <c r="O1406" s="8" t="s">
        <v>17</v>
      </c>
      <c r="P1406" s="8" t="s">
        <v>18</v>
      </c>
      <c r="Q1406" s="8" t="s">
        <v>18</v>
      </c>
      <c r="R1406" s="8" t="s">
        <v>2110</v>
      </c>
      <c r="S1406" s="8" t="s">
        <v>2073</v>
      </c>
      <c r="T1406" s="8" t="s">
        <v>2074</v>
      </c>
      <c r="U1406" s="8" t="s">
        <v>2075</v>
      </c>
      <c r="V1406" s="8" t="s">
        <v>1057</v>
      </c>
      <c r="W1406" s="8">
        <f t="shared" si="42"/>
        <v>1</v>
      </c>
      <c r="X1406" s="8">
        <f>K1406*L1406*N1406</f>
        <v>88000</v>
      </c>
    </row>
    <row r="1407" spans="1:24" s="8" customFormat="1" ht="41.5" customHeight="1">
      <c r="A1407" s="8" t="s">
        <v>2316</v>
      </c>
      <c r="B1407" s="8" t="s">
        <v>2947</v>
      </c>
      <c r="C1407" s="9">
        <v>45747.7096650694</v>
      </c>
      <c r="D1407" s="8" t="s">
        <v>2056</v>
      </c>
      <c r="E1407" s="8" t="s">
        <v>2057</v>
      </c>
      <c r="F1407" s="8">
        <v>1</v>
      </c>
      <c r="G1407" s="27" t="s">
        <v>2140</v>
      </c>
      <c r="H1407" s="8" t="s">
        <v>69</v>
      </c>
      <c r="I1407" s="2" t="str">
        <f t="shared" si="43"/>
        <v>Thép ống hộp</v>
      </c>
      <c r="J1407" s="8" t="s">
        <v>62</v>
      </c>
      <c r="K1407" s="10">
        <v>246.08</v>
      </c>
      <c r="L1407" s="10">
        <v>18727.27</v>
      </c>
      <c r="M1407" s="11">
        <v>4608407</v>
      </c>
      <c r="N1407" s="8" t="s">
        <v>30</v>
      </c>
      <c r="O1407" s="8" t="s">
        <v>17</v>
      </c>
      <c r="P1407" s="8" t="s">
        <v>18</v>
      </c>
      <c r="Q1407" s="8" t="s">
        <v>18</v>
      </c>
      <c r="R1407" s="8" t="s">
        <v>2115</v>
      </c>
      <c r="S1407" s="8" t="s">
        <v>2137</v>
      </c>
      <c r="T1407" s="8" t="s">
        <v>2138</v>
      </c>
      <c r="U1407" s="8" t="s">
        <v>2724</v>
      </c>
      <c r="V1407" s="8" t="s">
        <v>42</v>
      </c>
      <c r="W1407" s="8">
        <f t="shared" si="42"/>
        <v>1</v>
      </c>
      <c r="X1407" s="8">
        <f>K1407*L1407*N1407</f>
        <v>460840.66016000009</v>
      </c>
    </row>
    <row r="1408" spans="1:24" s="8" customFormat="1" ht="41.5" customHeight="1">
      <c r="A1408" s="8" t="s">
        <v>2316</v>
      </c>
      <c r="B1408" s="8" t="s">
        <v>2947</v>
      </c>
      <c r="C1408" s="9">
        <v>45747.7096650694</v>
      </c>
      <c r="D1408" s="8" t="s">
        <v>2056</v>
      </c>
      <c r="E1408" s="8" t="s">
        <v>2057</v>
      </c>
      <c r="F1408" s="8">
        <v>2</v>
      </c>
      <c r="G1408" s="22" t="s">
        <v>159</v>
      </c>
      <c r="H1408" s="8" t="s">
        <v>159</v>
      </c>
      <c r="I1408" s="2" t="str">
        <f t="shared" si="43"/>
        <v>Hộp Inox 304</v>
      </c>
      <c r="J1408" s="8" t="s">
        <v>62</v>
      </c>
      <c r="K1408" s="10">
        <v>8.5</v>
      </c>
      <c r="L1408" s="10">
        <v>58000</v>
      </c>
      <c r="M1408" s="11">
        <v>493000</v>
      </c>
      <c r="N1408" s="8" t="s">
        <v>30</v>
      </c>
      <c r="O1408" s="8" t="s">
        <v>17</v>
      </c>
      <c r="P1408" s="8" t="s">
        <v>18</v>
      </c>
      <c r="Q1408" s="8" t="s">
        <v>18</v>
      </c>
      <c r="R1408" s="8" t="s">
        <v>2115</v>
      </c>
      <c r="S1408" s="8" t="s">
        <v>2137</v>
      </c>
      <c r="T1408" s="8" t="s">
        <v>2138</v>
      </c>
      <c r="U1408" s="8" t="s">
        <v>2724</v>
      </c>
      <c r="V1408" s="8" t="s">
        <v>42</v>
      </c>
      <c r="W1408" s="8">
        <f t="shared" si="42"/>
        <v>1</v>
      </c>
      <c r="X1408" s="8">
        <f>K1408*L1408*N1408</f>
        <v>49300</v>
      </c>
    </row>
    <row r="1409" spans="1:24" s="8" customFormat="1" ht="41.5" customHeight="1">
      <c r="A1409" s="8" t="s">
        <v>2316</v>
      </c>
      <c r="B1409" s="8" t="s">
        <v>2947</v>
      </c>
      <c r="C1409" s="9">
        <v>45747.7096650694</v>
      </c>
      <c r="D1409" s="8" t="s">
        <v>2056</v>
      </c>
      <c r="E1409" s="8" t="s">
        <v>2057</v>
      </c>
      <c r="F1409" s="8">
        <v>3</v>
      </c>
      <c r="G1409" s="22" t="s">
        <v>1346</v>
      </c>
      <c r="H1409" s="8" t="s">
        <v>70</v>
      </c>
      <c r="I1409" s="2" t="str">
        <f t="shared" si="43"/>
        <v>Tôn xốp</v>
      </c>
      <c r="J1409" s="8" t="s">
        <v>71</v>
      </c>
      <c r="K1409" s="10">
        <v>95</v>
      </c>
      <c r="L1409" s="10">
        <v>133000</v>
      </c>
      <c r="M1409" s="11">
        <v>12635000</v>
      </c>
      <c r="N1409" s="8" t="s">
        <v>30</v>
      </c>
      <c r="O1409" s="8" t="s">
        <v>17</v>
      </c>
      <c r="P1409" s="8" t="s">
        <v>18</v>
      </c>
      <c r="Q1409" s="8" t="s">
        <v>18</v>
      </c>
      <c r="R1409" s="8" t="s">
        <v>2115</v>
      </c>
      <c r="S1409" s="8" t="s">
        <v>2137</v>
      </c>
      <c r="T1409" s="8" t="s">
        <v>2138</v>
      </c>
      <c r="U1409" s="8" t="s">
        <v>2724</v>
      </c>
      <c r="V1409" s="8" t="s">
        <v>42</v>
      </c>
      <c r="W1409" s="8">
        <f t="shared" si="42"/>
        <v>1</v>
      </c>
      <c r="X1409" s="8">
        <f>K1409*L1409*N1409</f>
        <v>1263500</v>
      </c>
    </row>
    <row r="1410" spans="1:24" s="13" customFormat="1" ht="41.5" customHeight="1">
      <c r="A1410" s="8" t="s">
        <v>2316</v>
      </c>
      <c r="B1410" s="13" t="s">
        <v>2947</v>
      </c>
      <c r="C1410" s="14">
        <v>45747.7096650694</v>
      </c>
      <c r="D1410" s="13" t="s">
        <v>2056</v>
      </c>
      <c r="E1410" s="13" t="s">
        <v>2057</v>
      </c>
      <c r="F1410" s="13">
        <v>4</v>
      </c>
      <c r="G1410" s="28" t="s">
        <v>1363</v>
      </c>
      <c r="H1410" s="13" t="s">
        <v>59</v>
      </c>
      <c r="I1410" s="2" t="str">
        <f t="shared" si="43"/>
        <v>Tôn màu</v>
      </c>
      <c r="J1410" s="13" t="s">
        <v>62</v>
      </c>
      <c r="K1410" s="15">
        <v>624.20000000000005</v>
      </c>
      <c r="L1410" s="15">
        <v>22090.91</v>
      </c>
      <c r="M1410" s="16">
        <v>13789146</v>
      </c>
      <c r="N1410" s="13" t="s">
        <v>30</v>
      </c>
      <c r="O1410" s="13" t="s">
        <v>17</v>
      </c>
      <c r="P1410" s="13" t="s">
        <v>18</v>
      </c>
      <c r="Q1410" s="13" t="s">
        <v>18</v>
      </c>
      <c r="R1410" s="13" t="s">
        <v>2115</v>
      </c>
      <c r="S1410" s="13" t="s">
        <v>2137</v>
      </c>
      <c r="T1410" s="13" t="s">
        <v>2138</v>
      </c>
      <c r="U1410" s="13" t="s">
        <v>2724</v>
      </c>
      <c r="V1410" s="13" t="s">
        <v>42</v>
      </c>
      <c r="W1410" s="13">
        <f t="shared" si="42"/>
        <v>1</v>
      </c>
      <c r="X1410" s="8">
        <f>K1410*L1410*N1410</f>
        <v>1378914.6022000003</v>
      </c>
    </row>
    <row r="1411" spans="1:24" s="8" customFormat="1" ht="41.5" customHeight="1">
      <c r="A1411" s="8" t="s">
        <v>2316</v>
      </c>
      <c r="B1411" s="8" t="s">
        <v>2948</v>
      </c>
      <c r="C1411" s="9">
        <v>45731.717700312503</v>
      </c>
      <c r="D1411" s="8" t="s">
        <v>2056</v>
      </c>
      <c r="E1411" s="8" t="s">
        <v>2057</v>
      </c>
      <c r="F1411" s="8">
        <v>1</v>
      </c>
      <c r="G1411" s="22" t="s">
        <v>1346</v>
      </c>
      <c r="H1411" s="8" t="s">
        <v>413</v>
      </c>
      <c r="I1411" s="2" t="str">
        <f t="shared" si="43"/>
        <v>Tôn xốp</v>
      </c>
      <c r="J1411" s="8" t="s">
        <v>71</v>
      </c>
      <c r="K1411" s="10">
        <v>122</v>
      </c>
      <c r="L1411" s="10">
        <v>157000</v>
      </c>
      <c r="M1411" s="11">
        <v>19154000</v>
      </c>
      <c r="N1411" s="8" t="s">
        <v>30</v>
      </c>
      <c r="O1411" s="8" t="s">
        <v>17</v>
      </c>
      <c r="P1411" s="8" t="s">
        <v>18</v>
      </c>
      <c r="Q1411" s="8" t="s">
        <v>18</v>
      </c>
      <c r="R1411" s="8" t="s">
        <v>2115</v>
      </c>
      <c r="S1411" s="8" t="s">
        <v>2137</v>
      </c>
      <c r="T1411" s="8" t="s">
        <v>2138</v>
      </c>
      <c r="U1411" s="8" t="s">
        <v>2724</v>
      </c>
      <c r="V1411" s="8" t="s">
        <v>1161</v>
      </c>
      <c r="W1411" s="8">
        <f t="shared" si="42"/>
        <v>1</v>
      </c>
      <c r="X1411" s="8">
        <f>K1411*L1411*N1411</f>
        <v>1915400</v>
      </c>
    </row>
    <row r="1412" spans="1:24" s="13" customFormat="1" ht="41.5" customHeight="1">
      <c r="A1412" s="8" t="s">
        <v>2316</v>
      </c>
      <c r="B1412" s="13" t="s">
        <v>2948</v>
      </c>
      <c r="C1412" s="14">
        <v>45731.717700312503</v>
      </c>
      <c r="D1412" s="13" t="s">
        <v>2056</v>
      </c>
      <c r="E1412" s="13" t="s">
        <v>2057</v>
      </c>
      <c r="F1412" s="13">
        <v>2</v>
      </c>
      <c r="G1412" s="28" t="s">
        <v>1363</v>
      </c>
      <c r="H1412" s="13" t="s">
        <v>59</v>
      </c>
      <c r="I1412" s="2" t="str">
        <f t="shared" si="43"/>
        <v>Tôn màu</v>
      </c>
      <c r="J1412" s="13" t="s">
        <v>62</v>
      </c>
      <c r="K1412" s="15">
        <v>596</v>
      </c>
      <c r="L1412" s="15">
        <v>22090.91</v>
      </c>
      <c r="M1412" s="16">
        <v>13166182</v>
      </c>
      <c r="N1412" s="13" t="s">
        <v>30</v>
      </c>
      <c r="O1412" s="13" t="s">
        <v>17</v>
      </c>
      <c r="P1412" s="13" t="s">
        <v>18</v>
      </c>
      <c r="Q1412" s="13" t="s">
        <v>18</v>
      </c>
      <c r="R1412" s="13" t="s">
        <v>2115</v>
      </c>
      <c r="S1412" s="13" t="s">
        <v>2137</v>
      </c>
      <c r="T1412" s="13" t="s">
        <v>2138</v>
      </c>
      <c r="U1412" s="13" t="s">
        <v>2724</v>
      </c>
      <c r="V1412" s="13" t="s">
        <v>1161</v>
      </c>
      <c r="W1412" s="13">
        <f t="shared" si="42"/>
        <v>1</v>
      </c>
      <c r="X1412" s="8">
        <f>K1412*L1412*N1412</f>
        <v>1316618.236</v>
      </c>
    </row>
    <row r="1413" spans="1:24" s="8" customFormat="1" ht="41.5" customHeight="1">
      <c r="A1413" s="8" t="s">
        <v>2280</v>
      </c>
      <c r="B1413" s="8" t="s">
        <v>1162</v>
      </c>
      <c r="C1413" s="9">
        <v>45744.483186273203</v>
      </c>
      <c r="D1413" s="8" t="s">
        <v>2056</v>
      </c>
      <c r="E1413" s="8" t="s">
        <v>2057</v>
      </c>
      <c r="F1413" s="8">
        <v>1</v>
      </c>
      <c r="G1413" s="27" t="s">
        <v>2651</v>
      </c>
      <c r="H1413" s="8" t="s">
        <v>802</v>
      </c>
      <c r="I1413" s="2" t="str">
        <f t="shared" si="43"/>
        <v>Máy cắt LW1401</v>
      </c>
      <c r="J1413" s="8" t="s">
        <v>15</v>
      </c>
      <c r="K1413" s="10">
        <v>1</v>
      </c>
      <c r="L1413" s="10">
        <v>3500000</v>
      </c>
      <c r="M1413" s="11">
        <v>3500000</v>
      </c>
      <c r="N1413" s="8" t="s">
        <v>30</v>
      </c>
      <c r="O1413" s="8" t="s">
        <v>17</v>
      </c>
      <c r="P1413" s="8" t="s">
        <v>18</v>
      </c>
      <c r="Q1413" s="8" t="s">
        <v>18</v>
      </c>
      <c r="R1413" s="8" t="s">
        <v>2110</v>
      </c>
      <c r="S1413" s="8" t="s">
        <v>2205</v>
      </c>
      <c r="T1413" s="8" t="s">
        <v>2206</v>
      </c>
      <c r="U1413" s="8" t="s">
        <v>2725</v>
      </c>
      <c r="V1413" s="8" t="s">
        <v>1057</v>
      </c>
      <c r="W1413" s="8">
        <f t="shared" si="42"/>
        <v>1</v>
      </c>
      <c r="X1413" s="8">
        <f>K1413*L1413*N1413</f>
        <v>350000</v>
      </c>
    </row>
    <row r="1414" spans="1:24" s="8" customFormat="1" ht="41.5" customHeight="1">
      <c r="A1414" s="8" t="s">
        <v>2280</v>
      </c>
      <c r="B1414" s="8" t="s">
        <v>1162</v>
      </c>
      <c r="C1414" s="9">
        <v>45744.483186273203</v>
      </c>
      <c r="D1414" s="8" t="s">
        <v>2056</v>
      </c>
      <c r="E1414" s="8" t="s">
        <v>2057</v>
      </c>
      <c r="F1414" s="8">
        <v>2</v>
      </c>
      <c r="G1414" s="22" t="s">
        <v>1554</v>
      </c>
      <c r="H1414" s="8" t="s">
        <v>1163</v>
      </c>
      <c r="I1414" s="2" t="str">
        <f t="shared" si="43"/>
        <v>Máy khoan động lực 2470x5 HR2470</v>
      </c>
      <c r="J1414" s="8" t="s">
        <v>15</v>
      </c>
      <c r="K1414" s="10">
        <v>1</v>
      </c>
      <c r="L1414" s="10">
        <v>2954546</v>
      </c>
      <c r="M1414" s="11">
        <v>2954546</v>
      </c>
      <c r="N1414" s="8" t="s">
        <v>30</v>
      </c>
      <c r="O1414" s="8" t="s">
        <v>17</v>
      </c>
      <c r="P1414" s="8" t="s">
        <v>18</v>
      </c>
      <c r="Q1414" s="8" t="s">
        <v>18</v>
      </c>
      <c r="R1414" s="8" t="s">
        <v>2110</v>
      </c>
      <c r="S1414" s="8" t="s">
        <v>2205</v>
      </c>
      <c r="T1414" s="8" t="s">
        <v>2206</v>
      </c>
      <c r="U1414" s="8" t="s">
        <v>2725</v>
      </c>
      <c r="V1414" s="8" t="s">
        <v>1057</v>
      </c>
      <c r="W1414" s="8">
        <f t="shared" si="42"/>
        <v>1</v>
      </c>
      <c r="X1414" s="8">
        <f>K1414*L1414*N1414</f>
        <v>295454.60000000003</v>
      </c>
    </row>
    <row r="1415" spans="1:24" s="8" customFormat="1" ht="41.5" customHeight="1">
      <c r="A1415" s="8" t="s">
        <v>2280</v>
      </c>
      <c r="B1415" s="8" t="s">
        <v>1162</v>
      </c>
      <c r="C1415" s="9">
        <v>45744.483186273203</v>
      </c>
      <c r="D1415" s="8" t="s">
        <v>2056</v>
      </c>
      <c r="E1415" s="8" t="s">
        <v>2057</v>
      </c>
      <c r="F1415" s="8">
        <v>3</v>
      </c>
      <c r="G1415" s="22" t="s">
        <v>799</v>
      </c>
      <c r="H1415" s="8" t="s">
        <v>799</v>
      </c>
      <c r="I1415" s="2" t="str">
        <f t="shared" si="43"/>
        <v>Máy mài góc (GA4034)</v>
      </c>
      <c r="J1415" s="8" t="s">
        <v>15</v>
      </c>
      <c r="K1415" s="10">
        <v>2</v>
      </c>
      <c r="L1415" s="10">
        <v>1181818</v>
      </c>
      <c r="M1415" s="11">
        <v>2363636</v>
      </c>
      <c r="N1415" s="8" t="s">
        <v>30</v>
      </c>
      <c r="O1415" s="8" t="s">
        <v>17</v>
      </c>
      <c r="P1415" s="8" t="s">
        <v>18</v>
      </c>
      <c r="Q1415" s="8" t="s">
        <v>18</v>
      </c>
      <c r="R1415" s="8" t="s">
        <v>2110</v>
      </c>
      <c r="S1415" s="8" t="s">
        <v>2205</v>
      </c>
      <c r="T1415" s="8" t="s">
        <v>2206</v>
      </c>
      <c r="U1415" s="8" t="s">
        <v>2725</v>
      </c>
      <c r="V1415" s="8" t="s">
        <v>1057</v>
      </c>
      <c r="W1415" s="8">
        <f t="shared" si="42"/>
        <v>1</v>
      </c>
      <c r="X1415" s="8">
        <f>K1415*L1415*N1415</f>
        <v>236363.6</v>
      </c>
    </row>
    <row r="1416" spans="1:24" s="8" customFormat="1" ht="41.5" customHeight="1">
      <c r="A1416" s="8" t="s">
        <v>2280</v>
      </c>
      <c r="B1416" s="8" t="s">
        <v>1005</v>
      </c>
      <c r="C1416" s="9">
        <v>45735.362873182901</v>
      </c>
      <c r="D1416" s="8" t="s">
        <v>2056</v>
      </c>
      <c r="E1416" s="8" t="s">
        <v>2057</v>
      </c>
      <c r="F1416" s="8">
        <v>1</v>
      </c>
      <c r="G1416" s="22" t="s">
        <v>161</v>
      </c>
      <c r="H1416" s="8" t="s">
        <v>1164</v>
      </c>
      <c r="I1416" s="2" t="str">
        <f t="shared" si="43"/>
        <v>Máy đầm đất (ZPC25)</v>
      </c>
      <c r="J1416" s="8" t="s">
        <v>15</v>
      </c>
      <c r="K1416" s="10">
        <v>2</v>
      </c>
      <c r="L1416" s="10">
        <v>1363636</v>
      </c>
      <c r="M1416" s="11">
        <v>2727272</v>
      </c>
      <c r="N1416" s="8" t="s">
        <v>30</v>
      </c>
      <c r="O1416" s="8" t="s">
        <v>17</v>
      </c>
      <c r="P1416" s="8" t="s">
        <v>18</v>
      </c>
      <c r="Q1416" s="8" t="s">
        <v>18</v>
      </c>
      <c r="R1416" s="8" t="s">
        <v>2110</v>
      </c>
      <c r="S1416" s="8" t="s">
        <v>2205</v>
      </c>
      <c r="T1416" s="8" t="s">
        <v>2206</v>
      </c>
      <c r="U1416" s="8" t="s">
        <v>2725</v>
      </c>
      <c r="V1416" s="8" t="s">
        <v>1165</v>
      </c>
      <c r="W1416" s="8">
        <f t="shared" si="42"/>
        <v>1</v>
      </c>
      <c r="X1416" s="8">
        <f>K1416*L1416*N1416</f>
        <v>272727.2</v>
      </c>
    </row>
    <row r="1417" spans="1:24" s="8" customFormat="1" ht="41.5" customHeight="1">
      <c r="A1417" s="8" t="s">
        <v>2280</v>
      </c>
      <c r="B1417" s="8" t="s">
        <v>1005</v>
      </c>
      <c r="C1417" s="9">
        <v>45735.362873182901</v>
      </c>
      <c r="D1417" s="8" t="s">
        <v>2056</v>
      </c>
      <c r="E1417" s="8" t="s">
        <v>2057</v>
      </c>
      <c r="F1417" s="8">
        <v>2</v>
      </c>
      <c r="G1417" s="27" t="s">
        <v>1166</v>
      </c>
      <c r="H1417" s="8" t="s">
        <v>1166</v>
      </c>
      <c r="I1417" s="2" t="str">
        <f t="shared" si="43"/>
        <v>Đầu nổ robin (EH0930)</v>
      </c>
      <c r="J1417" s="8" t="s">
        <v>15</v>
      </c>
      <c r="K1417" s="10">
        <v>2</v>
      </c>
      <c r="L1417" s="10">
        <v>6574074</v>
      </c>
      <c r="M1417" s="11">
        <v>13148148</v>
      </c>
      <c r="N1417" s="8" t="s">
        <v>16</v>
      </c>
      <c r="O1417" s="8" t="s">
        <v>17</v>
      </c>
      <c r="P1417" s="8" t="s">
        <v>18</v>
      </c>
      <c r="Q1417" s="8" t="s">
        <v>18</v>
      </c>
      <c r="R1417" s="8" t="s">
        <v>2110</v>
      </c>
      <c r="S1417" s="8" t="s">
        <v>2205</v>
      </c>
      <c r="T1417" s="8" t="s">
        <v>2206</v>
      </c>
      <c r="U1417" s="8" t="s">
        <v>2725</v>
      </c>
      <c r="V1417" s="8" t="s">
        <v>1165</v>
      </c>
      <c r="W1417" s="8">
        <f t="shared" si="42"/>
        <v>1</v>
      </c>
      <c r="X1417" s="8">
        <f>K1417*L1417*N1417</f>
        <v>1051851.8400000001</v>
      </c>
    </row>
    <row r="1418" spans="1:24" s="8" customFormat="1" ht="41.5" customHeight="1">
      <c r="A1418" s="8" t="s">
        <v>2280</v>
      </c>
      <c r="B1418" s="8" t="s">
        <v>1005</v>
      </c>
      <c r="C1418" s="9">
        <v>45735.362873182901</v>
      </c>
      <c r="D1418" s="8" t="s">
        <v>2056</v>
      </c>
      <c r="E1418" s="8" t="s">
        <v>2057</v>
      </c>
      <c r="F1418" s="8">
        <v>3</v>
      </c>
      <c r="G1418" s="27" t="s">
        <v>1167</v>
      </c>
      <c r="H1418" s="8" t="s">
        <v>1167</v>
      </c>
      <c r="I1418" s="2" t="str">
        <f t="shared" si="43"/>
        <v>Máy cưa đĩa (N5900B)</v>
      </c>
      <c r="J1418" s="8" t="s">
        <v>15</v>
      </c>
      <c r="K1418" s="10">
        <v>1</v>
      </c>
      <c r="L1418" s="10">
        <v>2818183</v>
      </c>
      <c r="M1418" s="11">
        <v>2818183</v>
      </c>
      <c r="N1418" s="8" t="s">
        <v>30</v>
      </c>
      <c r="O1418" s="8" t="s">
        <v>17</v>
      </c>
      <c r="P1418" s="8" t="s">
        <v>18</v>
      </c>
      <c r="Q1418" s="8" t="s">
        <v>18</v>
      </c>
      <c r="R1418" s="8" t="s">
        <v>2110</v>
      </c>
      <c r="S1418" s="8" t="s">
        <v>2205</v>
      </c>
      <c r="T1418" s="8" t="s">
        <v>2206</v>
      </c>
      <c r="U1418" s="8" t="s">
        <v>2725</v>
      </c>
      <c r="V1418" s="8" t="s">
        <v>1165</v>
      </c>
      <c r="W1418" s="8">
        <f t="shared" si="42"/>
        <v>1</v>
      </c>
      <c r="X1418" s="8">
        <f>K1418*L1418*N1418</f>
        <v>281818.3</v>
      </c>
    </row>
    <row r="1419" spans="1:24" s="8" customFormat="1" ht="41.5" customHeight="1">
      <c r="A1419" s="8" t="s">
        <v>2949</v>
      </c>
      <c r="B1419" s="8" t="s">
        <v>140</v>
      </c>
      <c r="C1419" s="9">
        <v>45745.733433958303</v>
      </c>
      <c r="D1419" s="8" t="s">
        <v>2056</v>
      </c>
      <c r="E1419" s="8" t="s">
        <v>2057</v>
      </c>
      <c r="F1419" s="8">
        <v>1</v>
      </c>
      <c r="G1419" s="22" t="s">
        <v>2950</v>
      </c>
      <c r="H1419" s="8" t="s">
        <v>1168</v>
      </c>
      <c r="I1419" s="2" t="str">
        <f t="shared" si="43"/>
        <v>máy mài cầm tay dùng điện công suất 950W</v>
      </c>
      <c r="J1419" s="8" t="s">
        <v>15</v>
      </c>
      <c r="K1419" s="10">
        <v>20</v>
      </c>
      <c r="L1419" s="10">
        <v>210000</v>
      </c>
      <c r="M1419" s="11">
        <v>4200000</v>
      </c>
      <c r="N1419" s="8" t="s">
        <v>30</v>
      </c>
      <c r="O1419" s="8" t="s">
        <v>17</v>
      </c>
      <c r="P1419" s="8" t="s">
        <v>18</v>
      </c>
      <c r="Q1419" s="8" t="s">
        <v>18</v>
      </c>
      <c r="R1419" s="8" t="s">
        <v>2115</v>
      </c>
      <c r="S1419" s="8" t="s">
        <v>2951</v>
      </c>
      <c r="T1419" s="8" t="s">
        <v>2952</v>
      </c>
      <c r="U1419" s="8" t="s">
        <v>2953</v>
      </c>
      <c r="V1419" s="8" t="s">
        <v>1128</v>
      </c>
      <c r="W1419" s="8">
        <f t="shared" si="42"/>
        <v>1</v>
      </c>
      <c r="X1419" s="8">
        <f>K1419*L1419*N1419</f>
        <v>420000</v>
      </c>
    </row>
    <row r="1420" spans="1:24" s="8" customFormat="1" ht="41.5" customHeight="1">
      <c r="A1420" s="8" t="s">
        <v>2949</v>
      </c>
      <c r="B1420" s="8" t="s">
        <v>140</v>
      </c>
      <c r="C1420" s="9">
        <v>45745.733433958303</v>
      </c>
      <c r="D1420" s="8" t="s">
        <v>2056</v>
      </c>
      <c r="E1420" s="8" t="s">
        <v>2057</v>
      </c>
      <c r="F1420" s="8">
        <v>2</v>
      </c>
      <c r="G1420" s="22" t="s">
        <v>1465</v>
      </c>
      <c r="H1420" s="8" t="s">
        <v>1169</v>
      </c>
      <c r="I1420" s="2" t="str">
        <f t="shared" si="43"/>
        <v>Máy đục bê tông cầm tay 1000W</v>
      </c>
      <c r="J1420" s="8" t="s">
        <v>15</v>
      </c>
      <c r="K1420" s="10">
        <v>10</v>
      </c>
      <c r="L1420" s="10">
        <v>255000</v>
      </c>
      <c r="M1420" s="11">
        <v>2550000</v>
      </c>
      <c r="N1420" s="8" t="s">
        <v>30</v>
      </c>
      <c r="O1420" s="8" t="s">
        <v>17</v>
      </c>
      <c r="P1420" s="8" t="s">
        <v>18</v>
      </c>
      <c r="Q1420" s="8" t="s">
        <v>18</v>
      </c>
      <c r="R1420" s="8" t="s">
        <v>2115</v>
      </c>
      <c r="S1420" s="8" t="s">
        <v>2951</v>
      </c>
      <c r="T1420" s="8" t="s">
        <v>2952</v>
      </c>
      <c r="U1420" s="8" t="s">
        <v>2953</v>
      </c>
      <c r="V1420" s="8" t="s">
        <v>1128</v>
      </c>
      <c r="W1420" s="8">
        <f t="shared" si="42"/>
        <v>1</v>
      </c>
      <c r="X1420" s="8">
        <f>K1420*L1420*N1420</f>
        <v>255000</v>
      </c>
    </row>
    <row r="1421" spans="1:24" s="8" customFormat="1" ht="41.5" customHeight="1">
      <c r="A1421" s="8" t="s">
        <v>2949</v>
      </c>
      <c r="B1421" s="8" t="s">
        <v>140</v>
      </c>
      <c r="C1421" s="9">
        <v>45745.733433958303</v>
      </c>
      <c r="D1421" s="8" t="s">
        <v>2056</v>
      </c>
      <c r="E1421" s="8" t="s">
        <v>2057</v>
      </c>
      <c r="F1421" s="8">
        <v>3</v>
      </c>
      <c r="G1421" s="22" t="s">
        <v>1365</v>
      </c>
      <c r="H1421" s="8" t="s">
        <v>1170</v>
      </c>
      <c r="I1421" s="2" t="str">
        <f t="shared" si="43"/>
        <v>Máy khuấy sơn cầm tay công suất 1300W</v>
      </c>
      <c r="J1421" s="8" t="s">
        <v>15</v>
      </c>
      <c r="K1421" s="10">
        <v>10</v>
      </c>
      <c r="L1421" s="10">
        <v>185000</v>
      </c>
      <c r="M1421" s="11">
        <v>1850000</v>
      </c>
      <c r="N1421" s="8" t="s">
        <v>30</v>
      </c>
      <c r="O1421" s="8" t="s">
        <v>17</v>
      </c>
      <c r="P1421" s="8" t="s">
        <v>18</v>
      </c>
      <c r="Q1421" s="8" t="s">
        <v>18</v>
      </c>
      <c r="R1421" s="8" t="s">
        <v>2115</v>
      </c>
      <c r="S1421" s="8" t="s">
        <v>2951</v>
      </c>
      <c r="T1421" s="8" t="s">
        <v>2952</v>
      </c>
      <c r="U1421" s="8" t="s">
        <v>2953</v>
      </c>
      <c r="V1421" s="8" t="s">
        <v>1128</v>
      </c>
      <c r="W1421" s="8">
        <f t="shared" si="42"/>
        <v>1</v>
      </c>
      <c r="X1421" s="8">
        <f>K1421*L1421*N1421</f>
        <v>185000</v>
      </c>
    </row>
    <row r="1422" spans="1:24" s="8" customFormat="1" ht="41.5" customHeight="1">
      <c r="A1422" s="8" t="s">
        <v>2949</v>
      </c>
      <c r="B1422" s="8" t="s">
        <v>140</v>
      </c>
      <c r="C1422" s="9">
        <v>45745.733433958303</v>
      </c>
      <c r="D1422" s="8" t="s">
        <v>2056</v>
      </c>
      <c r="E1422" s="8" t="s">
        <v>2057</v>
      </c>
      <c r="F1422" s="8">
        <v>4</v>
      </c>
      <c r="G1422" s="22" t="s">
        <v>1465</v>
      </c>
      <c r="H1422" s="8" t="s">
        <v>1171</v>
      </c>
      <c r="I1422" s="2" t="str">
        <f t="shared" si="43"/>
        <v>Máy đục bê tông cầm tay 1000W</v>
      </c>
      <c r="J1422" s="8" t="s">
        <v>15</v>
      </c>
      <c r="K1422" s="10">
        <v>10</v>
      </c>
      <c r="L1422" s="10">
        <v>227000</v>
      </c>
      <c r="M1422" s="11">
        <v>2270000</v>
      </c>
      <c r="N1422" s="8" t="s">
        <v>30</v>
      </c>
      <c r="O1422" s="8" t="s">
        <v>17</v>
      </c>
      <c r="P1422" s="8" t="s">
        <v>18</v>
      </c>
      <c r="Q1422" s="8" t="s">
        <v>18</v>
      </c>
      <c r="R1422" s="8" t="s">
        <v>2115</v>
      </c>
      <c r="S1422" s="8" t="s">
        <v>2951</v>
      </c>
      <c r="T1422" s="8" t="s">
        <v>2952</v>
      </c>
      <c r="U1422" s="8" t="s">
        <v>2953</v>
      </c>
      <c r="V1422" s="8" t="s">
        <v>1128</v>
      </c>
      <c r="W1422" s="8">
        <f t="shared" si="42"/>
        <v>1</v>
      </c>
      <c r="X1422" s="8">
        <f>K1422*L1422*N1422</f>
        <v>227000</v>
      </c>
    </row>
    <row r="1423" spans="1:24" s="8" customFormat="1" ht="41.5" customHeight="1">
      <c r="A1423" s="8" t="s">
        <v>2949</v>
      </c>
      <c r="B1423" s="8" t="s">
        <v>140</v>
      </c>
      <c r="C1423" s="9">
        <v>45745.733433958303</v>
      </c>
      <c r="D1423" s="8" t="s">
        <v>2056</v>
      </c>
      <c r="E1423" s="8" t="s">
        <v>2057</v>
      </c>
      <c r="F1423" s="8">
        <v>5</v>
      </c>
      <c r="G1423" s="22" t="s">
        <v>2954</v>
      </c>
      <c r="H1423" s="8" t="s">
        <v>1172</v>
      </c>
      <c r="I1423" s="2" t="str">
        <f t="shared" si="43"/>
        <v>máy mài cầm tay dùng điện công suất 860W</v>
      </c>
      <c r="J1423" s="8" t="s">
        <v>15</v>
      </c>
      <c r="K1423" s="10">
        <v>20</v>
      </c>
      <c r="L1423" s="10">
        <v>220000</v>
      </c>
      <c r="M1423" s="11">
        <v>4400000</v>
      </c>
      <c r="N1423" s="8" t="s">
        <v>30</v>
      </c>
      <c r="O1423" s="8" t="s">
        <v>17</v>
      </c>
      <c r="P1423" s="8" t="s">
        <v>18</v>
      </c>
      <c r="Q1423" s="8" t="s">
        <v>18</v>
      </c>
      <c r="R1423" s="8" t="s">
        <v>2115</v>
      </c>
      <c r="S1423" s="8" t="s">
        <v>2951</v>
      </c>
      <c r="T1423" s="8" t="s">
        <v>2952</v>
      </c>
      <c r="U1423" s="8" t="s">
        <v>2953</v>
      </c>
      <c r="V1423" s="8" t="s">
        <v>1128</v>
      </c>
      <c r="W1423" s="8">
        <f t="shared" si="42"/>
        <v>1</v>
      </c>
      <c r="X1423" s="8">
        <f>K1423*L1423*N1423</f>
        <v>440000</v>
      </c>
    </row>
    <row r="1424" spans="1:24" s="8" customFormat="1" ht="41.5" customHeight="1">
      <c r="A1424" s="8" t="s">
        <v>2949</v>
      </c>
      <c r="B1424" s="8" t="s">
        <v>140</v>
      </c>
      <c r="C1424" s="9">
        <v>45745.733433958303</v>
      </c>
      <c r="D1424" s="8" t="s">
        <v>2056</v>
      </c>
      <c r="E1424" s="8" t="s">
        <v>2057</v>
      </c>
      <c r="F1424" s="8">
        <v>6</v>
      </c>
      <c r="G1424" s="22" t="s">
        <v>1500</v>
      </c>
      <c r="H1424" s="8" t="s">
        <v>1173</v>
      </c>
      <c r="I1424" s="2" t="str">
        <f t="shared" si="43"/>
        <v>Máy phun sơn cầm tay dùng điện công suất 850</v>
      </c>
      <c r="J1424" s="8" t="s">
        <v>15</v>
      </c>
      <c r="K1424" s="10">
        <v>10</v>
      </c>
      <c r="L1424" s="10">
        <v>120000</v>
      </c>
      <c r="M1424" s="11">
        <v>1200000</v>
      </c>
      <c r="N1424" s="8" t="s">
        <v>30</v>
      </c>
      <c r="O1424" s="8" t="s">
        <v>17</v>
      </c>
      <c r="P1424" s="8" t="s">
        <v>18</v>
      </c>
      <c r="Q1424" s="8" t="s">
        <v>18</v>
      </c>
      <c r="R1424" s="8" t="s">
        <v>2115</v>
      </c>
      <c r="S1424" s="8" t="s">
        <v>2951</v>
      </c>
      <c r="T1424" s="8" t="s">
        <v>2952</v>
      </c>
      <c r="U1424" s="8" t="s">
        <v>2953</v>
      </c>
      <c r="V1424" s="8" t="s">
        <v>1128</v>
      </c>
      <c r="W1424" s="8">
        <f t="shared" si="42"/>
        <v>1</v>
      </c>
      <c r="X1424" s="8">
        <f>K1424*L1424*N1424</f>
        <v>120000</v>
      </c>
    </row>
    <row r="1425" spans="1:24" s="8" customFormat="1" ht="41.5" customHeight="1">
      <c r="A1425" s="8" t="s">
        <v>2949</v>
      </c>
      <c r="B1425" s="8" t="s">
        <v>140</v>
      </c>
      <c r="C1425" s="9">
        <v>45745.733433958303</v>
      </c>
      <c r="D1425" s="8" t="s">
        <v>2056</v>
      </c>
      <c r="E1425" s="8" t="s">
        <v>2057</v>
      </c>
      <c r="F1425" s="8">
        <v>7</v>
      </c>
      <c r="G1425" s="22" t="s">
        <v>1627</v>
      </c>
      <c r="H1425" s="8" t="s">
        <v>1174</v>
      </c>
      <c r="I1425" s="2" t="str">
        <f t="shared" si="43"/>
        <v>Thiết bị quang học dùng laser trong xây dựng</v>
      </c>
      <c r="J1425" s="8" t="s">
        <v>15</v>
      </c>
      <c r="K1425" s="10">
        <v>10</v>
      </c>
      <c r="L1425" s="10">
        <v>165000</v>
      </c>
      <c r="M1425" s="11">
        <v>1650000</v>
      </c>
      <c r="N1425" s="8" t="s">
        <v>30</v>
      </c>
      <c r="O1425" s="8" t="s">
        <v>17</v>
      </c>
      <c r="P1425" s="8" t="s">
        <v>18</v>
      </c>
      <c r="Q1425" s="8" t="s">
        <v>18</v>
      </c>
      <c r="R1425" s="8" t="s">
        <v>2115</v>
      </c>
      <c r="S1425" s="8" t="s">
        <v>2951</v>
      </c>
      <c r="T1425" s="8" t="s">
        <v>2952</v>
      </c>
      <c r="U1425" s="8" t="s">
        <v>2953</v>
      </c>
      <c r="V1425" s="8" t="s">
        <v>1128</v>
      </c>
      <c r="W1425" s="8">
        <f t="shared" si="42"/>
        <v>1</v>
      </c>
      <c r="X1425" s="8">
        <f>K1425*L1425*N1425</f>
        <v>165000</v>
      </c>
    </row>
    <row r="1426" spans="1:24" s="8" customFormat="1" ht="41.5" customHeight="1">
      <c r="A1426" s="8" t="s">
        <v>2955</v>
      </c>
      <c r="B1426" s="8" t="s">
        <v>2956</v>
      </c>
      <c r="C1426" s="9">
        <v>45734.735226724501</v>
      </c>
      <c r="D1426" s="8" t="s">
        <v>2056</v>
      </c>
      <c r="E1426" s="8" t="s">
        <v>2057</v>
      </c>
      <c r="F1426" s="8">
        <v>1</v>
      </c>
      <c r="G1426" s="2">
        <v>642</v>
      </c>
      <c r="H1426" s="8" t="s">
        <v>1175</v>
      </c>
      <c r="I1426" s="2">
        <f t="shared" si="43"/>
        <v>642</v>
      </c>
      <c r="J1426" s="8" t="s">
        <v>19</v>
      </c>
      <c r="K1426" s="10">
        <v>1</v>
      </c>
      <c r="L1426" s="10">
        <v>17172727.27</v>
      </c>
      <c r="M1426" s="11">
        <v>17172727.27</v>
      </c>
      <c r="N1426" s="8" t="s">
        <v>30</v>
      </c>
      <c r="O1426" s="8" t="s">
        <v>17</v>
      </c>
      <c r="P1426" s="8" t="s">
        <v>18</v>
      </c>
      <c r="Q1426" s="8" t="s">
        <v>18</v>
      </c>
      <c r="R1426" s="8" t="s">
        <v>2957</v>
      </c>
      <c r="S1426" s="8" t="s">
        <v>2958</v>
      </c>
      <c r="T1426" s="8" t="s">
        <v>2959</v>
      </c>
      <c r="U1426" s="8" t="s">
        <v>2960</v>
      </c>
      <c r="V1426" s="8" t="s">
        <v>1176</v>
      </c>
      <c r="W1426" s="8">
        <f t="shared" si="42"/>
        <v>1</v>
      </c>
      <c r="X1426" s="8">
        <f>K1426*L1426*N1426</f>
        <v>1717272.727</v>
      </c>
    </row>
    <row r="1427" spans="1:24" s="8" customFormat="1" ht="41.5" customHeight="1">
      <c r="A1427" s="8" t="s">
        <v>2955</v>
      </c>
      <c r="B1427" s="8" t="s">
        <v>2956</v>
      </c>
      <c r="C1427" s="9">
        <v>45734.735226724501</v>
      </c>
      <c r="D1427" s="8" t="s">
        <v>2056</v>
      </c>
      <c r="E1427" s="8" t="s">
        <v>2057</v>
      </c>
      <c r="F1427" s="8">
        <v>2</v>
      </c>
      <c r="G1427" s="2">
        <v>642</v>
      </c>
      <c r="H1427" s="8" t="s">
        <v>1177</v>
      </c>
      <c r="I1427" s="2">
        <f t="shared" si="43"/>
        <v>642</v>
      </c>
      <c r="J1427" s="8" t="s">
        <v>15</v>
      </c>
      <c r="K1427" s="10">
        <v>1</v>
      </c>
      <c r="L1427" s="10">
        <v>0</v>
      </c>
      <c r="M1427" s="11">
        <v>0</v>
      </c>
      <c r="N1427" s="8" t="s">
        <v>1178</v>
      </c>
      <c r="O1427" s="8" t="s">
        <v>17</v>
      </c>
      <c r="P1427" s="8" t="s">
        <v>18</v>
      </c>
      <c r="Q1427" s="8" t="s">
        <v>18</v>
      </c>
      <c r="R1427" s="8" t="s">
        <v>2957</v>
      </c>
      <c r="S1427" s="8" t="s">
        <v>2958</v>
      </c>
      <c r="T1427" s="8" t="s">
        <v>2959</v>
      </c>
      <c r="U1427" s="8" t="s">
        <v>2960</v>
      </c>
      <c r="V1427" s="8" t="s">
        <v>1176</v>
      </c>
      <c r="W1427" s="8">
        <f t="shared" si="42"/>
        <v>1</v>
      </c>
      <c r="X1427" s="8">
        <f>K1427*L1427*N1427</f>
        <v>0</v>
      </c>
    </row>
    <row r="1428" spans="1:24" s="8" customFormat="1" ht="41.5" customHeight="1">
      <c r="A1428" s="8" t="s">
        <v>2955</v>
      </c>
      <c r="B1428" s="8" t="s">
        <v>2956</v>
      </c>
      <c r="C1428" s="9">
        <v>45734.735226724501</v>
      </c>
      <c r="D1428" s="8" t="s">
        <v>2056</v>
      </c>
      <c r="E1428" s="8" t="s">
        <v>2057</v>
      </c>
      <c r="F1428" s="8">
        <v>3</v>
      </c>
      <c r="G1428" s="2">
        <v>642</v>
      </c>
      <c r="H1428" s="8" t="s">
        <v>1179</v>
      </c>
      <c r="I1428" s="2">
        <f t="shared" si="43"/>
        <v>642</v>
      </c>
      <c r="J1428" s="8" t="s">
        <v>15</v>
      </c>
      <c r="K1428" s="10">
        <v>1</v>
      </c>
      <c r="L1428" s="10">
        <v>0</v>
      </c>
      <c r="M1428" s="11">
        <v>0</v>
      </c>
      <c r="N1428" s="8" t="s">
        <v>30</v>
      </c>
      <c r="O1428" s="8" t="s">
        <v>17</v>
      </c>
      <c r="P1428" s="8" t="s">
        <v>18</v>
      </c>
      <c r="Q1428" s="8" t="s">
        <v>18</v>
      </c>
      <c r="R1428" s="8" t="s">
        <v>2957</v>
      </c>
      <c r="S1428" s="8" t="s">
        <v>2958</v>
      </c>
      <c r="T1428" s="8" t="s">
        <v>2959</v>
      </c>
      <c r="U1428" s="8" t="s">
        <v>2960</v>
      </c>
      <c r="V1428" s="8" t="s">
        <v>1176</v>
      </c>
      <c r="W1428" s="8">
        <f t="shared" si="42"/>
        <v>1</v>
      </c>
      <c r="X1428" s="8">
        <f>K1428*L1428*N1428</f>
        <v>0</v>
      </c>
    </row>
    <row r="1429" spans="1:24" s="8" customFormat="1" ht="41.5" customHeight="1">
      <c r="A1429" s="8" t="s">
        <v>2323</v>
      </c>
      <c r="B1429" s="8" t="s">
        <v>2961</v>
      </c>
      <c r="C1429" s="9">
        <v>45736.728676018502</v>
      </c>
      <c r="D1429" s="8" t="s">
        <v>2056</v>
      </c>
      <c r="E1429" s="8" t="s">
        <v>2057</v>
      </c>
      <c r="F1429" s="8">
        <v>1</v>
      </c>
      <c r="G1429" s="22" t="s">
        <v>2270</v>
      </c>
      <c r="H1429" s="8" t="s">
        <v>1180</v>
      </c>
      <c r="I1429" s="2" t="str">
        <f t="shared" si="43"/>
        <v>Bồn nhựa 500N</v>
      </c>
      <c r="J1429" s="8" t="s">
        <v>53</v>
      </c>
      <c r="K1429" s="10">
        <v>2</v>
      </c>
      <c r="L1429" s="10">
        <v>1259259</v>
      </c>
      <c r="M1429" s="11">
        <v>2518518</v>
      </c>
      <c r="N1429" s="8" t="s">
        <v>16</v>
      </c>
      <c r="O1429" s="8" t="s">
        <v>17</v>
      </c>
      <c r="P1429" s="8" t="s">
        <v>18</v>
      </c>
      <c r="Q1429" s="8" t="s">
        <v>18</v>
      </c>
      <c r="R1429" s="8" t="s">
        <v>2156</v>
      </c>
      <c r="S1429" s="8" t="s">
        <v>2157</v>
      </c>
      <c r="T1429" s="8" t="s">
        <v>2158</v>
      </c>
      <c r="U1429" s="8" t="s">
        <v>2962</v>
      </c>
      <c r="V1429" s="8" t="s">
        <v>1181</v>
      </c>
      <c r="W1429" s="8">
        <f t="shared" si="42"/>
        <v>1</v>
      </c>
      <c r="X1429" s="8">
        <f>K1429*L1429*N1429</f>
        <v>201481.44</v>
      </c>
    </row>
    <row r="1430" spans="1:24" s="8" customFormat="1" ht="41.5" customHeight="1">
      <c r="A1430" s="8" t="s">
        <v>2427</v>
      </c>
      <c r="B1430" s="8" t="s">
        <v>2963</v>
      </c>
      <c r="C1430" s="9">
        <v>45744.4988107639</v>
      </c>
      <c r="D1430" s="8" t="s">
        <v>2056</v>
      </c>
      <c r="E1430" s="8" t="s">
        <v>2057</v>
      </c>
      <c r="F1430" s="8">
        <v>1</v>
      </c>
      <c r="G1430" s="22" t="s">
        <v>820</v>
      </c>
      <c r="H1430" s="8" t="s">
        <v>820</v>
      </c>
      <c r="I1430" s="2" t="str">
        <f t="shared" si="43"/>
        <v>Tyren D16</v>
      </c>
      <c r="J1430" s="8" t="s">
        <v>71</v>
      </c>
      <c r="K1430" s="10">
        <v>2000</v>
      </c>
      <c r="L1430" s="10">
        <v>20300</v>
      </c>
      <c r="M1430" s="11">
        <v>40600000</v>
      </c>
      <c r="N1430" s="8" t="s">
        <v>30</v>
      </c>
      <c r="O1430" s="8" t="s">
        <v>17</v>
      </c>
      <c r="P1430" s="8" t="s">
        <v>18</v>
      </c>
      <c r="Q1430" s="8" t="s">
        <v>18</v>
      </c>
      <c r="R1430" s="8" t="s">
        <v>2115</v>
      </c>
      <c r="S1430" s="8" t="s">
        <v>2248</v>
      </c>
      <c r="T1430" s="8" t="s">
        <v>2249</v>
      </c>
      <c r="U1430" s="8" t="s">
        <v>2738</v>
      </c>
      <c r="V1430" s="8" t="s">
        <v>1057</v>
      </c>
      <c r="W1430" s="8">
        <f t="shared" si="42"/>
        <v>1</v>
      </c>
      <c r="X1430" s="8">
        <f>K1430*L1430*N1430</f>
        <v>4060000</v>
      </c>
    </row>
    <row r="1431" spans="1:24" s="8" customFormat="1" ht="41.5" customHeight="1">
      <c r="A1431" s="8" t="s">
        <v>2336</v>
      </c>
      <c r="B1431" s="8" t="s">
        <v>2964</v>
      </c>
      <c r="C1431" s="9">
        <v>45764.7947085532</v>
      </c>
      <c r="D1431" s="8" t="s">
        <v>2062</v>
      </c>
      <c r="E1431" s="8" t="s">
        <v>2057</v>
      </c>
      <c r="F1431" s="8">
        <v>1</v>
      </c>
      <c r="G1431" s="2">
        <v>635</v>
      </c>
      <c r="H1431" s="8" t="s">
        <v>116</v>
      </c>
      <c r="I1431" s="2">
        <f t="shared" si="43"/>
        <v>635</v>
      </c>
      <c r="M1431" s="11">
        <v>20000</v>
      </c>
      <c r="N1431" s="8" t="s">
        <v>30</v>
      </c>
      <c r="O1431" s="8" t="s">
        <v>17</v>
      </c>
      <c r="P1431" s="8" t="s">
        <v>18</v>
      </c>
      <c r="Q1431" s="8" t="s">
        <v>18</v>
      </c>
      <c r="S1431" s="8" t="s">
        <v>2216</v>
      </c>
      <c r="T1431" s="8" t="s">
        <v>2217</v>
      </c>
      <c r="V1431" s="8" t="s">
        <v>1182</v>
      </c>
      <c r="W1431" s="8">
        <f t="shared" si="42"/>
        <v>2</v>
      </c>
      <c r="X1431" s="8">
        <f>K1431*L1431*N1431</f>
        <v>0</v>
      </c>
    </row>
    <row r="1432" spans="1:24" s="8" customFormat="1" ht="41.5" customHeight="1">
      <c r="A1432" s="8" t="s">
        <v>2336</v>
      </c>
      <c r="B1432" s="8" t="s">
        <v>2965</v>
      </c>
      <c r="C1432" s="9">
        <v>45764.794586273201</v>
      </c>
      <c r="D1432" s="8" t="s">
        <v>2062</v>
      </c>
      <c r="E1432" s="8" t="s">
        <v>2057</v>
      </c>
      <c r="F1432" s="8">
        <v>1</v>
      </c>
      <c r="G1432" s="2">
        <v>635</v>
      </c>
      <c r="H1432" s="8" t="s">
        <v>117</v>
      </c>
      <c r="I1432" s="2">
        <f t="shared" si="43"/>
        <v>635</v>
      </c>
      <c r="M1432" s="11">
        <v>50000</v>
      </c>
      <c r="N1432" s="8" t="s">
        <v>30</v>
      </c>
      <c r="O1432" s="8" t="s">
        <v>17</v>
      </c>
      <c r="P1432" s="8" t="s">
        <v>18</v>
      </c>
      <c r="Q1432" s="8" t="s">
        <v>18</v>
      </c>
      <c r="S1432" s="8" t="s">
        <v>2216</v>
      </c>
      <c r="T1432" s="8" t="s">
        <v>2217</v>
      </c>
      <c r="V1432" s="8" t="s">
        <v>1182</v>
      </c>
      <c r="W1432" s="8">
        <f t="shared" si="42"/>
        <v>2</v>
      </c>
      <c r="X1432" s="8">
        <f>K1432*L1432*N1432</f>
        <v>0</v>
      </c>
    </row>
    <row r="1433" spans="1:24" s="8" customFormat="1" ht="41.5" customHeight="1">
      <c r="A1433" s="8" t="s">
        <v>2339</v>
      </c>
      <c r="B1433" s="8" t="s">
        <v>2966</v>
      </c>
      <c r="C1433" s="9">
        <v>45763.269433726899</v>
      </c>
      <c r="D1433" s="8" t="s">
        <v>2218</v>
      </c>
      <c r="E1433" s="8" t="s">
        <v>2057</v>
      </c>
      <c r="F1433" s="8">
        <v>1</v>
      </c>
      <c r="G1433" s="2">
        <v>635</v>
      </c>
      <c r="H1433" s="8" t="s">
        <v>118</v>
      </c>
      <c r="I1433" s="2">
        <f t="shared" si="43"/>
        <v>635</v>
      </c>
      <c r="M1433" s="11">
        <v>50000</v>
      </c>
      <c r="N1433" s="8" t="s">
        <v>30</v>
      </c>
      <c r="O1433" s="8" t="s">
        <v>17</v>
      </c>
      <c r="P1433" s="8" t="s">
        <v>18</v>
      </c>
      <c r="Q1433" s="8" t="s">
        <v>18</v>
      </c>
      <c r="S1433" s="8" t="s">
        <v>2340</v>
      </c>
      <c r="T1433" s="8" t="s">
        <v>2341</v>
      </c>
      <c r="V1433" s="8" t="s">
        <v>1183</v>
      </c>
      <c r="W1433" s="8">
        <f t="shared" si="42"/>
        <v>2</v>
      </c>
      <c r="X1433" s="8">
        <f>K1433*L1433*N1433</f>
        <v>0</v>
      </c>
    </row>
    <row r="1434" spans="1:24" s="8" customFormat="1" ht="41.5" customHeight="1">
      <c r="A1434" s="8" t="s">
        <v>2339</v>
      </c>
      <c r="B1434" s="8" t="s">
        <v>2967</v>
      </c>
      <c r="C1434" s="9">
        <v>45763.196873113397</v>
      </c>
      <c r="D1434" s="8" t="s">
        <v>2218</v>
      </c>
      <c r="E1434" s="8" t="s">
        <v>2057</v>
      </c>
      <c r="F1434" s="8">
        <v>1</v>
      </c>
      <c r="G1434" s="2">
        <v>635</v>
      </c>
      <c r="H1434" s="8" t="s">
        <v>118</v>
      </c>
      <c r="I1434" s="2">
        <f t="shared" si="43"/>
        <v>635</v>
      </c>
      <c r="M1434" s="11">
        <v>20000</v>
      </c>
      <c r="N1434" s="8" t="s">
        <v>30</v>
      </c>
      <c r="O1434" s="8" t="s">
        <v>17</v>
      </c>
      <c r="P1434" s="8" t="s">
        <v>18</v>
      </c>
      <c r="Q1434" s="8" t="s">
        <v>18</v>
      </c>
      <c r="S1434" s="8" t="s">
        <v>2219</v>
      </c>
      <c r="T1434" s="8" t="s">
        <v>2220</v>
      </c>
      <c r="V1434" s="8" t="s">
        <v>1183</v>
      </c>
      <c r="W1434" s="8">
        <f t="shared" si="42"/>
        <v>2</v>
      </c>
      <c r="X1434" s="8">
        <f>K1434*L1434*N1434</f>
        <v>0</v>
      </c>
    </row>
    <row r="1435" spans="1:24" s="8" customFormat="1" ht="41.5" customHeight="1">
      <c r="A1435" s="8" t="s">
        <v>2339</v>
      </c>
      <c r="B1435" s="8" t="s">
        <v>2968</v>
      </c>
      <c r="C1435" s="9">
        <v>45763.196813518502</v>
      </c>
      <c r="D1435" s="8" t="s">
        <v>2218</v>
      </c>
      <c r="E1435" s="8" t="s">
        <v>2057</v>
      </c>
      <c r="F1435" s="8">
        <v>1</v>
      </c>
      <c r="G1435" s="2">
        <v>635</v>
      </c>
      <c r="H1435" s="8" t="s">
        <v>118</v>
      </c>
      <c r="I1435" s="2">
        <f t="shared" si="43"/>
        <v>635</v>
      </c>
      <c r="M1435" s="11">
        <v>20000</v>
      </c>
      <c r="N1435" s="8" t="s">
        <v>30</v>
      </c>
      <c r="O1435" s="8" t="s">
        <v>17</v>
      </c>
      <c r="P1435" s="8" t="s">
        <v>18</v>
      </c>
      <c r="Q1435" s="8" t="s">
        <v>18</v>
      </c>
      <c r="S1435" s="8" t="s">
        <v>2219</v>
      </c>
      <c r="T1435" s="8" t="s">
        <v>2220</v>
      </c>
      <c r="V1435" s="8" t="s">
        <v>1183</v>
      </c>
      <c r="W1435" s="8">
        <f t="shared" si="42"/>
        <v>2</v>
      </c>
      <c r="X1435" s="8">
        <f>K1435*L1435*N1435</f>
        <v>0</v>
      </c>
    </row>
    <row r="1436" spans="1:24" s="8" customFormat="1" ht="41.5" customHeight="1">
      <c r="A1436" s="8" t="s">
        <v>2339</v>
      </c>
      <c r="B1436" s="8" t="s">
        <v>2969</v>
      </c>
      <c r="C1436" s="9">
        <v>45763.196601122698</v>
      </c>
      <c r="D1436" s="8" t="s">
        <v>2218</v>
      </c>
      <c r="E1436" s="8" t="s">
        <v>2057</v>
      </c>
      <c r="F1436" s="8">
        <v>1</v>
      </c>
      <c r="G1436" s="2">
        <v>635</v>
      </c>
      <c r="H1436" s="8" t="s">
        <v>118</v>
      </c>
      <c r="I1436" s="2">
        <f t="shared" si="43"/>
        <v>635</v>
      </c>
      <c r="M1436" s="11">
        <v>20000</v>
      </c>
      <c r="N1436" s="8" t="s">
        <v>30</v>
      </c>
      <c r="O1436" s="8" t="s">
        <v>17</v>
      </c>
      <c r="P1436" s="8" t="s">
        <v>18</v>
      </c>
      <c r="Q1436" s="8" t="s">
        <v>18</v>
      </c>
      <c r="S1436" s="8" t="s">
        <v>2219</v>
      </c>
      <c r="T1436" s="8" t="s">
        <v>2220</v>
      </c>
      <c r="V1436" s="8" t="s">
        <v>1183</v>
      </c>
      <c r="W1436" s="8">
        <f t="shared" si="42"/>
        <v>2</v>
      </c>
      <c r="X1436" s="8">
        <f>K1436*L1436*N1436</f>
        <v>0</v>
      </c>
    </row>
    <row r="1437" spans="1:24" s="8" customFormat="1" ht="41.5" customHeight="1">
      <c r="A1437" s="8" t="s">
        <v>2339</v>
      </c>
      <c r="B1437" s="8" t="s">
        <v>2970</v>
      </c>
      <c r="C1437" s="9">
        <v>45763.196601122698</v>
      </c>
      <c r="D1437" s="8" t="s">
        <v>2218</v>
      </c>
      <c r="E1437" s="8" t="s">
        <v>2057</v>
      </c>
      <c r="F1437" s="8">
        <v>1</v>
      </c>
      <c r="G1437" s="2">
        <v>635</v>
      </c>
      <c r="H1437" s="8" t="s">
        <v>118</v>
      </c>
      <c r="I1437" s="2">
        <f t="shared" si="43"/>
        <v>635</v>
      </c>
      <c r="M1437" s="11">
        <v>20000</v>
      </c>
      <c r="N1437" s="8" t="s">
        <v>30</v>
      </c>
      <c r="O1437" s="8" t="s">
        <v>17</v>
      </c>
      <c r="P1437" s="8" t="s">
        <v>18</v>
      </c>
      <c r="Q1437" s="8" t="s">
        <v>18</v>
      </c>
      <c r="S1437" s="8" t="s">
        <v>2219</v>
      </c>
      <c r="T1437" s="8" t="s">
        <v>2220</v>
      </c>
      <c r="V1437" s="8" t="s">
        <v>1183</v>
      </c>
      <c r="W1437" s="8">
        <f t="shared" ref="W1437:W1500" si="44">ROUNDUP(MONTH(V1437)/3,0)</f>
        <v>2</v>
      </c>
      <c r="X1437" s="8">
        <f>K1437*L1437*N1437</f>
        <v>0</v>
      </c>
    </row>
    <row r="1438" spans="1:24" s="8" customFormat="1" ht="41.5" customHeight="1">
      <c r="A1438" s="8" t="s">
        <v>2339</v>
      </c>
      <c r="B1438" s="8" t="s">
        <v>2971</v>
      </c>
      <c r="C1438" s="9">
        <v>45763.195867118098</v>
      </c>
      <c r="D1438" s="8" t="s">
        <v>2218</v>
      </c>
      <c r="E1438" s="8" t="s">
        <v>2057</v>
      </c>
      <c r="F1438" s="8">
        <v>1</v>
      </c>
      <c r="G1438" s="2">
        <v>635</v>
      </c>
      <c r="H1438" s="8" t="s">
        <v>118</v>
      </c>
      <c r="I1438" s="2">
        <f t="shared" si="43"/>
        <v>635</v>
      </c>
      <c r="M1438" s="11">
        <v>20000</v>
      </c>
      <c r="N1438" s="8" t="s">
        <v>30</v>
      </c>
      <c r="O1438" s="8" t="s">
        <v>17</v>
      </c>
      <c r="P1438" s="8" t="s">
        <v>18</v>
      </c>
      <c r="Q1438" s="8" t="s">
        <v>18</v>
      </c>
      <c r="S1438" s="8" t="s">
        <v>2219</v>
      </c>
      <c r="T1438" s="8" t="s">
        <v>2220</v>
      </c>
      <c r="V1438" s="8" t="s">
        <v>1183</v>
      </c>
      <c r="W1438" s="8">
        <f t="shared" si="44"/>
        <v>2</v>
      </c>
      <c r="X1438" s="8">
        <f>K1438*L1438*N1438</f>
        <v>0</v>
      </c>
    </row>
    <row r="1439" spans="1:24" s="8" customFormat="1" ht="41.5" customHeight="1">
      <c r="A1439" s="8" t="s">
        <v>2339</v>
      </c>
      <c r="B1439" s="8" t="s">
        <v>2972</v>
      </c>
      <c r="C1439" s="9">
        <v>45763.189501284702</v>
      </c>
      <c r="D1439" s="8" t="s">
        <v>2218</v>
      </c>
      <c r="E1439" s="8" t="s">
        <v>2057</v>
      </c>
      <c r="F1439" s="8">
        <v>1</v>
      </c>
      <c r="G1439" s="2">
        <v>635</v>
      </c>
      <c r="H1439" s="8" t="s">
        <v>118</v>
      </c>
      <c r="I1439" s="2">
        <f t="shared" si="43"/>
        <v>635</v>
      </c>
      <c r="M1439" s="11">
        <v>20000</v>
      </c>
      <c r="N1439" s="8" t="s">
        <v>30</v>
      </c>
      <c r="O1439" s="8" t="s">
        <v>17</v>
      </c>
      <c r="P1439" s="8" t="s">
        <v>18</v>
      </c>
      <c r="Q1439" s="8" t="s">
        <v>18</v>
      </c>
      <c r="S1439" s="8" t="s">
        <v>2219</v>
      </c>
      <c r="T1439" s="8" t="s">
        <v>2220</v>
      </c>
      <c r="V1439" s="8" t="s">
        <v>1183</v>
      </c>
      <c r="W1439" s="8">
        <f t="shared" si="44"/>
        <v>2</v>
      </c>
      <c r="X1439" s="8">
        <f>K1439*L1439*N1439</f>
        <v>0</v>
      </c>
    </row>
    <row r="1440" spans="1:24" s="8" customFormat="1" ht="41.5" customHeight="1">
      <c r="A1440" s="8" t="s">
        <v>2339</v>
      </c>
      <c r="B1440" s="8" t="s">
        <v>2973</v>
      </c>
      <c r="C1440" s="9">
        <v>45763.185906203697</v>
      </c>
      <c r="D1440" s="8" t="s">
        <v>2218</v>
      </c>
      <c r="E1440" s="8" t="s">
        <v>2057</v>
      </c>
      <c r="F1440" s="8">
        <v>1</v>
      </c>
      <c r="G1440" s="2">
        <v>635</v>
      </c>
      <c r="H1440" s="8" t="s">
        <v>118</v>
      </c>
      <c r="I1440" s="2">
        <f t="shared" si="43"/>
        <v>635</v>
      </c>
      <c r="M1440" s="11">
        <v>20000</v>
      </c>
      <c r="N1440" s="8" t="s">
        <v>30</v>
      </c>
      <c r="O1440" s="8" t="s">
        <v>17</v>
      </c>
      <c r="P1440" s="8" t="s">
        <v>18</v>
      </c>
      <c r="Q1440" s="8" t="s">
        <v>18</v>
      </c>
      <c r="S1440" s="8" t="s">
        <v>2219</v>
      </c>
      <c r="T1440" s="8" t="s">
        <v>2220</v>
      </c>
      <c r="V1440" s="8" t="s">
        <v>1183</v>
      </c>
      <c r="W1440" s="8">
        <f t="shared" si="44"/>
        <v>2</v>
      </c>
      <c r="X1440" s="8">
        <f>K1440*L1440*N1440</f>
        <v>0</v>
      </c>
    </row>
    <row r="1441" spans="1:24" s="8" customFormat="1" ht="41.5" customHeight="1">
      <c r="A1441" s="8" t="s">
        <v>2853</v>
      </c>
      <c r="B1441" s="8" t="s">
        <v>2974</v>
      </c>
      <c r="C1441" s="9">
        <v>45712.756928298601</v>
      </c>
      <c r="D1441" s="8" t="s">
        <v>2056</v>
      </c>
      <c r="E1441" s="8" t="s">
        <v>2057</v>
      </c>
      <c r="F1441" s="8">
        <v>1</v>
      </c>
      <c r="G1441" s="27" t="s">
        <v>2140</v>
      </c>
      <c r="H1441" s="8" t="s">
        <v>1154</v>
      </c>
      <c r="I1441" s="2" t="str">
        <f t="shared" si="43"/>
        <v>Thép ống hộp</v>
      </c>
      <c r="J1441" s="8" t="s">
        <v>35</v>
      </c>
      <c r="K1441" s="10">
        <v>7133.2</v>
      </c>
      <c r="L1441" s="10">
        <v>17000</v>
      </c>
      <c r="M1441" s="11">
        <v>121264400</v>
      </c>
      <c r="N1441" s="8" t="s">
        <v>30</v>
      </c>
      <c r="O1441" s="8" t="s">
        <v>17</v>
      </c>
      <c r="P1441" s="8" t="s">
        <v>18</v>
      </c>
      <c r="Q1441" s="8" t="s">
        <v>18</v>
      </c>
      <c r="R1441" s="8" t="s">
        <v>2110</v>
      </c>
      <c r="S1441" s="8" t="s">
        <v>2126</v>
      </c>
      <c r="T1441" s="8" t="s">
        <v>2127</v>
      </c>
      <c r="U1441" s="8" t="s">
        <v>2645</v>
      </c>
      <c r="V1441" s="8" t="s">
        <v>1184</v>
      </c>
      <c r="W1441" s="8">
        <f t="shared" si="44"/>
        <v>1</v>
      </c>
      <c r="X1441" s="8">
        <f>K1441*L1441*N1441</f>
        <v>12126440</v>
      </c>
    </row>
    <row r="1442" spans="1:24" s="13" customFormat="1" ht="41.5" customHeight="1">
      <c r="A1442" s="8" t="s">
        <v>2853</v>
      </c>
      <c r="B1442" s="13" t="s">
        <v>2974</v>
      </c>
      <c r="C1442" s="14">
        <v>45712.756928298601</v>
      </c>
      <c r="D1442" s="13" t="s">
        <v>2056</v>
      </c>
      <c r="E1442" s="13" t="s">
        <v>2057</v>
      </c>
      <c r="F1442" s="13">
        <v>2</v>
      </c>
      <c r="G1442" s="28" t="s">
        <v>1363</v>
      </c>
      <c r="H1442" s="13" t="s">
        <v>59</v>
      </c>
      <c r="I1442" s="2" t="str">
        <f t="shared" si="43"/>
        <v>Tôn màu</v>
      </c>
      <c r="J1442" s="13" t="s">
        <v>106</v>
      </c>
      <c r="K1442" s="15">
        <v>73.900000000000006</v>
      </c>
      <c r="L1442" s="15">
        <v>93000</v>
      </c>
      <c r="M1442" s="16">
        <v>6872700</v>
      </c>
      <c r="N1442" s="13" t="s">
        <v>30</v>
      </c>
      <c r="O1442" s="13" t="s">
        <v>17</v>
      </c>
      <c r="P1442" s="13" t="s">
        <v>18</v>
      </c>
      <c r="Q1442" s="13" t="s">
        <v>18</v>
      </c>
      <c r="R1442" s="13" t="s">
        <v>2110</v>
      </c>
      <c r="S1442" s="13" t="s">
        <v>2126</v>
      </c>
      <c r="T1442" s="13" t="s">
        <v>2127</v>
      </c>
      <c r="U1442" s="13" t="s">
        <v>2645</v>
      </c>
      <c r="V1442" s="13" t="s">
        <v>1184</v>
      </c>
      <c r="W1442" s="13">
        <f t="shared" si="44"/>
        <v>1</v>
      </c>
      <c r="X1442" s="8">
        <f>K1442*L1442*N1442</f>
        <v>687270.00000000012</v>
      </c>
    </row>
    <row r="1443" spans="1:24" s="8" customFormat="1" ht="41.5" customHeight="1">
      <c r="A1443" s="8" t="s">
        <v>2853</v>
      </c>
      <c r="B1443" s="8" t="s">
        <v>2975</v>
      </c>
      <c r="C1443" s="9">
        <v>45695.686802141201</v>
      </c>
      <c r="D1443" s="8" t="s">
        <v>2056</v>
      </c>
      <c r="E1443" s="8" t="s">
        <v>2057</v>
      </c>
      <c r="F1443" s="8">
        <v>1</v>
      </c>
      <c r="G1443" s="27" t="s">
        <v>2140</v>
      </c>
      <c r="H1443" s="8" t="s">
        <v>1021</v>
      </c>
      <c r="I1443" s="2" t="str">
        <f t="shared" si="43"/>
        <v>Thép ống hộp</v>
      </c>
      <c r="J1443" s="8" t="s">
        <v>35</v>
      </c>
      <c r="K1443" s="10">
        <v>5078.62</v>
      </c>
      <c r="L1443" s="10">
        <v>17000</v>
      </c>
      <c r="M1443" s="11">
        <v>86336540</v>
      </c>
      <c r="N1443" s="8" t="s">
        <v>30</v>
      </c>
      <c r="O1443" s="8" t="s">
        <v>17</v>
      </c>
      <c r="P1443" s="8" t="s">
        <v>18</v>
      </c>
      <c r="Q1443" s="8" t="s">
        <v>18</v>
      </c>
      <c r="R1443" s="8" t="s">
        <v>2110</v>
      </c>
      <c r="S1443" s="8" t="s">
        <v>2126</v>
      </c>
      <c r="T1443" s="8" t="s">
        <v>2127</v>
      </c>
      <c r="U1443" s="8" t="s">
        <v>2645</v>
      </c>
      <c r="V1443" s="8" t="s">
        <v>1185</v>
      </c>
      <c r="W1443" s="8">
        <f t="shared" si="44"/>
        <v>1</v>
      </c>
      <c r="X1443" s="8">
        <f>K1443*L1443*N1443</f>
        <v>8633654</v>
      </c>
    </row>
    <row r="1444" spans="1:24" s="8" customFormat="1" ht="41.5" customHeight="1">
      <c r="A1444" s="8" t="s">
        <v>2853</v>
      </c>
      <c r="B1444" s="8" t="s">
        <v>2975</v>
      </c>
      <c r="C1444" s="9">
        <v>45695.686802141201</v>
      </c>
      <c r="D1444" s="8" t="s">
        <v>2056</v>
      </c>
      <c r="E1444" s="8" t="s">
        <v>2057</v>
      </c>
      <c r="F1444" s="8">
        <v>2</v>
      </c>
      <c r="G1444" s="27" t="s">
        <v>2140</v>
      </c>
      <c r="H1444" s="8" t="s">
        <v>1022</v>
      </c>
      <c r="I1444" s="2" t="str">
        <f t="shared" si="43"/>
        <v>Thép ống hộp</v>
      </c>
      <c r="J1444" s="8" t="s">
        <v>35</v>
      </c>
      <c r="K1444" s="10">
        <v>1741.29</v>
      </c>
      <c r="L1444" s="10">
        <v>17000</v>
      </c>
      <c r="M1444" s="11">
        <v>29601930</v>
      </c>
      <c r="N1444" s="8" t="s">
        <v>30</v>
      </c>
      <c r="O1444" s="8" t="s">
        <v>17</v>
      </c>
      <c r="P1444" s="8" t="s">
        <v>18</v>
      </c>
      <c r="Q1444" s="8" t="s">
        <v>18</v>
      </c>
      <c r="R1444" s="8" t="s">
        <v>2110</v>
      </c>
      <c r="S1444" s="8" t="s">
        <v>2126</v>
      </c>
      <c r="T1444" s="8" t="s">
        <v>2127</v>
      </c>
      <c r="U1444" s="8" t="s">
        <v>2645</v>
      </c>
      <c r="V1444" s="8" t="s">
        <v>1185</v>
      </c>
      <c r="W1444" s="8">
        <f t="shared" si="44"/>
        <v>1</v>
      </c>
      <c r="X1444" s="8">
        <f>K1444*L1444*N1444</f>
        <v>2960193</v>
      </c>
    </row>
    <row r="1445" spans="1:24" s="8" customFormat="1" ht="41.5" customHeight="1">
      <c r="A1445" s="8" t="s">
        <v>2316</v>
      </c>
      <c r="B1445" s="8" t="s">
        <v>2131</v>
      </c>
      <c r="C1445" s="9">
        <v>45713.708915057898</v>
      </c>
      <c r="D1445" s="8" t="s">
        <v>2056</v>
      </c>
      <c r="E1445" s="8" t="s">
        <v>2057</v>
      </c>
      <c r="F1445" s="8">
        <v>1</v>
      </c>
      <c r="G1445" s="27" t="s">
        <v>2140</v>
      </c>
      <c r="H1445" s="8" t="s">
        <v>110</v>
      </c>
      <c r="I1445" s="2" t="str">
        <f t="shared" si="43"/>
        <v>Thép ống hộp</v>
      </c>
      <c r="J1445" s="8" t="s">
        <v>62</v>
      </c>
      <c r="K1445" s="10">
        <v>1274</v>
      </c>
      <c r="L1445" s="10">
        <v>16090.91</v>
      </c>
      <c r="M1445" s="11">
        <v>20499819</v>
      </c>
      <c r="N1445" s="8" t="s">
        <v>30</v>
      </c>
      <c r="O1445" s="8" t="s">
        <v>17</v>
      </c>
      <c r="P1445" s="8" t="s">
        <v>18</v>
      </c>
      <c r="Q1445" s="8" t="s">
        <v>18</v>
      </c>
      <c r="R1445" s="8" t="s">
        <v>2115</v>
      </c>
      <c r="S1445" s="8" t="s">
        <v>2137</v>
      </c>
      <c r="T1445" s="8" t="s">
        <v>2138</v>
      </c>
      <c r="U1445" s="8" t="s">
        <v>2724</v>
      </c>
      <c r="V1445" s="8" t="s">
        <v>1186</v>
      </c>
      <c r="W1445" s="8">
        <f t="shared" si="44"/>
        <v>1</v>
      </c>
      <c r="X1445" s="8">
        <f>K1445*L1445*N1445</f>
        <v>2049981.9340000001</v>
      </c>
    </row>
    <row r="1446" spans="1:24" s="13" customFormat="1" ht="41.5" customHeight="1">
      <c r="A1446" s="8" t="s">
        <v>2316</v>
      </c>
      <c r="B1446" s="13" t="s">
        <v>2131</v>
      </c>
      <c r="C1446" s="14">
        <v>45713.708915057898</v>
      </c>
      <c r="D1446" s="13" t="s">
        <v>2056</v>
      </c>
      <c r="E1446" s="13" t="s">
        <v>2057</v>
      </c>
      <c r="F1446" s="13">
        <v>2</v>
      </c>
      <c r="G1446" s="28" t="s">
        <v>1363</v>
      </c>
      <c r="H1446" s="13" t="s">
        <v>59</v>
      </c>
      <c r="I1446" s="2" t="str">
        <f t="shared" si="43"/>
        <v>Tôn màu</v>
      </c>
      <c r="J1446" s="13" t="s">
        <v>62</v>
      </c>
      <c r="K1446" s="15">
        <v>299.5</v>
      </c>
      <c r="L1446" s="15">
        <v>22636.36</v>
      </c>
      <c r="M1446" s="16">
        <v>6779590</v>
      </c>
      <c r="N1446" s="13" t="s">
        <v>30</v>
      </c>
      <c r="O1446" s="13" t="s">
        <v>17</v>
      </c>
      <c r="P1446" s="13" t="s">
        <v>18</v>
      </c>
      <c r="Q1446" s="13" t="s">
        <v>18</v>
      </c>
      <c r="R1446" s="13" t="s">
        <v>2115</v>
      </c>
      <c r="S1446" s="13" t="s">
        <v>2137</v>
      </c>
      <c r="T1446" s="13" t="s">
        <v>2138</v>
      </c>
      <c r="U1446" s="13" t="s">
        <v>2724</v>
      </c>
      <c r="V1446" s="13" t="s">
        <v>1186</v>
      </c>
      <c r="W1446" s="13">
        <f t="shared" si="44"/>
        <v>1</v>
      </c>
      <c r="X1446" s="8">
        <f>K1446*L1446*N1446</f>
        <v>677958.98200000008</v>
      </c>
    </row>
    <row r="1447" spans="1:24" s="13" customFormat="1" ht="41.5" customHeight="1">
      <c r="A1447" s="8" t="s">
        <v>2316</v>
      </c>
      <c r="B1447" s="13" t="s">
        <v>2976</v>
      </c>
      <c r="C1447" s="14">
        <v>45694.720839710702</v>
      </c>
      <c r="D1447" s="13" t="s">
        <v>2056</v>
      </c>
      <c r="E1447" s="13" t="s">
        <v>2057</v>
      </c>
      <c r="F1447" s="13">
        <v>1</v>
      </c>
      <c r="G1447" s="28" t="s">
        <v>1363</v>
      </c>
      <c r="H1447" s="13" t="s">
        <v>72</v>
      </c>
      <c r="I1447" s="2" t="str">
        <f t="shared" si="43"/>
        <v>Tôn màu</v>
      </c>
      <c r="J1447" s="13" t="s">
        <v>71</v>
      </c>
      <c r="K1447" s="15">
        <v>110</v>
      </c>
      <c r="L1447" s="15">
        <v>84000</v>
      </c>
      <c r="M1447" s="16">
        <v>9240000</v>
      </c>
      <c r="N1447" s="13" t="s">
        <v>30</v>
      </c>
      <c r="O1447" s="13" t="s">
        <v>17</v>
      </c>
      <c r="P1447" s="13" t="s">
        <v>18</v>
      </c>
      <c r="Q1447" s="13" t="s">
        <v>18</v>
      </c>
      <c r="R1447" s="13" t="s">
        <v>2115</v>
      </c>
      <c r="S1447" s="13" t="s">
        <v>2137</v>
      </c>
      <c r="T1447" s="13" t="s">
        <v>2138</v>
      </c>
      <c r="U1447" s="13" t="s">
        <v>2724</v>
      </c>
      <c r="V1447" s="13" t="s">
        <v>1187</v>
      </c>
      <c r="W1447" s="13">
        <f t="shared" si="44"/>
        <v>1</v>
      </c>
      <c r="X1447" s="8">
        <f>K1447*L1447*N1447</f>
        <v>924000</v>
      </c>
    </row>
    <row r="1448" spans="1:24" s="8" customFormat="1" ht="41.5" customHeight="1">
      <c r="A1448" s="8" t="s">
        <v>2316</v>
      </c>
      <c r="B1448" s="8" t="s">
        <v>2976</v>
      </c>
      <c r="C1448" s="9">
        <v>45694.720839710702</v>
      </c>
      <c r="D1448" s="8" t="s">
        <v>2056</v>
      </c>
      <c r="E1448" s="8" t="s">
        <v>2057</v>
      </c>
      <c r="F1448" s="8">
        <v>2</v>
      </c>
      <c r="G1448" s="27" t="s">
        <v>2140</v>
      </c>
      <c r="H1448" s="8" t="s">
        <v>74</v>
      </c>
      <c r="I1448" s="2" t="str">
        <f t="shared" si="43"/>
        <v>Thép ống hộp</v>
      </c>
      <c r="J1448" s="8" t="s">
        <v>62</v>
      </c>
      <c r="K1448" s="10">
        <v>463.9</v>
      </c>
      <c r="L1448" s="10">
        <v>17363.64</v>
      </c>
      <c r="M1448" s="11">
        <v>8054993</v>
      </c>
      <c r="N1448" s="8" t="s">
        <v>30</v>
      </c>
      <c r="O1448" s="8" t="s">
        <v>17</v>
      </c>
      <c r="P1448" s="8" t="s">
        <v>18</v>
      </c>
      <c r="Q1448" s="8" t="s">
        <v>18</v>
      </c>
      <c r="R1448" s="8" t="s">
        <v>2115</v>
      </c>
      <c r="S1448" s="8" t="s">
        <v>2137</v>
      </c>
      <c r="T1448" s="8" t="s">
        <v>2138</v>
      </c>
      <c r="U1448" s="8" t="s">
        <v>2724</v>
      </c>
      <c r="V1448" s="8" t="s">
        <v>1187</v>
      </c>
      <c r="W1448" s="8">
        <f t="shared" si="44"/>
        <v>1</v>
      </c>
      <c r="X1448" s="8">
        <f>K1448*L1448*N1448</f>
        <v>805499.25959999999</v>
      </c>
    </row>
    <row r="1449" spans="1:24" s="8" customFormat="1" ht="41.5" customHeight="1">
      <c r="A1449" s="8" t="s">
        <v>2316</v>
      </c>
      <c r="B1449" s="8" t="s">
        <v>2976</v>
      </c>
      <c r="C1449" s="9">
        <v>45694.720839710702</v>
      </c>
      <c r="D1449" s="8" t="s">
        <v>2056</v>
      </c>
      <c r="E1449" s="8" t="s">
        <v>2057</v>
      </c>
      <c r="F1449" s="8">
        <v>3</v>
      </c>
      <c r="G1449" s="27" t="s">
        <v>2140</v>
      </c>
      <c r="H1449" s="8" t="s">
        <v>110</v>
      </c>
      <c r="I1449" s="2" t="str">
        <f t="shared" si="43"/>
        <v>Thép ống hộp</v>
      </c>
      <c r="J1449" s="8" t="s">
        <v>62</v>
      </c>
      <c r="K1449" s="10">
        <v>278.41000000000003</v>
      </c>
      <c r="L1449" s="10">
        <v>17363.64</v>
      </c>
      <c r="M1449" s="11">
        <v>4834211</v>
      </c>
      <c r="N1449" s="8" t="s">
        <v>30</v>
      </c>
      <c r="O1449" s="8" t="s">
        <v>17</v>
      </c>
      <c r="P1449" s="8" t="s">
        <v>18</v>
      </c>
      <c r="Q1449" s="8" t="s">
        <v>18</v>
      </c>
      <c r="R1449" s="8" t="s">
        <v>2115</v>
      </c>
      <c r="S1449" s="8" t="s">
        <v>2137</v>
      </c>
      <c r="T1449" s="8" t="s">
        <v>2138</v>
      </c>
      <c r="U1449" s="8" t="s">
        <v>2724</v>
      </c>
      <c r="V1449" s="8" t="s">
        <v>1187</v>
      </c>
      <c r="W1449" s="8">
        <f t="shared" si="44"/>
        <v>1</v>
      </c>
      <c r="X1449" s="8">
        <f>K1449*L1449*N1449</f>
        <v>483421.10124000005</v>
      </c>
    </row>
    <row r="1450" spans="1:24" s="8" customFormat="1" ht="41.5" customHeight="1">
      <c r="A1450" s="8" t="s">
        <v>2977</v>
      </c>
      <c r="B1450" s="8" t="s">
        <v>1129</v>
      </c>
      <c r="C1450" s="9">
        <v>45696.663374432901</v>
      </c>
      <c r="D1450" s="8" t="s">
        <v>2056</v>
      </c>
      <c r="E1450" s="8" t="s">
        <v>2057</v>
      </c>
      <c r="F1450" s="8">
        <v>1</v>
      </c>
      <c r="G1450" s="22" t="s">
        <v>1826</v>
      </c>
      <c r="H1450" s="8" t="s">
        <v>1188</v>
      </c>
      <c r="I1450" s="2" t="str">
        <f t="shared" si="43"/>
        <v>Máy hàn hồ quang dùng điện KPTS 355A</v>
      </c>
      <c r="J1450" s="8" t="s">
        <v>15</v>
      </c>
      <c r="K1450" s="10">
        <v>5</v>
      </c>
      <c r="L1450" s="10">
        <v>426000</v>
      </c>
      <c r="M1450" s="11">
        <v>2130000</v>
      </c>
      <c r="N1450" s="8" t="s">
        <v>16</v>
      </c>
      <c r="O1450" s="8" t="s">
        <v>17</v>
      </c>
      <c r="P1450" s="8" t="s">
        <v>18</v>
      </c>
      <c r="Q1450" s="8" t="s">
        <v>18</v>
      </c>
      <c r="R1450" s="8" t="s">
        <v>2115</v>
      </c>
      <c r="S1450" s="8" t="s">
        <v>2978</v>
      </c>
      <c r="T1450" s="8" t="s">
        <v>2979</v>
      </c>
      <c r="U1450" s="8" t="s">
        <v>2980</v>
      </c>
      <c r="V1450" s="8" t="s">
        <v>1189</v>
      </c>
      <c r="W1450" s="8">
        <f t="shared" si="44"/>
        <v>1</v>
      </c>
      <c r="X1450" s="8">
        <f>K1450*L1450*N1450</f>
        <v>170400</v>
      </c>
    </row>
    <row r="1451" spans="1:24" s="8" customFormat="1" ht="41.5" customHeight="1">
      <c r="A1451" s="8" t="s">
        <v>2977</v>
      </c>
      <c r="B1451" s="8" t="s">
        <v>1129</v>
      </c>
      <c r="C1451" s="9">
        <v>45696.663374432901</v>
      </c>
      <c r="D1451" s="8" t="s">
        <v>2056</v>
      </c>
      <c r="E1451" s="8" t="s">
        <v>2057</v>
      </c>
      <c r="F1451" s="8">
        <v>2</v>
      </c>
      <c r="G1451" s="22" t="s">
        <v>2981</v>
      </c>
      <c r="H1451" s="8" t="s">
        <v>1190</v>
      </c>
      <c r="I1451" s="2" t="str">
        <f t="shared" si="43"/>
        <v>Máy hàn hồ quang dùng điện KPTS 250A</v>
      </c>
      <c r="J1451" s="8" t="s">
        <v>15</v>
      </c>
      <c r="K1451" s="10">
        <v>5</v>
      </c>
      <c r="L1451" s="10">
        <v>315000</v>
      </c>
      <c r="M1451" s="11">
        <v>1575000</v>
      </c>
      <c r="N1451" s="8" t="s">
        <v>16</v>
      </c>
      <c r="O1451" s="8" t="s">
        <v>17</v>
      </c>
      <c r="P1451" s="8" t="s">
        <v>18</v>
      </c>
      <c r="Q1451" s="8" t="s">
        <v>18</v>
      </c>
      <c r="R1451" s="8" t="s">
        <v>2115</v>
      </c>
      <c r="S1451" s="8" t="s">
        <v>2978</v>
      </c>
      <c r="T1451" s="8" t="s">
        <v>2979</v>
      </c>
      <c r="U1451" s="8" t="s">
        <v>2980</v>
      </c>
      <c r="V1451" s="8" t="s">
        <v>1189</v>
      </c>
      <c r="W1451" s="8">
        <f t="shared" si="44"/>
        <v>1</v>
      </c>
      <c r="X1451" s="8">
        <f>K1451*L1451*N1451</f>
        <v>126000</v>
      </c>
    </row>
    <row r="1452" spans="1:24" s="8" customFormat="1" ht="41.5" customHeight="1">
      <c r="A1452" s="8" t="s">
        <v>2977</v>
      </c>
      <c r="B1452" s="8" t="s">
        <v>1129</v>
      </c>
      <c r="C1452" s="9">
        <v>45696.663374432901</v>
      </c>
      <c r="D1452" s="8" t="s">
        <v>2056</v>
      </c>
      <c r="E1452" s="8" t="s">
        <v>2057</v>
      </c>
      <c r="F1452" s="8">
        <v>3</v>
      </c>
      <c r="G1452" s="22" t="s">
        <v>1749</v>
      </c>
      <c r="H1452" s="8" t="s">
        <v>1191</v>
      </c>
      <c r="I1452" s="2" t="str">
        <f t="shared" si="43"/>
        <v>Máy hàn hồ quang dùng điện KPTS 350A</v>
      </c>
      <c r="J1452" s="8" t="s">
        <v>15</v>
      </c>
      <c r="K1452" s="10">
        <v>5</v>
      </c>
      <c r="L1452" s="10">
        <v>400000</v>
      </c>
      <c r="M1452" s="11">
        <v>2000000</v>
      </c>
      <c r="N1452" s="8" t="s">
        <v>16</v>
      </c>
      <c r="O1452" s="8" t="s">
        <v>17</v>
      </c>
      <c r="P1452" s="8" t="s">
        <v>18</v>
      </c>
      <c r="Q1452" s="8" t="s">
        <v>18</v>
      </c>
      <c r="R1452" s="8" t="s">
        <v>2115</v>
      </c>
      <c r="S1452" s="8" t="s">
        <v>2978</v>
      </c>
      <c r="T1452" s="8" t="s">
        <v>2979</v>
      </c>
      <c r="U1452" s="8" t="s">
        <v>2980</v>
      </c>
      <c r="V1452" s="8" t="s">
        <v>1189</v>
      </c>
      <c r="W1452" s="8">
        <f t="shared" si="44"/>
        <v>1</v>
      </c>
      <c r="X1452" s="8">
        <f>K1452*L1452*N1452</f>
        <v>160000</v>
      </c>
    </row>
    <row r="1453" spans="1:24" s="8" customFormat="1" ht="41.5" customHeight="1">
      <c r="A1453" s="8" t="s">
        <v>2977</v>
      </c>
      <c r="B1453" s="8" t="s">
        <v>1129</v>
      </c>
      <c r="C1453" s="9">
        <v>45696.663374432901</v>
      </c>
      <c r="D1453" s="8" t="s">
        <v>2056</v>
      </c>
      <c r="E1453" s="8" t="s">
        <v>2057</v>
      </c>
      <c r="F1453" s="8">
        <v>4</v>
      </c>
      <c r="G1453" s="22" t="s">
        <v>1444</v>
      </c>
      <c r="H1453" s="8" t="s">
        <v>1192</v>
      </c>
      <c r="I1453" s="2" t="str">
        <f t="shared" si="43"/>
        <v>Máy hàn hồ quang dùng điện KPTS 315A</v>
      </c>
      <c r="J1453" s="8" t="s">
        <v>15</v>
      </c>
      <c r="K1453" s="10">
        <v>5</v>
      </c>
      <c r="L1453" s="10">
        <v>370000</v>
      </c>
      <c r="M1453" s="11">
        <v>1850000</v>
      </c>
      <c r="N1453" s="8" t="s">
        <v>16</v>
      </c>
      <c r="O1453" s="8" t="s">
        <v>17</v>
      </c>
      <c r="P1453" s="8" t="s">
        <v>18</v>
      </c>
      <c r="Q1453" s="8" t="s">
        <v>18</v>
      </c>
      <c r="R1453" s="8" t="s">
        <v>2115</v>
      </c>
      <c r="S1453" s="8" t="s">
        <v>2978</v>
      </c>
      <c r="T1453" s="8" t="s">
        <v>2979</v>
      </c>
      <c r="U1453" s="8" t="s">
        <v>2980</v>
      </c>
      <c r="V1453" s="8" t="s">
        <v>1189</v>
      </c>
      <c r="W1453" s="8">
        <f t="shared" si="44"/>
        <v>1</v>
      </c>
      <c r="X1453" s="8">
        <f>K1453*L1453*N1453</f>
        <v>148000</v>
      </c>
    </row>
    <row r="1454" spans="1:24" s="8" customFormat="1" ht="41.5" customHeight="1">
      <c r="A1454" s="8" t="s">
        <v>2427</v>
      </c>
      <c r="B1454" s="8" t="s">
        <v>1193</v>
      </c>
      <c r="C1454" s="9">
        <v>45708.580602893497</v>
      </c>
      <c r="D1454" s="8" t="s">
        <v>2056</v>
      </c>
      <c r="E1454" s="8" t="s">
        <v>2057</v>
      </c>
      <c r="F1454" s="8">
        <v>1</v>
      </c>
      <c r="G1454" s="27" t="s">
        <v>1194</v>
      </c>
      <c r="H1454" s="8" t="s">
        <v>1194</v>
      </c>
      <c r="I1454" s="2" t="str">
        <f t="shared" si="43"/>
        <v>Bát ren D16</v>
      </c>
      <c r="J1454" s="8" t="s">
        <v>15</v>
      </c>
      <c r="K1454" s="10">
        <v>1000</v>
      </c>
      <c r="L1454" s="10">
        <v>16200</v>
      </c>
      <c r="M1454" s="11">
        <v>16200000</v>
      </c>
      <c r="N1454" s="8" t="s">
        <v>30</v>
      </c>
      <c r="O1454" s="8" t="s">
        <v>17</v>
      </c>
      <c r="P1454" s="8" t="s">
        <v>18</v>
      </c>
      <c r="Q1454" s="8" t="s">
        <v>18</v>
      </c>
      <c r="R1454" s="8" t="s">
        <v>2115</v>
      </c>
      <c r="S1454" s="8" t="s">
        <v>2248</v>
      </c>
      <c r="T1454" s="8" t="s">
        <v>2249</v>
      </c>
      <c r="U1454" s="8" t="s">
        <v>2738</v>
      </c>
      <c r="V1454" s="8" t="s">
        <v>1195</v>
      </c>
      <c r="W1454" s="8">
        <f t="shared" si="44"/>
        <v>1</v>
      </c>
      <c r="X1454" s="8">
        <f>K1454*L1454*N1454</f>
        <v>1620000</v>
      </c>
    </row>
    <row r="1455" spans="1:24" s="8" customFormat="1" ht="41.5" customHeight="1">
      <c r="A1455" s="8" t="s">
        <v>2982</v>
      </c>
      <c r="B1455" s="8" t="s">
        <v>2983</v>
      </c>
      <c r="C1455" s="9">
        <v>45695.6189929514</v>
      </c>
      <c r="D1455" s="8" t="s">
        <v>2062</v>
      </c>
      <c r="E1455" s="8" t="s">
        <v>2057</v>
      </c>
      <c r="F1455" s="8">
        <v>1</v>
      </c>
      <c r="G1455" s="2">
        <v>642</v>
      </c>
      <c r="H1455" s="8" t="s">
        <v>1196</v>
      </c>
      <c r="I1455" s="2">
        <f t="shared" si="43"/>
        <v>642</v>
      </c>
      <c r="J1455" s="8" t="s">
        <v>1197</v>
      </c>
      <c r="K1455" s="10">
        <v>1</v>
      </c>
      <c r="M1455" s="11">
        <v>309091</v>
      </c>
      <c r="N1455" s="8" t="s">
        <v>30</v>
      </c>
      <c r="O1455" s="8" t="s">
        <v>17</v>
      </c>
      <c r="P1455" s="8" t="s">
        <v>18</v>
      </c>
      <c r="Q1455" s="8" t="s">
        <v>18</v>
      </c>
      <c r="S1455" s="8" t="s">
        <v>2984</v>
      </c>
      <c r="T1455" s="8" t="s">
        <v>2985</v>
      </c>
      <c r="V1455" s="8" t="s">
        <v>1185</v>
      </c>
      <c r="W1455" s="8">
        <f t="shared" si="44"/>
        <v>1</v>
      </c>
      <c r="X1455" s="8">
        <f>K1455*L1455*N1455</f>
        <v>0</v>
      </c>
    </row>
    <row r="1456" spans="1:24" s="8" customFormat="1" ht="41.5" customHeight="1">
      <c r="A1456" s="8" t="s">
        <v>2986</v>
      </c>
      <c r="B1456" s="8" t="s">
        <v>2987</v>
      </c>
      <c r="C1456" s="9">
        <v>45708.4068579745</v>
      </c>
      <c r="D1456" s="8" t="s">
        <v>2062</v>
      </c>
      <c r="E1456" s="8" t="s">
        <v>2057</v>
      </c>
      <c r="F1456" s="8">
        <v>1</v>
      </c>
      <c r="G1456" s="2">
        <v>642</v>
      </c>
      <c r="I1456" s="2">
        <f t="shared" si="43"/>
        <v>642</v>
      </c>
      <c r="M1456" s="11">
        <v>1909091</v>
      </c>
      <c r="N1456" s="8" t="s">
        <v>30</v>
      </c>
      <c r="O1456" s="8" t="s">
        <v>17</v>
      </c>
      <c r="P1456" s="8" t="s">
        <v>18</v>
      </c>
      <c r="Q1456" s="8" t="s">
        <v>18</v>
      </c>
      <c r="S1456" s="8" t="s">
        <v>2984</v>
      </c>
      <c r="T1456" s="8" t="s">
        <v>2985</v>
      </c>
      <c r="V1456" s="8" t="s">
        <v>1195</v>
      </c>
      <c r="W1456" s="8">
        <f t="shared" si="44"/>
        <v>1</v>
      </c>
      <c r="X1456" s="8">
        <f>K1456*L1456*N1456</f>
        <v>0</v>
      </c>
    </row>
    <row r="1457" spans="1:24" s="8" customFormat="1" ht="41.5" customHeight="1">
      <c r="A1457" s="8" t="s">
        <v>2986</v>
      </c>
      <c r="B1457" s="8" t="s">
        <v>2988</v>
      </c>
      <c r="C1457" s="9">
        <v>45708.406857962997</v>
      </c>
      <c r="D1457" s="8" t="s">
        <v>2062</v>
      </c>
      <c r="E1457" s="8" t="s">
        <v>2057</v>
      </c>
      <c r="F1457" s="8">
        <v>1</v>
      </c>
      <c r="G1457" s="2">
        <v>642</v>
      </c>
      <c r="H1457" s="8" t="s">
        <v>1198</v>
      </c>
      <c r="I1457" s="2">
        <f t="shared" si="43"/>
        <v>642</v>
      </c>
      <c r="J1457" s="8" t="s">
        <v>285</v>
      </c>
      <c r="K1457" s="10">
        <v>1</v>
      </c>
      <c r="M1457" s="11">
        <v>1800000</v>
      </c>
      <c r="N1457" s="8" t="s">
        <v>30</v>
      </c>
      <c r="O1457" s="8" t="s">
        <v>17</v>
      </c>
      <c r="P1457" s="8" t="s">
        <v>18</v>
      </c>
      <c r="Q1457" s="8" t="s">
        <v>18</v>
      </c>
      <c r="S1457" s="8" t="s">
        <v>2984</v>
      </c>
      <c r="T1457" s="8" t="s">
        <v>2985</v>
      </c>
      <c r="V1457" s="8" t="s">
        <v>1195</v>
      </c>
      <c r="W1457" s="8">
        <f t="shared" si="44"/>
        <v>1</v>
      </c>
      <c r="X1457" s="8">
        <f>K1457*L1457*N1457</f>
        <v>0</v>
      </c>
    </row>
    <row r="1458" spans="1:24" s="8" customFormat="1" ht="41.5" customHeight="1">
      <c r="A1458" s="8" t="s">
        <v>2336</v>
      </c>
      <c r="B1458" s="8" t="s">
        <v>2989</v>
      </c>
      <c r="C1458" s="9">
        <v>45734.6090885995</v>
      </c>
      <c r="D1458" s="8" t="s">
        <v>2062</v>
      </c>
      <c r="E1458" s="8" t="s">
        <v>2057</v>
      </c>
      <c r="F1458" s="8">
        <v>1</v>
      </c>
      <c r="G1458" s="2">
        <v>635</v>
      </c>
      <c r="H1458" s="8" t="s">
        <v>1199</v>
      </c>
      <c r="I1458" s="2">
        <f t="shared" si="43"/>
        <v>635</v>
      </c>
      <c r="M1458" s="11">
        <v>20000</v>
      </c>
      <c r="N1458" s="8" t="s">
        <v>30</v>
      </c>
      <c r="O1458" s="8" t="s">
        <v>17</v>
      </c>
      <c r="P1458" s="8" t="s">
        <v>18</v>
      </c>
      <c r="Q1458" s="8" t="s">
        <v>18</v>
      </c>
      <c r="S1458" s="8" t="s">
        <v>2216</v>
      </c>
      <c r="T1458" s="8" t="s">
        <v>2217</v>
      </c>
      <c r="V1458" s="8" t="s">
        <v>1176</v>
      </c>
      <c r="W1458" s="8">
        <f t="shared" si="44"/>
        <v>1</v>
      </c>
      <c r="X1458" s="8">
        <f>K1458*L1458*N1458</f>
        <v>0</v>
      </c>
    </row>
    <row r="1459" spans="1:24" s="8" customFormat="1" ht="41.5" customHeight="1">
      <c r="A1459" s="8" t="s">
        <v>2336</v>
      </c>
      <c r="B1459" s="8" t="s">
        <v>2990</v>
      </c>
      <c r="C1459" s="9">
        <v>45734.608412754598</v>
      </c>
      <c r="D1459" s="8" t="s">
        <v>2062</v>
      </c>
      <c r="E1459" s="8" t="s">
        <v>2057</v>
      </c>
      <c r="F1459" s="8">
        <v>1</v>
      </c>
      <c r="G1459" s="2">
        <v>635</v>
      </c>
      <c r="H1459" s="8" t="s">
        <v>1054</v>
      </c>
      <c r="I1459" s="2">
        <f t="shared" si="43"/>
        <v>635</v>
      </c>
      <c r="M1459" s="11">
        <v>10000</v>
      </c>
      <c r="N1459" s="8" t="s">
        <v>30</v>
      </c>
      <c r="O1459" s="8" t="s">
        <v>17</v>
      </c>
      <c r="P1459" s="8" t="s">
        <v>18</v>
      </c>
      <c r="Q1459" s="8" t="s">
        <v>18</v>
      </c>
      <c r="S1459" s="8" t="s">
        <v>2216</v>
      </c>
      <c r="T1459" s="8" t="s">
        <v>2217</v>
      </c>
      <c r="V1459" s="8" t="s">
        <v>1176</v>
      </c>
      <c r="W1459" s="8">
        <f t="shared" si="44"/>
        <v>1</v>
      </c>
      <c r="X1459" s="8">
        <f>K1459*L1459*N1459</f>
        <v>0</v>
      </c>
    </row>
    <row r="1460" spans="1:24" s="8" customFormat="1" ht="41.5" customHeight="1">
      <c r="A1460" s="8" t="s">
        <v>2336</v>
      </c>
      <c r="B1460" s="8" t="s">
        <v>2991</v>
      </c>
      <c r="C1460" s="9">
        <v>45734.608412638903</v>
      </c>
      <c r="D1460" s="8" t="s">
        <v>2062</v>
      </c>
      <c r="E1460" s="8" t="s">
        <v>2057</v>
      </c>
      <c r="F1460" s="8">
        <v>1</v>
      </c>
      <c r="G1460" s="2">
        <v>635</v>
      </c>
      <c r="H1460" s="8" t="s">
        <v>143</v>
      </c>
      <c r="I1460" s="2">
        <f t="shared" si="43"/>
        <v>635</v>
      </c>
      <c r="M1460" s="11">
        <v>20000</v>
      </c>
      <c r="N1460" s="8" t="s">
        <v>30</v>
      </c>
      <c r="O1460" s="8" t="s">
        <v>17</v>
      </c>
      <c r="P1460" s="8" t="s">
        <v>18</v>
      </c>
      <c r="Q1460" s="8" t="s">
        <v>18</v>
      </c>
      <c r="S1460" s="8" t="s">
        <v>2216</v>
      </c>
      <c r="T1460" s="8" t="s">
        <v>2217</v>
      </c>
      <c r="V1460" s="8" t="s">
        <v>1176</v>
      </c>
      <c r="W1460" s="8">
        <f t="shared" si="44"/>
        <v>1</v>
      </c>
      <c r="X1460" s="8">
        <f>K1460*L1460*N1460</f>
        <v>0</v>
      </c>
    </row>
    <row r="1461" spans="1:24" s="8" customFormat="1" ht="41.5" customHeight="1">
      <c r="A1461" s="8" t="s">
        <v>2336</v>
      </c>
      <c r="B1461" s="8" t="s">
        <v>2992</v>
      </c>
      <c r="C1461" s="9">
        <v>45734.608412627298</v>
      </c>
      <c r="D1461" s="8" t="s">
        <v>2062</v>
      </c>
      <c r="E1461" s="8" t="s">
        <v>2057</v>
      </c>
      <c r="F1461" s="8">
        <v>1</v>
      </c>
      <c r="G1461" s="2">
        <v>635</v>
      </c>
      <c r="H1461" s="8" t="s">
        <v>143</v>
      </c>
      <c r="I1461" s="2">
        <f t="shared" si="43"/>
        <v>635</v>
      </c>
      <c r="M1461" s="11">
        <v>26815</v>
      </c>
      <c r="N1461" s="8" t="s">
        <v>30</v>
      </c>
      <c r="O1461" s="8" t="s">
        <v>17</v>
      </c>
      <c r="P1461" s="8" t="s">
        <v>18</v>
      </c>
      <c r="Q1461" s="8" t="s">
        <v>18</v>
      </c>
      <c r="S1461" s="8" t="s">
        <v>2216</v>
      </c>
      <c r="T1461" s="8" t="s">
        <v>2217</v>
      </c>
      <c r="V1461" s="8" t="s">
        <v>1176</v>
      </c>
      <c r="W1461" s="8">
        <f t="shared" si="44"/>
        <v>1</v>
      </c>
      <c r="X1461" s="8">
        <f>K1461*L1461*N1461</f>
        <v>0</v>
      </c>
    </row>
    <row r="1462" spans="1:24" s="8" customFormat="1" ht="41.5" customHeight="1">
      <c r="A1462" s="8" t="s">
        <v>2336</v>
      </c>
      <c r="B1462" s="8" t="s">
        <v>2993</v>
      </c>
      <c r="C1462" s="9">
        <v>45734.6084126157</v>
      </c>
      <c r="D1462" s="8" t="s">
        <v>2062</v>
      </c>
      <c r="E1462" s="8" t="s">
        <v>2057</v>
      </c>
      <c r="F1462" s="8">
        <v>1</v>
      </c>
      <c r="G1462" s="2">
        <v>635</v>
      </c>
      <c r="H1462" s="8" t="s">
        <v>117</v>
      </c>
      <c r="I1462" s="2">
        <f t="shared" si="43"/>
        <v>635</v>
      </c>
      <c r="M1462" s="11">
        <v>50000</v>
      </c>
      <c r="N1462" s="8" t="s">
        <v>30</v>
      </c>
      <c r="O1462" s="8" t="s">
        <v>17</v>
      </c>
      <c r="P1462" s="8" t="s">
        <v>18</v>
      </c>
      <c r="Q1462" s="8" t="s">
        <v>18</v>
      </c>
      <c r="S1462" s="8" t="s">
        <v>2216</v>
      </c>
      <c r="T1462" s="8" t="s">
        <v>2217</v>
      </c>
      <c r="V1462" s="8" t="s">
        <v>1176</v>
      </c>
      <c r="W1462" s="8">
        <f t="shared" si="44"/>
        <v>1</v>
      </c>
      <c r="X1462" s="8">
        <f>K1462*L1462*N1462</f>
        <v>0</v>
      </c>
    </row>
    <row r="1463" spans="1:24" s="8" customFormat="1" ht="41.5" customHeight="1">
      <c r="A1463" s="8" t="s">
        <v>2339</v>
      </c>
      <c r="B1463" s="8" t="s">
        <v>2994</v>
      </c>
      <c r="C1463" s="9">
        <v>45732.218741979203</v>
      </c>
      <c r="D1463" s="8" t="s">
        <v>2218</v>
      </c>
      <c r="E1463" s="8" t="s">
        <v>2057</v>
      </c>
      <c r="F1463" s="8">
        <v>1</v>
      </c>
      <c r="G1463" s="2">
        <v>635</v>
      </c>
      <c r="H1463" s="8" t="s">
        <v>118</v>
      </c>
      <c r="I1463" s="2">
        <f t="shared" si="43"/>
        <v>635</v>
      </c>
      <c r="M1463" s="11">
        <v>50000</v>
      </c>
      <c r="N1463" s="8" t="s">
        <v>30</v>
      </c>
      <c r="O1463" s="8" t="s">
        <v>17</v>
      </c>
      <c r="P1463" s="8" t="s">
        <v>18</v>
      </c>
      <c r="Q1463" s="8" t="s">
        <v>18</v>
      </c>
      <c r="S1463" s="8" t="s">
        <v>2340</v>
      </c>
      <c r="T1463" s="8" t="s">
        <v>2341</v>
      </c>
      <c r="V1463" s="8" t="s">
        <v>1200</v>
      </c>
      <c r="W1463" s="8">
        <f t="shared" si="44"/>
        <v>1</v>
      </c>
      <c r="X1463" s="8">
        <f>K1463*L1463*N1463</f>
        <v>0</v>
      </c>
    </row>
    <row r="1464" spans="1:24" s="8" customFormat="1" ht="41.5" customHeight="1">
      <c r="A1464" s="8" t="s">
        <v>2339</v>
      </c>
      <c r="B1464" s="8" t="s">
        <v>2995</v>
      </c>
      <c r="C1464" s="9">
        <v>45732.183715555599</v>
      </c>
      <c r="D1464" s="8" t="s">
        <v>2218</v>
      </c>
      <c r="E1464" s="8" t="s">
        <v>2057</v>
      </c>
      <c r="F1464" s="8">
        <v>1</v>
      </c>
      <c r="G1464" s="2">
        <v>635</v>
      </c>
      <c r="H1464" s="8" t="s">
        <v>118</v>
      </c>
      <c r="I1464" s="2">
        <f t="shared" si="43"/>
        <v>635</v>
      </c>
      <c r="M1464" s="11">
        <v>20000</v>
      </c>
      <c r="N1464" s="8" t="s">
        <v>30</v>
      </c>
      <c r="O1464" s="8" t="s">
        <v>17</v>
      </c>
      <c r="P1464" s="8" t="s">
        <v>18</v>
      </c>
      <c r="Q1464" s="8" t="s">
        <v>18</v>
      </c>
      <c r="S1464" s="8" t="s">
        <v>2219</v>
      </c>
      <c r="T1464" s="8" t="s">
        <v>2220</v>
      </c>
      <c r="V1464" s="8" t="s">
        <v>1200</v>
      </c>
      <c r="W1464" s="8">
        <f t="shared" si="44"/>
        <v>1</v>
      </c>
      <c r="X1464" s="8">
        <f>K1464*L1464*N1464</f>
        <v>0</v>
      </c>
    </row>
    <row r="1465" spans="1:24" s="8" customFormat="1" ht="41.5" customHeight="1">
      <c r="A1465" s="8" t="s">
        <v>2339</v>
      </c>
      <c r="B1465" s="8" t="s">
        <v>2996</v>
      </c>
      <c r="C1465" s="9">
        <v>45732.1793425</v>
      </c>
      <c r="D1465" s="8" t="s">
        <v>2218</v>
      </c>
      <c r="E1465" s="8" t="s">
        <v>2057</v>
      </c>
      <c r="F1465" s="8">
        <v>1</v>
      </c>
      <c r="G1465" s="2">
        <v>635</v>
      </c>
      <c r="H1465" s="8" t="s">
        <v>118</v>
      </c>
      <c r="I1465" s="2">
        <f t="shared" si="43"/>
        <v>635</v>
      </c>
      <c r="M1465" s="11">
        <v>21963</v>
      </c>
      <c r="N1465" s="8" t="s">
        <v>30</v>
      </c>
      <c r="O1465" s="8" t="s">
        <v>17</v>
      </c>
      <c r="P1465" s="8" t="s">
        <v>18</v>
      </c>
      <c r="Q1465" s="8" t="s">
        <v>18</v>
      </c>
      <c r="S1465" s="8" t="s">
        <v>2219</v>
      </c>
      <c r="T1465" s="8" t="s">
        <v>2220</v>
      </c>
      <c r="V1465" s="8" t="s">
        <v>1200</v>
      </c>
      <c r="W1465" s="8">
        <f t="shared" si="44"/>
        <v>1</v>
      </c>
      <c r="X1465" s="8">
        <f>K1465*L1465*N1465</f>
        <v>0</v>
      </c>
    </row>
    <row r="1466" spans="1:24" s="8" customFormat="1" ht="41.5" customHeight="1">
      <c r="A1466" s="8" t="s">
        <v>2339</v>
      </c>
      <c r="B1466" s="8" t="s">
        <v>2997</v>
      </c>
      <c r="C1466" s="9">
        <v>45732.1793425</v>
      </c>
      <c r="D1466" s="8" t="s">
        <v>2218</v>
      </c>
      <c r="E1466" s="8" t="s">
        <v>2057</v>
      </c>
      <c r="F1466" s="8">
        <v>1</v>
      </c>
      <c r="G1466" s="2">
        <v>635</v>
      </c>
      <c r="H1466" s="8" t="s">
        <v>118</v>
      </c>
      <c r="I1466" s="2">
        <f t="shared" si="43"/>
        <v>635</v>
      </c>
      <c r="M1466" s="11">
        <v>20000</v>
      </c>
      <c r="N1466" s="8" t="s">
        <v>30</v>
      </c>
      <c r="O1466" s="8" t="s">
        <v>17</v>
      </c>
      <c r="P1466" s="8" t="s">
        <v>18</v>
      </c>
      <c r="Q1466" s="8" t="s">
        <v>18</v>
      </c>
      <c r="S1466" s="8" t="s">
        <v>2219</v>
      </c>
      <c r="T1466" s="8" t="s">
        <v>2220</v>
      </c>
      <c r="V1466" s="8" t="s">
        <v>1200</v>
      </c>
      <c r="W1466" s="8">
        <f t="shared" si="44"/>
        <v>1</v>
      </c>
      <c r="X1466" s="8">
        <f>K1466*L1466*N1466</f>
        <v>0</v>
      </c>
    </row>
    <row r="1467" spans="1:24" s="8" customFormat="1" ht="41.5" customHeight="1">
      <c r="A1467" s="8" t="s">
        <v>2339</v>
      </c>
      <c r="B1467" s="8" t="s">
        <v>2998</v>
      </c>
      <c r="C1467" s="9">
        <v>45732.166642916702</v>
      </c>
      <c r="D1467" s="8" t="s">
        <v>2218</v>
      </c>
      <c r="E1467" s="8" t="s">
        <v>2057</v>
      </c>
      <c r="F1467" s="8">
        <v>1</v>
      </c>
      <c r="G1467" s="2">
        <v>635</v>
      </c>
      <c r="H1467" s="8" t="s">
        <v>118</v>
      </c>
      <c r="I1467" s="2">
        <f t="shared" si="43"/>
        <v>635</v>
      </c>
      <c r="M1467" s="11">
        <v>20000</v>
      </c>
      <c r="N1467" s="8" t="s">
        <v>30</v>
      </c>
      <c r="O1467" s="8" t="s">
        <v>17</v>
      </c>
      <c r="P1467" s="8" t="s">
        <v>18</v>
      </c>
      <c r="Q1467" s="8" t="s">
        <v>18</v>
      </c>
      <c r="S1467" s="8" t="s">
        <v>2219</v>
      </c>
      <c r="T1467" s="8" t="s">
        <v>2220</v>
      </c>
      <c r="V1467" s="8" t="s">
        <v>1200</v>
      </c>
      <c r="W1467" s="8">
        <f t="shared" si="44"/>
        <v>1</v>
      </c>
      <c r="X1467" s="8">
        <f>K1467*L1467*N1467</f>
        <v>0</v>
      </c>
    </row>
    <row r="1468" spans="1:24" s="8" customFormat="1" ht="41.5" customHeight="1">
      <c r="A1468" s="8" t="s">
        <v>2999</v>
      </c>
      <c r="B1468" s="8" t="s">
        <v>3000</v>
      </c>
      <c r="C1468" s="9">
        <v>45670.696121446803</v>
      </c>
      <c r="D1468" s="8" t="s">
        <v>2056</v>
      </c>
      <c r="E1468" s="8" t="s">
        <v>2057</v>
      </c>
      <c r="F1468" s="8">
        <v>1</v>
      </c>
      <c r="G1468" s="2">
        <v>642</v>
      </c>
      <c r="H1468" s="8" t="s">
        <v>1201</v>
      </c>
      <c r="I1468" s="2">
        <f t="shared" si="43"/>
        <v>642</v>
      </c>
      <c r="J1468" s="8" t="s">
        <v>18</v>
      </c>
      <c r="K1468" s="10">
        <v>0</v>
      </c>
      <c r="L1468" s="10">
        <v>0</v>
      </c>
      <c r="M1468" s="11">
        <v>0</v>
      </c>
      <c r="O1468" s="8" t="s">
        <v>17</v>
      </c>
      <c r="P1468" s="8" t="s">
        <v>18</v>
      </c>
      <c r="Q1468" s="8" t="s">
        <v>18</v>
      </c>
      <c r="R1468" s="8" t="s">
        <v>3001</v>
      </c>
      <c r="S1468" s="8" t="s">
        <v>3002</v>
      </c>
      <c r="T1468" s="8" t="s">
        <v>3003</v>
      </c>
      <c r="U1468" s="8" t="s">
        <v>3004</v>
      </c>
      <c r="V1468" s="8" t="s">
        <v>1202</v>
      </c>
      <c r="W1468" s="8">
        <f t="shared" si="44"/>
        <v>1</v>
      </c>
      <c r="X1468" s="8">
        <f>K1468*L1468*N1468</f>
        <v>0</v>
      </c>
    </row>
    <row r="1469" spans="1:24" s="8" customFormat="1" ht="41.5" customHeight="1">
      <c r="A1469" s="8" t="s">
        <v>2999</v>
      </c>
      <c r="B1469" s="8" t="s">
        <v>3000</v>
      </c>
      <c r="C1469" s="9">
        <v>45670.696121446803</v>
      </c>
      <c r="D1469" s="8" t="s">
        <v>2056</v>
      </c>
      <c r="E1469" s="8" t="s">
        <v>2057</v>
      </c>
      <c r="F1469" s="8">
        <v>2</v>
      </c>
      <c r="G1469" s="2">
        <v>642</v>
      </c>
      <c r="H1469" s="8" t="s">
        <v>1203</v>
      </c>
      <c r="I1469" s="2">
        <f t="shared" ref="I1469:I1510" si="45">G1469</f>
        <v>642</v>
      </c>
      <c r="J1469" s="8" t="s">
        <v>1204</v>
      </c>
      <c r="K1469" s="10">
        <v>1.8</v>
      </c>
      <c r="L1469" s="10">
        <v>280000</v>
      </c>
      <c r="M1469" s="11">
        <v>504000</v>
      </c>
      <c r="N1469" s="8" t="s">
        <v>16</v>
      </c>
      <c r="O1469" s="8" t="s">
        <v>17</v>
      </c>
      <c r="P1469" s="8" t="s">
        <v>18</v>
      </c>
      <c r="Q1469" s="8" t="s">
        <v>18</v>
      </c>
      <c r="R1469" s="8" t="s">
        <v>3001</v>
      </c>
      <c r="S1469" s="8" t="s">
        <v>3002</v>
      </c>
      <c r="T1469" s="8" t="s">
        <v>3003</v>
      </c>
      <c r="U1469" s="8" t="s">
        <v>3004</v>
      </c>
      <c r="V1469" s="8" t="s">
        <v>1202</v>
      </c>
      <c r="W1469" s="8">
        <f t="shared" si="44"/>
        <v>1</v>
      </c>
      <c r="X1469" s="8">
        <f>K1469*L1469*N1469</f>
        <v>40320</v>
      </c>
    </row>
    <row r="1470" spans="1:24" s="8" customFormat="1" ht="41.5" customHeight="1">
      <c r="A1470" s="8" t="s">
        <v>2999</v>
      </c>
      <c r="B1470" s="8" t="s">
        <v>3000</v>
      </c>
      <c r="C1470" s="9">
        <v>45670.696121446803</v>
      </c>
      <c r="D1470" s="8" t="s">
        <v>2056</v>
      </c>
      <c r="E1470" s="8" t="s">
        <v>2057</v>
      </c>
      <c r="F1470" s="8">
        <v>3</v>
      </c>
      <c r="G1470" s="2">
        <v>642</v>
      </c>
      <c r="H1470" s="8" t="s">
        <v>1205</v>
      </c>
      <c r="I1470" s="2">
        <f t="shared" si="45"/>
        <v>642</v>
      </c>
      <c r="J1470" s="8" t="s">
        <v>1204</v>
      </c>
      <c r="K1470" s="10">
        <v>1</v>
      </c>
      <c r="L1470" s="10">
        <v>150000</v>
      </c>
      <c r="M1470" s="11">
        <v>150000</v>
      </c>
      <c r="N1470" s="8" t="s">
        <v>16</v>
      </c>
      <c r="O1470" s="8" t="s">
        <v>17</v>
      </c>
      <c r="P1470" s="8" t="s">
        <v>18</v>
      </c>
      <c r="Q1470" s="8" t="s">
        <v>18</v>
      </c>
      <c r="R1470" s="8" t="s">
        <v>3001</v>
      </c>
      <c r="S1470" s="8" t="s">
        <v>3002</v>
      </c>
      <c r="T1470" s="8" t="s">
        <v>3003</v>
      </c>
      <c r="U1470" s="8" t="s">
        <v>3004</v>
      </c>
      <c r="V1470" s="8" t="s">
        <v>1202</v>
      </c>
      <c r="W1470" s="8">
        <f t="shared" si="44"/>
        <v>1</v>
      </c>
      <c r="X1470" s="8">
        <f>K1470*L1470*N1470</f>
        <v>12000</v>
      </c>
    </row>
    <row r="1471" spans="1:24" s="8" customFormat="1" ht="41.5" customHeight="1">
      <c r="A1471" s="8" t="s">
        <v>2999</v>
      </c>
      <c r="B1471" s="8" t="s">
        <v>3000</v>
      </c>
      <c r="C1471" s="9">
        <v>45670.696121446803</v>
      </c>
      <c r="D1471" s="8" t="s">
        <v>2056</v>
      </c>
      <c r="E1471" s="8" t="s">
        <v>2057</v>
      </c>
      <c r="F1471" s="8">
        <v>4</v>
      </c>
      <c r="G1471" s="2">
        <v>642</v>
      </c>
      <c r="H1471" s="8" t="s">
        <v>1206</v>
      </c>
      <c r="I1471" s="2">
        <f t="shared" si="45"/>
        <v>642</v>
      </c>
      <c r="J1471" s="8" t="s">
        <v>1204</v>
      </c>
      <c r="K1471" s="10">
        <v>1</v>
      </c>
      <c r="L1471" s="10">
        <v>45000</v>
      </c>
      <c r="M1471" s="11">
        <v>45000</v>
      </c>
      <c r="N1471" s="8" t="s">
        <v>16</v>
      </c>
      <c r="O1471" s="8" t="s">
        <v>17</v>
      </c>
      <c r="P1471" s="8" t="s">
        <v>18</v>
      </c>
      <c r="Q1471" s="8" t="s">
        <v>18</v>
      </c>
      <c r="R1471" s="8" t="s">
        <v>3001</v>
      </c>
      <c r="S1471" s="8" t="s">
        <v>3002</v>
      </c>
      <c r="T1471" s="8" t="s">
        <v>3003</v>
      </c>
      <c r="U1471" s="8" t="s">
        <v>3004</v>
      </c>
      <c r="V1471" s="8" t="s">
        <v>1202</v>
      </c>
      <c r="W1471" s="8">
        <f t="shared" si="44"/>
        <v>1</v>
      </c>
      <c r="X1471" s="8">
        <f>K1471*L1471*N1471</f>
        <v>3600</v>
      </c>
    </row>
    <row r="1472" spans="1:24" s="8" customFormat="1" ht="41.5" customHeight="1">
      <c r="A1472" s="8" t="s">
        <v>2999</v>
      </c>
      <c r="B1472" s="8" t="s">
        <v>3000</v>
      </c>
      <c r="C1472" s="9">
        <v>45670.696121446803</v>
      </c>
      <c r="D1472" s="8" t="s">
        <v>2056</v>
      </c>
      <c r="E1472" s="8" t="s">
        <v>2057</v>
      </c>
      <c r="F1472" s="8">
        <v>5</v>
      </c>
      <c r="G1472" s="2">
        <v>642</v>
      </c>
      <c r="H1472" s="8" t="s">
        <v>1207</v>
      </c>
      <c r="I1472" s="2">
        <f t="shared" si="45"/>
        <v>642</v>
      </c>
      <c r="J1472" s="8" t="s">
        <v>1041</v>
      </c>
      <c r="K1472" s="10">
        <v>1</v>
      </c>
      <c r="L1472" s="10">
        <v>113000</v>
      </c>
      <c r="M1472" s="11">
        <v>113000</v>
      </c>
      <c r="N1472" s="8" t="s">
        <v>16</v>
      </c>
      <c r="O1472" s="8" t="s">
        <v>17</v>
      </c>
      <c r="P1472" s="8" t="s">
        <v>18</v>
      </c>
      <c r="Q1472" s="8" t="s">
        <v>18</v>
      </c>
      <c r="R1472" s="8" t="s">
        <v>3001</v>
      </c>
      <c r="S1472" s="8" t="s">
        <v>3002</v>
      </c>
      <c r="T1472" s="8" t="s">
        <v>3003</v>
      </c>
      <c r="U1472" s="8" t="s">
        <v>3004</v>
      </c>
      <c r="V1472" s="8" t="s">
        <v>1202</v>
      </c>
      <c r="W1472" s="8">
        <f t="shared" si="44"/>
        <v>1</v>
      </c>
      <c r="X1472" s="8">
        <f>K1472*L1472*N1472</f>
        <v>9040</v>
      </c>
    </row>
    <row r="1473" spans="1:24" s="8" customFormat="1" ht="41.5" customHeight="1">
      <c r="A1473" s="8" t="s">
        <v>2999</v>
      </c>
      <c r="B1473" s="8" t="s">
        <v>3000</v>
      </c>
      <c r="C1473" s="9">
        <v>45670.696121446803</v>
      </c>
      <c r="D1473" s="8" t="s">
        <v>2056</v>
      </c>
      <c r="E1473" s="8" t="s">
        <v>2057</v>
      </c>
      <c r="F1473" s="8">
        <v>6</v>
      </c>
      <c r="G1473" s="2">
        <v>642</v>
      </c>
      <c r="H1473" s="8" t="s">
        <v>1208</v>
      </c>
      <c r="I1473" s="2">
        <f t="shared" si="45"/>
        <v>642</v>
      </c>
      <c r="J1473" s="8" t="s">
        <v>1041</v>
      </c>
      <c r="K1473" s="10">
        <v>1</v>
      </c>
      <c r="L1473" s="10">
        <v>372000</v>
      </c>
      <c r="M1473" s="11">
        <v>372000</v>
      </c>
      <c r="N1473" s="8" t="s">
        <v>16</v>
      </c>
      <c r="O1473" s="8" t="s">
        <v>17</v>
      </c>
      <c r="P1473" s="8" t="s">
        <v>18</v>
      </c>
      <c r="Q1473" s="8" t="s">
        <v>18</v>
      </c>
      <c r="R1473" s="8" t="s">
        <v>3001</v>
      </c>
      <c r="S1473" s="8" t="s">
        <v>3002</v>
      </c>
      <c r="T1473" s="8" t="s">
        <v>3003</v>
      </c>
      <c r="U1473" s="8" t="s">
        <v>3004</v>
      </c>
      <c r="V1473" s="8" t="s">
        <v>1202</v>
      </c>
      <c r="W1473" s="8">
        <f t="shared" si="44"/>
        <v>1</v>
      </c>
      <c r="X1473" s="8">
        <f>K1473*L1473*N1473</f>
        <v>29760</v>
      </c>
    </row>
    <row r="1474" spans="1:24" s="8" customFormat="1" ht="41.5" customHeight="1">
      <c r="A1474" s="8" t="s">
        <v>2999</v>
      </c>
      <c r="B1474" s="8" t="s">
        <v>3000</v>
      </c>
      <c r="C1474" s="9">
        <v>45670.696121446803</v>
      </c>
      <c r="D1474" s="8" t="s">
        <v>2056</v>
      </c>
      <c r="E1474" s="8" t="s">
        <v>2057</v>
      </c>
      <c r="F1474" s="8">
        <v>7</v>
      </c>
      <c r="G1474" s="2">
        <v>642</v>
      </c>
      <c r="H1474" s="8" t="s">
        <v>1209</v>
      </c>
      <c r="I1474" s="2">
        <f t="shared" si="45"/>
        <v>642</v>
      </c>
      <c r="J1474" s="8" t="s">
        <v>1041</v>
      </c>
      <c r="K1474" s="10">
        <v>1</v>
      </c>
      <c r="L1474" s="10">
        <v>747000</v>
      </c>
      <c r="M1474" s="11">
        <v>747000</v>
      </c>
      <c r="N1474" s="8" t="s">
        <v>16</v>
      </c>
      <c r="O1474" s="8" t="s">
        <v>17</v>
      </c>
      <c r="P1474" s="8" t="s">
        <v>18</v>
      </c>
      <c r="Q1474" s="8" t="s">
        <v>18</v>
      </c>
      <c r="R1474" s="8" t="s">
        <v>3001</v>
      </c>
      <c r="S1474" s="8" t="s">
        <v>3002</v>
      </c>
      <c r="T1474" s="8" t="s">
        <v>3003</v>
      </c>
      <c r="U1474" s="8" t="s">
        <v>3004</v>
      </c>
      <c r="V1474" s="8" t="s">
        <v>1202</v>
      </c>
      <c r="W1474" s="8">
        <f t="shared" si="44"/>
        <v>1</v>
      </c>
      <c r="X1474" s="8">
        <f>K1474*L1474*N1474</f>
        <v>59760</v>
      </c>
    </row>
    <row r="1475" spans="1:24" s="8" customFormat="1" ht="41.5" customHeight="1">
      <c r="A1475" s="8" t="s">
        <v>2999</v>
      </c>
      <c r="B1475" s="8" t="s">
        <v>3000</v>
      </c>
      <c r="C1475" s="9">
        <v>45670.696121446803</v>
      </c>
      <c r="D1475" s="8" t="s">
        <v>2056</v>
      </c>
      <c r="E1475" s="8" t="s">
        <v>2057</v>
      </c>
      <c r="F1475" s="8">
        <v>8</v>
      </c>
      <c r="G1475" s="2">
        <v>642</v>
      </c>
      <c r="H1475" s="8" t="s">
        <v>1210</v>
      </c>
      <c r="I1475" s="2">
        <f t="shared" si="45"/>
        <v>642</v>
      </c>
      <c r="J1475" s="8" t="s">
        <v>55</v>
      </c>
      <c r="K1475" s="10">
        <v>1</v>
      </c>
      <c r="L1475" s="10">
        <v>5000</v>
      </c>
      <c r="M1475" s="11">
        <v>5000</v>
      </c>
      <c r="N1475" s="8" t="s">
        <v>16</v>
      </c>
      <c r="O1475" s="8" t="s">
        <v>17</v>
      </c>
      <c r="P1475" s="8" t="s">
        <v>18</v>
      </c>
      <c r="Q1475" s="8" t="s">
        <v>18</v>
      </c>
      <c r="R1475" s="8" t="s">
        <v>3001</v>
      </c>
      <c r="S1475" s="8" t="s">
        <v>3002</v>
      </c>
      <c r="T1475" s="8" t="s">
        <v>3003</v>
      </c>
      <c r="U1475" s="8" t="s">
        <v>3004</v>
      </c>
      <c r="V1475" s="8" t="s">
        <v>1202</v>
      </c>
      <c r="W1475" s="8">
        <f t="shared" si="44"/>
        <v>1</v>
      </c>
      <c r="X1475" s="8">
        <f>K1475*L1475*N1475</f>
        <v>400</v>
      </c>
    </row>
    <row r="1476" spans="1:24" s="8" customFormat="1" ht="41.5" customHeight="1">
      <c r="A1476" s="8" t="s">
        <v>2999</v>
      </c>
      <c r="B1476" s="8" t="s">
        <v>3000</v>
      </c>
      <c r="C1476" s="9">
        <v>45670.696121446803</v>
      </c>
      <c r="D1476" s="8" t="s">
        <v>2056</v>
      </c>
      <c r="E1476" s="8" t="s">
        <v>2057</v>
      </c>
      <c r="F1476" s="8">
        <v>9</v>
      </c>
      <c r="G1476" s="2">
        <v>642</v>
      </c>
      <c r="H1476" s="8" t="s">
        <v>1211</v>
      </c>
      <c r="I1476" s="2">
        <f t="shared" si="45"/>
        <v>642</v>
      </c>
      <c r="J1476" s="8" t="s">
        <v>1212</v>
      </c>
      <c r="K1476" s="10">
        <v>1</v>
      </c>
      <c r="L1476" s="10">
        <v>27364</v>
      </c>
      <c r="M1476" s="11">
        <v>27364</v>
      </c>
      <c r="N1476" s="8" t="s">
        <v>16</v>
      </c>
      <c r="O1476" s="8" t="s">
        <v>17</v>
      </c>
      <c r="P1476" s="8" t="s">
        <v>18</v>
      </c>
      <c r="Q1476" s="8" t="s">
        <v>18</v>
      </c>
      <c r="R1476" s="8" t="s">
        <v>3001</v>
      </c>
      <c r="S1476" s="8" t="s">
        <v>3002</v>
      </c>
      <c r="T1476" s="8" t="s">
        <v>3003</v>
      </c>
      <c r="U1476" s="8" t="s">
        <v>3004</v>
      </c>
      <c r="V1476" s="8" t="s">
        <v>1202</v>
      </c>
      <c r="W1476" s="8">
        <f t="shared" si="44"/>
        <v>1</v>
      </c>
      <c r="X1476" s="8">
        <f>K1476*L1476*N1476</f>
        <v>2189.12</v>
      </c>
    </row>
    <row r="1477" spans="1:24" s="8" customFormat="1" ht="41.5" customHeight="1">
      <c r="A1477" s="8" t="s">
        <v>2999</v>
      </c>
      <c r="B1477" s="8" t="s">
        <v>3000</v>
      </c>
      <c r="C1477" s="9">
        <v>45670.696121446803</v>
      </c>
      <c r="D1477" s="8" t="s">
        <v>2056</v>
      </c>
      <c r="E1477" s="8" t="s">
        <v>2057</v>
      </c>
      <c r="F1477" s="8">
        <v>10</v>
      </c>
      <c r="G1477" s="2">
        <v>642</v>
      </c>
      <c r="H1477" s="8" t="s">
        <v>1213</v>
      </c>
      <c r="I1477" s="2">
        <f t="shared" si="45"/>
        <v>642</v>
      </c>
      <c r="J1477" s="8" t="s">
        <v>1214</v>
      </c>
      <c r="K1477" s="10">
        <v>7.5</v>
      </c>
      <c r="L1477" s="10">
        <v>186000</v>
      </c>
      <c r="M1477" s="11">
        <v>1395000</v>
      </c>
      <c r="N1477" s="8" t="s">
        <v>16</v>
      </c>
      <c r="O1477" s="8" t="s">
        <v>17</v>
      </c>
      <c r="P1477" s="8" t="s">
        <v>18</v>
      </c>
      <c r="Q1477" s="8" t="s">
        <v>18</v>
      </c>
      <c r="R1477" s="8" t="s">
        <v>3001</v>
      </c>
      <c r="S1477" s="8" t="s">
        <v>3002</v>
      </c>
      <c r="T1477" s="8" t="s">
        <v>3003</v>
      </c>
      <c r="U1477" s="8" t="s">
        <v>3004</v>
      </c>
      <c r="V1477" s="8" t="s">
        <v>1202</v>
      </c>
      <c r="W1477" s="8">
        <f t="shared" si="44"/>
        <v>1</v>
      </c>
      <c r="X1477" s="8">
        <f>K1477*L1477*N1477</f>
        <v>111600</v>
      </c>
    </row>
    <row r="1478" spans="1:24" s="8" customFormat="1" ht="41.5" customHeight="1">
      <c r="A1478" s="8" t="s">
        <v>2999</v>
      </c>
      <c r="B1478" s="8" t="s">
        <v>3000</v>
      </c>
      <c r="C1478" s="9">
        <v>45670.696121446803</v>
      </c>
      <c r="D1478" s="8" t="s">
        <v>2056</v>
      </c>
      <c r="E1478" s="8" t="s">
        <v>2057</v>
      </c>
      <c r="F1478" s="8">
        <v>11</v>
      </c>
      <c r="G1478" s="2">
        <v>642</v>
      </c>
      <c r="H1478" s="8" t="s">
        <v>1215</v>
      </c>
      <c r="I1478" s="2">
        <f t="shared" si="45"/>
        <v>642</v>
      </c>
      <c r="J1478" s="8" t="s">
        <v>1212</v>
      </c>
      <c r="K1478" s="10">
        <v>1</v>
      </c>
      <c r="L1478" s="10">
        <v>216364</v>
      </c>
      <c r="M1478" s="11">
        <v>216364</v>
      </c>
      <c r="N1478" s="8" t="s">
        <v>16</v>
      </c>
      <c r="O1478" s="8" t="s">
        <v>17</v>
      </c>
      <c r="P1478" s="8" t="s">
        <v>18</v>
      </c>
      <c r="Q1478" s="8" t="s">
        <v>18</v>
      </c>
      <c r="R1478" s="8" t="s">
        <v>3001</v>
      </c>
      <c r="S1478" s="8" t="s">
        <v>3002</v>
      </c>
      <c r="T1478" s="8" t="s">
        <v>3003</v>
      </c>
      <c r="U1478" s="8" t="s">
        <v>3004</v>
      </c>
      <c r="V1478" s="8" t="s">
        <v>1202</v>
      </c>
      <c r="W1478" s="8">
        <f t="shared" si="44"/>
        <v>1</v>
      </c>
      <c r="X1478" s="8">
        <f>K1478*L1478*N1478</f>
        <v>17309.12</v>
      </c>
    </row>
    <row r="1479" spans="1:24" s="8" customFormat="1" ht="41.5" customHeight="1">
      <c r="A1479" s="8" t="s">
        <v>2999</v>
      </c>
      <c r="B1479" s="8" t="s">
        <v>3000</v>
      </c>
      <c r="C1479" s="9">
        <v>45670.696121446803</v>
      </c>
      <c r="D1479" s="8" t="s">
        <v>2056</v>
      </c>
      <c r="E1479" s="8" t="s">
        <v>2057</v>
      </c>
      <c r="F1479" s="8">
        <v>12</v>
      </c>
      <c r="G1479" s="2">
        <v>642</v>
      </c>
      <c r="H1479" s="8" t="s">
        <v>1216</v>
      </c>
      <c r="I1479" s="2">
        <f t="shared" si="45"/>
        <v>642</v>
      </c>
      <c r="J1479" s="8" t="s">
        <v>1212</v>
      </c>
      <c r="K1479" s="10">
        <v>1</v>
      </c>
      <c r="L1479" s="10">
        <v>80000</v>
      </c>
      <c r="M1479" s="11">
        <v>80000</v>
      </c>
      <c r="N1479" s="8" t="s">
        <v>16</v>
      </c>
      <c r="O1479" s="8" t="s">
        <v>17</v>
      </c>
      <c r="P1479" s="8" t="s">
        <v>18</v>
      </c>
      <c r="Q1479" s="8" t="s">
        <v>18</v>
      </c>
      <c r="R1479" s="8" t="s">
        <v>3001</v>
      </c>
      <c r="S1479" s="8" t="s">
        <v>3002</v>
      </c>
      <c r="T1479" s="8" t="s">
        <v>3003</v>
      </c>
      <c r="U1479" s="8" t="s">
        <v>3004</v>
      </c>
      <c r="V1479" s="8" t="s">
        <v>1202</v>
      </c>
      <c r="W1479" s="8">
        <f t="shared" si="44"/>
        <v>1</v>
      </c>
      <c r="X1479" s="8">
        <f>K1479*L1479*N1479</f>
        <v>6400</v>
      </c>
    </row>
    <row r="1480" spans="1:24" s="8" customFormat="1" ht="41.5" customHeight="1">
      <c r="A1480" s="8" t="s">
        <v>2999</v>
      </c>
      <c r="B1480" s="8" t="s">
        <v>3000</v>
      </c>
      <c r="C1480" s="9">
        <v>45670.696121446803</v>
      </c>
      <c r="D1480" s="8" t="s">
        <v>2056</v>
      </c>
      <c r="E1480" s="8" t="s">
        <v>2057</v>
      </c>
      <c r="F1480" s="8">
        <v>13</v>
      </c>
      <c r="G1480" s="2">
        <v>642</v>
      </c>
      <c r="H1480" s="8" t="s">
        <v>1217</v>
      </c>
      <c r="I1480" s="2">
        <f t="shared" si="45"/>
        <v>642</v>
      </c>
      <c r="J1480" s="8" t="s">
        <v>1218</v>
      </c>
      <c r="K1480" s="10">
        <v>1</v>
      </c>
      <c r="L1480" s="10">
        <v>30600</v>
      </c>
      <c r="M1480" s="11">
        <v>30600</v>
      </c>
      <c r="N1480" s="8" t="s">
        <v>16</v>
      </c>
      <c r="O1480" s="8" t="s">
        <v>17</v>
      </c>
      <c r="P1480" s="8" t="s">
        <v>18</v>
      </c>
      <c r="Q1480" s="8" t="s">
        <v>18</v>
      </c>
      <c r="R1480" s="8" t="s">
        <v>3001</v>
      </c>
      <c r="S1480" s="8" t="s">
        <v>3002</v>
      </c>
      <c r="T1480" s="8" t="s">
        <v>3003</v>
      </c>
      <c r="U1480" s="8" t="s">
        <v>3004</v>
      </c>
      <c r="V1480" s="8" t="s">
        <v>1202</v>
      </c>
      <c r="W1480" s="8">
        <f t="shared" si="44"/>
        <v>1</v>
      </c>
      <c r="X1480" s="8">
        <f>K1480*L1480*N1480</f>
        <v>2448</v>
      </c>
    </row>
    <row r="1481" spans="1:24" s="8" customFormat="1" ht="41.5" customHeight="1">
      <c r="A1481" s="8" t="s">
        <v>2280</v>
      </c>
      <c r="B1481" s="8" t="s">
        <v>457</v>
      </c>
      <c r="C1481" s="9">
        <v>45679.683122824099</v>
      </c>
      <c r="D1481" s="8" t="s">
        <v>2056</v>
      </c>
      <c r="E1481" s="8" t="s">
        <v>2057</v>
      </c>
      <c r="F1481" s="8">
        <v>1</v>
      </c>
      <c r="G1481" s="22" t="s">
        <v>1219</v>
      </c>
      <c r="H1481" s="8" t="s">
        <v>1219</v>
      </c>
      <c r="I1481" s="2" t="str">
        <f t="shared" si="45"/>
        <v>Băng cản nước HK Waterbar V25</v>
      </c>
      <c r="J1481" s="8" t="s">
        <v>47</v>
      </c>
      <c r="K1481" s="10">
        <v>50</v>
      </c>
      <c r="L1481" s="10">
        <v>77778</v>
      </c>
      <c r="M1481" s="11">
        <v>3888900</v>
      </c>
      <c r="N1481" s="8" t="s">
        <v>16</v>
      </c>
      <c r="O1481" s="8" t="s">
        <v>17</v>
      </c>
      <c r="P1481" s="8" t="s">
        <v>18</v>
      </c>
      <c r="Q1481" s="8" t="s">
        <v>18</v>
      </c>
      <c r="R1481" s="8" t="s">
        <v>2110</v>
      </c>
      <c r="S1481" s="8" t="s">
        <v>2123</v>
      </c>
      <c r="T1481" s="8" t="s">
        <v>2124</v>
      </c>
      <c r="U1481" s="8" t="s">
        <v>2635</v>
      </c>
      <c r="V1481" s="8" t="s">
        <v>1220</v>
      </c>
      <c r="W1481" s="8">
        <f t="shared" si="44"/>
        <v>1</v>
      </c>
      <c r="X1481" s="8">
        <f>K1481*L1481*N1481</f>
        <v>311112</v>
      </c>
    </row>
    <row r="1482" spans="1:24" s="8" customFormat="1" ht="41.5" customHeight="1">
      <c r="A1482" s="8" t="s">
        <v>2853</v>
      </c>
      <c r="B1482" s="8" t="s">
        <v>3005</v>
      </c>
      <c r="C1482" s="9">
        <v>45680.589393310198</v>
      </c>
      <c r="D1482" s="8" t="s">
        <v>2056</v>
      </c>
      <c r="E1482" s="8" t="s">
        <v>2057</v>
      </c>
      <c r="F1482" s="8">
        <v>1</v>
      </c>
      <c r="G1482" s="27" t="s">
        <v>2140</v>
      </c>
      <c r="H1482" s="8" t="s">
        <v>1021</v>
      </c>
      <c r="I1482" s="2" t="str">
        <f t="shared" si="45"/>
        <v>Thép ống hộp</v>
      </c>
      <c r="J1482" s="8" t="s">
        <v>35</v>
      </c>
      <c r="K1482" s="10">
        <v>4113.6000000000004</v>
      </c>
      <c r="L1482" s="10">
        <v>17400</v>
      </c>
      <c r="M1482" s="11">
        <v>71576640</v>
      </c>
      <c r="N1482" s="8" t="s">
        <v>30</v>
      </c>
      <c r="O1482" s="8" t="s">
        <v>17</v>
      </c>
      <c r="P1482" s="8" t="s">
        <v>18</v>
      </c>
      <c r="Q1482" s="8" t="s">
        <v>18</v>
      </c>
      <c r="R1482" s="8" t="s">
        <v>2110</v>
      </c>
      <c r="S1482" s="8" t="s">
        <v>2126</v>
      </c>
      <c r="T1482" s="8" t="s">
        <v>2127</v>
      </c>
      <c r="U1482" s="8" t="s">
        <v>2645</v>
      </c>
      <c r="V1482" s="8" t="s">
        <v>44</v>
      </c>
      <c r="W1482" s="8">
        <f t="shared" si="44"/>
        <v>1</v>
      </c>
      <c r="X1482" s="8">
        <f>K1482*L1482*N1482</f>
        <v>7157664</v>
      </c>
    </row>
    <row r="1483" spans="1:24" s="8" customFormat="1" ht="41.5" customHeight="1">
      <c r="A1483" s="8" t="s">
        <v>2853</v>
      </c>
      <c r="B1483" s="8" t="s">
        <v>3005</v>
      </c>
      <c r="C1483" s="9">
        <v>45680.589393310198</v>
      </c>
      <c r="D1483" s="8" t="s">
        <v>2056</v>
      </c>
      <c r="E1483" s="8" t="s">
        <v>2057</v>
      </c>
      <c r="F1483" s="8">
        <v>2</v>
      </c>
      <c r="G1483" s="27" t="s">
        <v>2140</v>
      </c>
      <c r="H1483" s="8" t="s">
        <v>1022</v>
      </c>
      <c r="I1483" s="2" t="str">
        <f t="shared" si="45"/>
        <v>Thép ống hộp</v>
      </c>
      <c r="J1483" s="8" t="s">
        <v>35</v>
      </c>
      <c r="K1483" s="10">
        <v>184.3</v>
      </c>
      <c r="L1483" s="10">
        <v>17400</v>
      </c>
      <c r="M1483" s="11">
        <v>3206820</v>
      </c>
      <c r="N1483" s="8" t="s">
        <v>30</v>
      </c>
      <c r="O1483" s="8" t="s">
        <v>17</v>
      </c>
      <c r="P1483" s="8" t="s">
        <v>18</v>
      </c>
      <c r="Q1483" s="8" t="s">
        <v>18</v>
      </c>
      <c r="R1483" s="8" t="s">
        <v>2110</v>
      </c>
      <c r="S1483" s="8" t="s">
        <v>2126</v>
      </c>
      <c r="T1483" s="8" t="s">
        <v>2127</v>
      </c>
      <c r="U1483" s="8" t="s">
        <v>2645</v>
      </c>
      <c r="V1483" s="8" t="s">
        <v>44</v>
      </c>
      <c r="W1483" s="8">
        <f t="shared" si="44"/>
        <v>1</v>
      </c>
      <c r="X1483" s="8">
        <f>K1483*L1483*N1483</f>
        <v>320682</v>
      </c>
    </row>
    <row r="1484" spans="1:24" s="13" customFormat="1" ht="41.5" customHeight="1">
      <c r="A1484" s="8" t="s">
        <v>2853</v>
      </c>
      <c r="B1484" s="13" t="s">
        <v>3005</v>
      </c>
      <c r="C1484" s="14">
        <v>45680.589393310198</v>
      </c>
      <c r="D1484" s="13" t="s">
        <v>2056</v>
      </c>
      <c r="E1484" s="13" t="s">
        <v>2057</v>
      </c>
      <c r="F1484" s="13">
        <v>3</v>
      </c>
      <c r="G1484" s="28" t="s">
        <v>1363</v>
      </c>
      <c r="H1484" s="13" t="s">
        <v>59</v>
      </c>
      <c r="I1484" s="2" t="str">
        <f t="shared" si="45"/>
        <v>Tôn màu</v>
      </c>
      <c r="J1484" s="13" t="s">
        <v>106</v>
      </c>
      <c r="K1484" s="15">
        <v>340.9</v>
      </c>
      <c r="L1484" s="15">
        <v>93000</v>
      </c>
      <c r="M1484" s="16">
        <v>31703700</v>
      </c>
      <c r="N1484" s="13" t="s">
        <v>30</v>
      </c>
      <c r="O1484" s="13" t="s">
        <v>17</v>
      </c>
      <c r="P1484" s="13" t="s">
        <v>18</v>
      </c>
      <c r="Q1484" s="13" t="s">
        <v>18</v>
      </c>
      <c r="R1484" s="13" t="s">
        <v>2110</v>
      </c>
      <c r="S1484" s="13" t="s">
        <v>2126</v>
      </c>
      <c r="T1484" s="13" t="s">
        <v>2127</v>
      </c>
      <c r="U1484" s="13" t="s">
        <v>2645</v>
      </c>
      <c r="V1484" s="13" t="s">
        <v>44</v>
      </c>
      <c r="W1484" s="13">
        <f t="shared" si="44"/>
        <v>1</v>
      </c>
      <c r="X1484" s="8">
        <f>K1484*L1484*N1484</f>
        <v>3170370</v>
      </c>
    </row>
    <row r="1485" spans="1:24" s="8" customFormat="1" ht="41.5" customHeight="1">
      <c r="A1485" s="8" t="s">
        <v>2316</v>
      </c>
      <c r="B1485" s="8" t="s">
        <v>3006</v>
      </c>
      <c r="C1485" s="9">
        <v>45671.691686851897</v>
      </c>
      <c r="D1485" s="8" t="s">
        <v>2056</v>
      </c>
      <c r="E1485" s="8" t="s">
        <v>2057</v>
      </c>
      <c r="F1485" s="8">
        <v>1</v>
      </c>
      <c r="G1485" s="22" t="s">
        <v>159</v>
      </c>
      <c r="H1485" s="8" t="s">
        <v>159</v>
      </c>
      <c r="I1485" s="2" t="str">
        <f t="shared" si="45"/>
        <v>Hộp Inox 304</v>
      </c>
      <c r="J1485" s="8" t="s">
        <v>62</v>
      </c>
      <c r="K1485" s="10">
        <v>71.5</v>
      </c>
      <c r="L1485" s="10">
        <v>60272.73</v>
      </c>
      <c r="M1485" s="11">
        <v>4309500</v>
      </c>
      <c r="N1485" s="8" t="s">
        <v>30</v>
      </c>
      <c r="O1485" s="8" t="s">
        <v>17</v>
      </c>
      <c r="P1485" s="8" t="s">
        <v>18</v>
      </c>
      <c r="Q1485" s="8" t="s">
        <v>18</v>
      </c>
      <c r="R1485" s="8" t="s">
        <v>2115</v>
      </c>
      <c r="S1485" s="8" t="s">
        <v>2137</v>
      </c>
      <c r="T1485" s="8" t="s">
        <v>2138</v>
      </c>
      <c r="U1485" s="8" t="s">
        <v>2724</v>
      </c>
      <c r="V1485" s="8" t="s">
        <v>1221</v>
      </c>
      <c r="W1485" s="8">
        <f t="shared" si="44"/>
        <v>1</v>
      </c>
      <c r="X1485" s="8">
        <f>K1485*L1485*N1485</f>
        <v>430950.01950000005</v>
      </c>
    </row>
    <row r="1486" spans="1:24" s="8" customFormat="1" ht="41.5" customHeight="1">
      <c r="A1486" s="8" t="s">
        <v>2316</v>
      </c>
      <c r="B1486" s="8" t="s">
        <v>3006</v>
      </c>
      <c r="C1486" s="9">
        <v>45671.691686851897</v>
      </c>
      <c r="D1486" s="8" t="s">
        <v>2056</v>
      </c>
      <c r="E1486" s="8" t="s">
        <v>2057</v>
      </c>
      <c r="F1486" s="8">
        <v>2</v>
      </c>
      <c r="G1486" s="22" t="s">
        <v>1346</v>
      </c>
      <c r="H1486" s="8" t="s">
        <v>70</v>
      </c>
      <c r="I1486" s="2" t="str">
        <f t="shared" si="45"/>
        <v>Tôn xốp</v>
      </c>
      <c r="J1486" s="8" t="s">
        <v>71</v>
      </c>
      <c r="K1486" s="10">
        <v>326</v>
      </c>
      <c r="L1486" s="10">
        <v>125000</v>
      </c>
      <c r="M1486" s="11">
        <v>40750000</v>
      </c>
      <c r="N1486" s="8" t="s">
        <v>30</v>
      </c>
      <c r="O1486" s="8" t="s">
        <v>17</v>
      </c>
      <c r="P1486" s="8" t="s">
        <v>18</v>
      </c>
      <c r="Q1486" s="8" t="s">
        <v>18</v>
      </c>
      <c r="R1486" s="8" t="s">
        <v>2115</v>
      </c>
      <c r="S1486" s="8" t="s">
        <v>2137</v>
      </c>
      <c r="T1486" s="8" t="s">
        <v>2138</v>
      </c>
      <c r="U1486" s="8" t="s">
        <v>2724</v>
      </c>
      <c r="V1486" s="8" t="s">
        <v>1221</v>
      </c>
      <c r="W1486" s="8">
        <f t="shared" si="44"/>
        <v>1</v>
      </c>
      <c r="X1486" s="8">
        <f>K1486*L1486*N1486</f>
        <v>4075000</v>
      </c>
    </row>
    <row r="1487" spans="1:24" s="8" customFormat="1" ht="41.5" customHeight="1">
      <c r="A1487" s="8" t="s">
        <v>2316</v>
      </c>
      <c r="B1487" s="8" t="s">
        <v>3007</v>
      </c>
      <c r="C1487" s="9">
        <v>45668.707321724498</v>
      </c>
      <c r="D1487" s="8" t="s">
        <v>2056</v>
      </c>
      <c r="E1487" s="8" t="s">
        <v>2057</v>
      </c>
      <c r="F1487" s="8">
        <v>1</v>
      </c>
      <c r="G1487" s="22" t="s">
        <v>159</v>
      </c>
      <c r="H1487" s="8" t="s">
        <v>159</v>
      </c>
      <c r="I1487" s="2" t="str">
        <f t="shared" si="45"/>
        <v>Hộp Inox 304</v>
      </c>
      <c r="J1487" s="8" t="s">
        <v>62</v>
      </c>
      <c r="K1487" s="10">
        <v>352.7</v>
      </c>
      <c r="L1487" s="10">
        <v>60272.73</v>
      </c>
      <c r="M1487" s="11">
        <v>21258192</v>
      </c>
      <c r="N1487" s="8" t="s">
        <v>30</v>
      </c>
      <c r="O1487" s="8" t="s">
        <v>17</v>
      </c>
      <c r="P1487" s="8" t="s">
        <v>18</v>
      </c>
      <c r="Q1487" s="8" t="s">
        <v>18</v>
      </c>
      <c r="R1487" s="8" t="s">
        <v>2115</v>
      </c>
      <c r="S1487" s="8" t="s">
        <v>2137</v>
      </c>
      <c r="T1487" s="8" t="s">
        <v>2138</v>
      </c>
      <c r="U1487" s="8" t="s">
        <v>2724</v>
      </c>
      <c r="V1487" s="8" t="s">
        <v>1222</v>
      </c>
      <c r="W1487" s="8">
        <f t="shared" si="44"/>
        <v>1</v>
      </c>
      <c r="X1487" s="8">
        <f>K1487*L1487*N1487</f>
        <v>2125819.1871000002</v>
      </c>
    </row>
    <row r="1488" spans="1:24" s="8" customFormat="1" ht="41.5" customHeight="1">
      <c r="A1488" s="8" t="s">
        <v>2316</v>
      </c>
      <c r="B1488" s="8" t="s">
        <v>3007</v>
      </c>
      <c r="C1488" s="9">
        <v>45668.707321724498</v>
      </c>
      <c r="D1488" s="8" t="s">
        <v>2056</v>
      </c>
      <c r="E1488" s="8" t="s">
        <v>2057</v>
      </c>
      <c r="F1488" s="8">
        <v>2</v>
      </c>
      <c r="G1488" s="27" t="s">
        <v>2140</v>
      </c>
      <c r="H1488" s="8" t="s">
        <v>110</v>
      </c>
      <c r="I1488" s="2" t="str">
        <f t="shared" si="45"/>
        <v>Thép ống hộp</v>
      </c>
      <c r="J1488" s="8" t="s">
        <v>62</v>
      </c>
      <c r="K1488" s="10">
        <v>764.35</v>
      </c>
      <c r="L1488" s="10">
        <v>17363.64</v>
      </c>
      <c r="M1488" s="11">
        <v>13271898</v>
      </c>
      <c r="N1488" s="8" t="s">
        <v>30</v>
      </c>
      <c r="O1488" s="8" t="s">
        <v>17</v>
      </c>
      <c r="P1488" s="8" t="s">
        <v>18</v>
      </c>
      <c r="Q1488" s="8" t="s">
        <v>18</v>
      </c>
      <c r="R1488" s="8" t="s">
        <v>2115</v>
      </c>
      <c r="S1488" s="8" t="s">
        <v>2137</v>
      </c>
      <c r="T1488" s="8" t="s">
        <v>2138</v>
      </c>
      <c r="U1488" s="8" t="s">
        <v>2724</v>
      </c>
      <c r="V1488" s="8" t="s">
        <v>1222</v>
      </c>
      <c r="W1488" s="8">
        <f t="shared" si="44"/>
        <v>1</v>
      </c>
      <c r="X1488" s="8">
        <f>K1488*L1488*N1488</f>
        <v>1327189.8234000001</v>
      </c>
    </row>
    <row r="1489" spans="1:24" s="8" customFormat="1" ht="41.5" customHeight="1">
      <c r="A1489" s="8" t="s">
        <v>2316</v>
      </c>
      <c r="B1489" s="8" t="s">
        <v>3008</v>
      </c>
      <c r="C1489" s="9">
        <v>45664.725516678198</v>
      </c>
      <c r="D1489" s="8" t="s">
        <v>2056</v>
      </c>
      <c r="E1489" s="8" t="s">
        <v>2057</v>
      </c>
      <c r="F1489" s="8">
        <v>1</v>
      </c>
      <c r="G1489" s="22" t="s">
        <v>1346</v>
      </c>
      <c r="H1489" s="8" t="s">
        <v>70</v>
      </c>
      <c r="I1489" s="2" t="str">
        <f t="shared" si="45"/>
        <v>Tôn xốp</v>
      </c>
      <c r="J1489" s="8" t="s">
        <v>71</v>
      </c>
      <c r="K1489" s="10">
        <v>125.3</v>
      </c>
      <c r="L1489" s="10">
        <v>135000</v>
      </c>
      <c r="M1489" s="11">
        <v>16915500</v>
      </c>
      <c r="N1489" s="8" t="s">
        <v>30</v>
      </c>
      <c r="O1489" s="8" t="s">
        <v>17</v>
      </c>
      <c r="P1489" s="8" t="s">
        <v>18</v>
      </c>
      <c r="Q1489" s="8" t="s">
        <v>18</v>
      </c>
      <c r="R1489" s="8" t="s">
        <v>2115</v>
      </c>
      <c r="S1489" s="8" t="s">
        <v>2137</v>
      </c>
      <c r="T1489" s="8" t="s">
        <v>2138</v>
      </c>
      <c r="U1489" s="8" t="s">
        <v>2724</v>
      </c>
      <c r="V1489" s="8" t="s">
        <v>1223</v>
      </c>
      <c r="W1489" s="8">
        <f t="shared" si="44"/>
        <v>1</v>
      </c>
      <c r="X1489" s="8">
        <f>K1489*L1489*N1489</f>
        <v>1691550</v>
      </c>
    </row>
    <row r="1490" spans="1:24" s="8" customFormat="1" ht="41.5" customHeight="1">
      <c r="A1490" s="8" t="s">
        <v>2316</v>
      </c>
      <c r="B1490" s="8" t="s">
        <v>3008</v>
      </c>
      <c r="C1490" s="9">
        <v>45664.725516678198</v>
      </c>
      <c r="D1490" s="8" t="s">
        <v>2056</v>
      </c>
      <c r="E1490" s="8" t="s">
        <v>2057</v>
      </c>
      <c r="F1490" s="8">
        <v>2</v>
      </c>
      <c r="G1490" s="27" t="s">
        <v>2140</v>
      </c>
      <c r="H1490" s="8" t="s">
        <v>64</v>
      </c>
      <c r="I1490" s="2" t="str">
        <f t="shared" si="45"/>
        <v>Thép ống hộp</v>
      </c>
      <c r="J1490" s="8" t="s">
        <v>62</v>
      </c>
      <c r="K1490" s="10">
        <v>193.3</v>
      </c>
      <c r="L1490" s="10">
        <v>17363.64</v>
      </c>
      <c r="M1490" s="11">
        <v>3356392</v>
      </c>
      <c r="N1490" s="8" t="s">
        <v>30</v>
      </c>
      <c r="O1490" s="8" t="s">
        <v>17</v>
      </c>
      <c r="P1490" s="8" t="s">
        <v>18</v>
      </c>
      <c r="Q1490" s="8" t="s">
        <v>18</v>
      </c>
      <c r="R1490" s="8" t="s">
        <v>2115</v>
      </c>
      <c r="S1490" s="8" t="s">
        <v>2137</v>
      </c>
      <c r="T1490" s="8" t="s">
        <v>2138</v>
      </c>
      <c r="U1490" s="8" t="s">
        <v>2724</v>
      </c>
      <c r="V1490" s="8" t="s">
        <v>1223</v>
      </c>
      <c r="W1490" s="8">
        <f t="shared" si="44"/>
        <v>1</v>
      </c>
      <c r="X1490" s="8">
        <f>K1490*L1490*N1490</f>
        <v>335639.16120000003</v>
      </c>
    </row>
    <row r="1491" spans="1:24" s="8" customFormat="1" ht="41.5" customHeight="1">
      <c r="A1491" s="8" t="s">
        <v>2316</v>
      </c>
      <c r="B1491" s="8" t="s">
        <v>3008</v>
      </c>
      <c r="C1491" s="9">
        <v>45664.725516678198</v>
      </c>
      <c r="D1491" s="8" t="s">
        <v>2056</v>
      </c>
      <c r="E1491" s="8" t="s">
        <v>2057</v>
      </c>
      <c r="F1491" s="8">
        <v>3</v>
      </c>
      <c r="G1491" s="27" t="s">
        <v>2140</v>
      </c>
      <c r="H1491" s="8" t="s">
        <v>110</v>
      </c>
      <c r="I1491" s="2" t="str">
        <f t="shared" si="45"/>
        <v>Thép ống hộp</v>
      </c>
      <c r="J1491" s="8" t="s">
        <v>62</v>
      </c>
      <c r="K1491" s="10">
        <v>254.65</v>
      </c>
      <c r="L1491" s="10">
        <v>17363.64</v>
      </c>
      <c r="M1491" s="11">
        <v>4421651</v>
      </c>
      <c r="N1491" s="8" t="s">
        <v>30</v>
      </c>
      <c r="O1491" s="8" t="s">
        <v>17</v>
      </c>
      <c r="P1491" s="8" t="s">
        <v>18</v>
      </c>
      <c r="Q1491" s="8" t="s">
        <v>18</v>
      </c>
      <c r="R1491" s="8" t="s">
        <v>2115</v>
      </c>
      <c r="S1491" s="8" t="s">
        <v>2137</v>
      </c>
      <c r="T1491" s="8" t="s">
        <v>2138</v>
      </c>
      <c r="U1491" s="8" t="s">
        <v>2724</v>
      </c>
      <c r="V1491" s="8" t="s">
        <v>1223</v>
      </c>
      <c r="W1491" s="8">
        <f t="shared" si="44"/>
        <v>1</v>
      </c>
      <c r="X1491" s="8">
        <f>K1491*L1491*N1491</f>
        <v>442165.09260000003</v>
      </c>
    </row>
    <row r="1492" spans="1:24" s="8" customFormat="1" ht="41.5" customHeight="1">
      <c r="A1492" s="8" t="s">
        <v>2316</v>
      </c>
      <c r="B1492" s="8" t="s">
        <v>2278</v>
      </c>
      <c r="C1492" s="9">
        <v>45677.7165712153</v>
      </c>
      <c r="D1492" s="8" t="s">
        <v>2056</v>
      </c>
      <c r="E1492" s="8" t="s">
        <v>2057</v>
      </c>
      <c r="F1492" s="8">
        <v>1</v>
      </c>
      <c r="G1492" s="22" t="s">
        <v>159</v>
      </c>
      <c r="H1492" s="8" t="s">
        <v>159</v>
      </c>
      <c r="I1492" s="2" t="str">
        <f t="shared" si="45"/>
        <v>Hộp Inox 304</v>
      </c>
      <c r="J1492" s="8" t="s">
        <v>62</v>
      </c>
      <c r="K1492" s="10">
        <v>295.95</v>
      </c>
      <c r="L1492" s="10">
        <v>60272.73</v>
      </c>
      <c r="M1492" s="11">
        <v>17837714</v>
      </c>
      <c r="N1492" s="8" t="s">
        <v>30</v>
      </c>
      <c r="O1492" s="8" t="s">
        <v>17</v>
      </c>
      <c r="P1492" s="8" t="s">
        <v>18</v>
      </c>
      <c r="Q1492" s="8" t="s">
        <v>18</v>
      </c>
      <c r="R1492" s="8" t="s">
        <v>2115</v>
      </c>
      <c r="S1492" s="8" t="s">
        <v>2137</v>
      </c>
      <c r="T1492" s="8" t="s">
        <v>2138</v>
      </c>
      <c r="U1492" s="8" t="s">
        <v>2724</v>
      </c>
      <c r="V1492" s="8" t="s">
        <v>1224</v>
      </c>
      <c r="W1492" s="8">
        <f t="shared" si="44"/>
        <v>1</v>
      </c>
      <c r="X1492" s="8">
        <f>K1492*L1492*N1492</f>
        <v>1783771.4443500002</v>
      </c>
    </row>
    <row r="1493" spans="1:24" s="8" customFormat="1" ht="41.5" customHeight="1">
      <c r="A1493" s="8" t="s">
        <v>2316</v>
      </c>
      <c r="B1493" s="8" t="s">
        <v>2278</v>
      </c>
      <c r="C1493" s="9">
        <v>45677.7165712153</v>
      </c>
      <c r="D1493" s="8" t="s">
        <v>2056</v>
      </c>
      <c r="E1493" s="8" t="s">
        <v>2057</v>
      </c>
      <c r="F1493" s="8">
        <v>2</v>
      </c>
      <c r="G1493" s="22" t="s">
        <v>1346</v>
      </c>
      <c r="H1493" s="8" t="s">
        <v>70</v>
      </c>
      <c r="I1493" s="2" t="str">
        <f t="shared" si="45"/>
        <v>Tôn xốp</v>
      </c>
      <c r="J1493" s="8" t="s">
        <v>71</v>
      </c>
      <c r="K1493" s="10">
        <v>867.3</v>
      </c>
      <c r="L1493" s="10">
        <v>125000</v>
      </c>
      <c r="M1493" s="11">
        <v>108412500</v>
      </c>
      <c r="N1493" s="8" t="s">
        <v>30</v>
      </c>
      <c r="O1493" s="8" t="s">
        <v>17</v>
      </c>
      <c r="P1493" s="8" t="s">
        <v>18</v>
      </c>
      <c r="Q1493" s="8" t="s">
        <v>18</v>
      </c>
      <c r="R1493" s="8" t="s">
        <v>2115</v>
      </c>
      <c r="S1493" s="8" t="s">
        <v>2137</v>
      </c>
      <c r="T1493" s="8" t="s">
        <v>2138</v>
      </c>
      <c r="U1493" s="8" t="s">
        <v>2724</v>
      </c>
      <c r="V1493" s="8" t="s">
        <v>1224</v>
      </c>
      <c r="W1493" s="8">
        <f t="shared" si="44"/>
        <v>1</v>
      </c>
      <c r="X1493" s="8">
        <f>K1493*L1493*N1493</f>
        <v>10841250</v>
      </c>
    </row>
    <row r="1494" spans="1:24" s="8" customFormat="1" ht="41.5" customHeight="1">
      <c r="A1494" s="8" t="s">
        <v>2316</v>
      </c>
      <c r="B1494" s="8" t="s">
        <v>2278</v>
      </c>
      <c r="C1494" s="9">
        <v>45677.7165712153</v>
      </c>
      <c r="D1494" s="8" t="s">
        <v>2056</v>
      </c>
      <c r="E1494" s="8" t="s">
        <v>2057</v>
      </c>
      <c r="F1494" s="8">
        <v>3</v>
      </c>
      <c r="G1494" s="27" t="s">
        <v>2140</v>
      </c>
      <c r="H1494" s="8" t="s">
        <v>1225</v>
      </c>
      <c r="I1494" s="2" t="str">
        <f t="shared" si="45"/>
        <v>Thép ống hộp</v>
      </c>
      <c r="J1494" s="8" t="s">
        <v>62</v>
      </c>
      <c r="K1494" s="10">
        <v>94.8</v>
      </c>
      <c r="L1494" s="10">
        <v>17363.64</v>
      </c>
      <c r="M1494" s="11">
        <v>1646073</v>
      </c>
      <c r="N1494" s="8" t="s">
        <v>30</v>
      </c>
      <c r="O1494" s="8" t="s">
        <v>17</v>
      </c>
      <c r="P1494" s="8" t="s">
        <v>18</v>
      </c>
      <c r="Q1494" s="8" t="s">
        <v>18</v>
      </c>
      <c r="R1494" s="8" t="s">
        <v>2115</v>
      </c>
      <c r="S1494" s="8" t="s">
        <v>2137</v>
      </c>
      <c r="T1494" s="8" t="s">
        <v>2138</v>
      </c>
      <c r="U1494" s="8" t="s">
        <v>2724</v>
      </c>
      <c r="V1494" s="8" t="s">
        <v>1224</v>
      </c>
      <c r="W1494" s="8">
        <f t="shared" si="44"/>
        <v>1</v>
      </c>
      <c r="X1494" s="8">
        <f>K1494*L1494*N1494</f>
        <v>164607.30720000001</v>
      </c>
    </row>
    <row r="1495" spans="1:24" s="8" customFormat="1" ht="41.5" customHeight="1">
      <c r="A1495" s="8" t="s">
        <v>2316</v>
      </c>
      <c r="B1495" s="8" t="s">
        <v>2278</v>
      </c>
      <c r="C1495" s="9">
        <v>45677.7165712153</v>
      </c>
      <c r="D1495" s="8" t="s">
        <v>2056</v>
      </c>
      <c r="E1495" s="8" t="s">
        <v>2057</v>
      </c>
      <c r="F1495" s="8">
        <v>4</v>
      </c>
      <c r="G1495" s="27" t="s">
        <v>2140</v>
      </c>
      <c r="H1495" s="8" t="s">
        <v>424</v>
      </c>
      <c r="I1495" s="2" t="str">
        <f t="shared" si="45"/>
        <v>Thép ống hộp</v>
      </c>
      <c r="J1495" s="8" t="s">
        <v>62</v>
      </c>
      <c r="K1495" s="10">
        <v>78.55</v>
      </c>
      <c r="L1495" s="10">
        <v>17363.64</v>
      </c>
      <c r="M1495" s="11">
        <v>1363914</v>
      </c>
      <c r="N1495" s="8" t="s">
        <v>30</v>
      </c>
      <c r="O1495" s="8" t="s">
        <v>17</v>
      </c>
      <c r="P1495" s="8" t="s">
        <v>18</v>
      </c>
      <c r="Q1495" s="8" t="s">
        <v>18</v>
      </c>
      <c r="R1495" s="8" t="s">
        <v>2115</v>
      </c>
      <c r="S1495" s="8" t="s">
        <v>2137</v>
      </c>
      <c r="T1495" s="8" t="s">
        <v>2138</v>
      </c>
      <c r="U1495" s="8" t="s">
        <v>2724</v>
      </c>
      <c r="V1495" s="8" t="s">
        <v>1224</v>
      </c>
      <c r="W1495" s="8">
        <f t="shared" si="44"/>
        <v>1</v>
      </c>
      <c r="X1495" s="8">
        <f>K1495*L1495*N1495</f>
        <v>136391.3922</v>
      </c>
    </row>
    <row r="1496" spans="1:24" s="8" customFormat="1" ht="41.5" customHeight="1">
      <c r="A1496" s="8" t="s">
        <v>2316</v>
      </c>
      <c r="B1496" s="8" t="s">
        <v>1226</v>
      </c>
      <c r="C1496" s="9">
        <v>45672.390999641197</v>
      </c>
      <c r="D1496" s="8" t="s">
        <v>2056</v>
      </c>
      <c r="E1496" s="8" t="s">
        <v>2057</v>
      </c>
      <c r="F1496" s="8">
        <v>1</v>
      </c>
      <c r="G1496" s="22" t="s">
        <v>1443</v>
      </c>
      <c r="H1496" s="8" t="s">
        <v>138</v>
      </c>
      <c r="I1496" s="2" t="str">
        <f t="shared" si="45"/>
        <v>Ván ép phủ phim 2 mặt Kt 2240x1200*18 mm</v>
      </c>
      <c r="J1496" s="8" t="s">
        <v>114</v>
      </c>
      <c r="K1496" s="10">
        <v>50</v>
      </c>
      <c r="L1496" s="10">
        <v>340000</v>
      </c>
      <c r="M1496" s="11">
        <v>17000000</v>
      </c>
      <c r="N1496" s="8" t="s">
        <v>16</v>
      </c>
      <c r="O1496" s="8" t="s">
        <v>17</v>
      </c>
      <c r="P1496" s="8" t="s">
        <v>18</v>
      </c>
      <c r="Q1496" s="8" t="s">
        <v>18</v>
      </c>
      <c r="R1496" s="8" t="s">
        <v>2115</v>
      </c>
      <c r="S1496" s="8" t="s">
        <v>2211</v>
      </c>
      <c r="T1496" s="8" t="s">
        <v>2212</v>
      </c>
      <c r="U1496" s="8" t="s">
        <v>2733</v>
      </c>
      <c r="V1496" s="8" t="s">
        <v>1227</v>
      </c>
      <c r="W1496" s="8">
        <f t="shared" si="44"/>
        <v>1</v>
      </c>
      <c r="X1496" s="8">
        <f>K1496*L1496*N1496</f>
        <v>1360000</v>
      </c>
    </row>
    <row r="1497" spans="1:24" s="8" customFormat="1" ht="41.5" customHeight="1">
      <c r="A1497" s="8" t="s">
        <v>2323</v>
      </c>
      <c r="B1497" s="8" t="s">
        <v>3009</v>
      </c>
      <c r="C1497" s="9">
        <v>45675.993515381902</v>
      </c>
      <c r="D1497" s="8" t="s">
        <v>2056</v>
      </c>
      <c r="E1497" s="8" t="s">
        <v>2057</v>
      </c>
      <c r="F1497" s="8">
        <v>1</v>
      </c>
      <c r="G1497" s="2">
        <v>642</v>
      </c>
      <c r="H1497" s="8" t="s">
        <v>202</v>
      </c>
      <c r="I1497" s="2">
        <f t="shared" si="45"/>
        <v>642</v>
      </c>
      <c r="J1497" s="8" t="s">
        <v>54</v>
      </c>
      <c r="K1497" s="10">
        <v>1</v>
      </c>
      <c r="L1497" s="10">
        <v>0</v>
      </c>
      <c r="M1497" s="11">
        <v>0</v>
      </c>
      <c r="N1497" s="8" t="s">
        <v>30</v>
      </c>
      <c r="O1497" s="8" t="s">
        <v>17</v>
      </c>
      <c r="P1497" s="8" t="s">
        <v>18</v>
      </c>
      <c r="Q1497" s="8" t="s">
        <v>18</v>
      </c>
      <c r="R1497" s="8" t="s">
        <v>2156</v>
      </c>
      <c r="S1497" s="8" t="s">
        <v>2157</v>
      </c>
      <c r="T1497" s="8" t="s">
        <v>2158</v>
      </c>
      <c r="U1497" s="8" t="s">
        <v>2962</v>
      </c>
      <c r="V1497" s="8" t="s">
        <v>1228</v>
      </c>
      <c r="W1497" s="8">
        <f t="shared" si="44"/>
        <v>1</v>
      </c>
      <c r="X1497" s="8">
        <f>K1497*L1497*N1497</f>
        <v>0</v>
      </c>
    </row>
    <row r="1498" spans="1:24" s="8" customFormat="1" ht="41.5" customHeight="1">
      <c r="A1498" s="8" t="s">
        <v>2982</v>
      </c>
      <c r="B1498" s="8" t="s">
        <v>3010</v>
      </c>
      <c r="C1498" s="9">
        <v>45664.339129513901</v>
      </c>
      <c r="D1498" s="8" t="s">
        <v>2062</v>
      </c>
      <c r="E1498" s="8" t="s">
        <v>2057</v>
      </c>
      <c r="F1498" s="8">
        <v>1</v>
      </c>
      <c r="G1498" s="2">
        <v>642</v>
      </c>
      <c r="H1498" s="8" t="s">
        <v>1229</v>
      </c>
      <c r="I1498" s="2">
        <f t="shared" si="45"/>
        <v>642</v>
      </c>
      <c r="J1498" s="8" t="s">
        <v>1197</v>
      </c>
      <c r="K1498" s="10">
        <v>1</v>
      </c>
      <c r="M1498" s="11">
        <v>309091</v>
      </c>
      <c r="N1498" s="8" t="s">
        <v>30</v>
      </c>
      <c r="O1498" s="8" t="s">
        <v>17</v>
      </c>
      <c r="P1498" s="8" t="s">
        <v>18</v>
      </c>
      <c r="Q1498" s="8" t="s">
        <v>18</v>
      </c>
      <c r="S1498" s="8" t="s">
        <v>2984</v>
      </c>
      <c r="T1498" s="8" t="s">
        <v>2985</v>
      </c>
      <c r="V1498" s="8" t="s">
        <v>1223</v>
      </c>
      <c r="W1498" s="8">
        <f t="shared" si="44"/>
        <v>1</v>
      </c>
      <c r="X1498" s="8">
        <f>K1498*L1498*N1498</f>
        <v>0</v>
      </c>
    </row>
    <row r="1499" spans="1:24" s="8" customFormat="1" ht="41.5" customHeight="1">
      <c r="A1499" s="8" t="s">
        <v>3011</v>
      </c>
      <c r="B1499" s="8" t="s">
        <v>3008</v>
      </c>
      <c r="C1499" s="9">
        <v>45673.676936053198</v>
      </c>
      <c r="D1499" s="8" t="s">
        <v>2056</v>
      </c>
      <c r="E1499" s="8" t="s">
        <v>2057</v>
      </c>
      <c r="F1499" s="8">
        <v>1</v>
      </c>
      <c r="G1499" s="2">
        <v>642</v>
      </c>
      <c r="H1499" s="8" t="s">
        <v>1230</v>
      </c>
      <c r="I1499" s="2">
        <f t="shared" si="45"/>
        <v>642</v>
      </c>
      <c r="J1499" s="8" t="s">
        <v>1231</v>
      </c>
      <c r="K1499" s="10">
        <v>1</v>
      </c>
      <c r="L1499" s="10">
        <v>437000</v>
      </c>
      <c r="M1499" s="11">
        <v>437000</v>
      </c>
      <c r="N1499" s="8" t="s">
        <v>30</v>
      </c>
      <c r="O1499" s="8" t="s">
        <v>17</v>
      </c>
      <c r="P1499" s="8" t="s">
        <v>18</v>
      </c>
      <c r="Q1499" s="8" t="s">
        <v>18</v>
      </c>
      <c r="R1499" s="8" t="s">
        <v>2118</v>
      </c>
      <c r="S1499" s="8" t="s">
        <v>3012</v>
      </c>
      <c r="T1499" s="8" t="s">
        <v>3013</v>
      </c>
      <c r="U1499" s="8" t="s">
        <v>3014</v>
      </c>
      <c r="V1499" s="8" t="s">
        <v>1232</v>
      </c>
      <c r="W1499" s="8">
        <f t="shared" si="44"/>
        <v>1</v>
      </c>
      <c r="X1499" s="8">
        <f>K1499*L1499*N1499</f>
        <v>43700</v>
      </c>
    </row>
    <row r="1500" spans="1:24" s="8" customFormat="1" ht="41.5" customHeight="1">
      <c r="A1500" s="8" t="s">
        <v>3015</v>
      </c>
      <c r="B1500" s="8" t="s">
        <v>3016</v>
      </c>
      <c r="C1500" s="9">
        <v>45679.399451863399</v>
      </c>
      <c r="D1500" s="8" t="s">
        <v>2056</v>
      </c>
      <c r="E1500" s="8" t="s">
        <v>2057</v>
      </c>
      <c r="F1500" s="8">
        <v>1</v>
      </c>
      <c r="G1500" s="2">
        <v>642</v>
      </c>
      <c r="H1500" s="8" t="s">
        <v>1233</v>
      </c>
      <c r="I1500" s="2">
        <f t="shared" si="45"/>
        <v>642</v>
      </c>
      <c r="J1500" s="8" t="s">
        <v>1234</v>
      </c>
      <c r="K1500" s="10">
        <v>1</v>
      </c>
      <c r="L1500" s="10">
        <v>2700000</v>
      </c>
      <c r="M1500" s="11">
        <v>2700000</v>
      </c>
      <c r="N1500" s="8" t="s">
        <v>602</v>
      </c>
      <c r="O1500" s="8" t="s">
        <v>17</v>
      </c>
      <c r="P1500" s="8" t="s">
        <v>18</v>
      </c>
      <c r="Q1500" s="8" t="s">
        <v>18</v>
      </c>
      <c r="R1500" s="8" t="s">
        <v>2115</v>
      </c>
      <c r="S1500" s="8" t="s">
        <v>2115</v>
      </c>
      <c r="T1500" s="8" t="s">
        <v>3017</v>
      </c>
      <c r="U1500" s="8" t="s">
        <v>3018</v>
      </c>
      <c r="V1500" s="8" t="s">
        <v>1220</v>
      </c>
      <c r="W1500" s="8">
        <f t="shared" si="44"/>
        <v>1</v>
      </c>
      <c r="X1500" s="8">
        <v>0</v>
      </c>
    </row>
    <row r="1501" spans="1:24" s="8" customFormat="1" ht="41.5" customHeight="1">
      <c r="A1501" s="8" t="s">
        <v>2336</v>
      </c>
      <c r="B1501" s="8" t="s">
        <v>3019</v>
      </c>
      <c r="C1501" s="9">
        <v>45707.717015995397</v>
      </c>
      <c r="D1501" s="8" t="s">
        <v>2062</v>
      </c>
      <c r="E1501" s="8" t="s">
        <v>2057</v>
      </c>
      <c r="F1501" s="8">
        <v>1</v>
      </c>
      <c r="G1501" s="2">
        <v>635</v>
      </c>
      <c r="H1501" s="8" t="s">
        <v>143</v>
      </c>
      <c r="I1501" s="2">
        <f t="shared" si="45"/>
        <v>635</v>
      </c>
      <c r="M1501" s="11">
        <v>44695</v>
      </c>
      <c r="N1501" s="8" t="s">
        <v>30</v>
      </c>
      <c r="O1501" s="8" t="s">
        <v>17</v>
      </c>
      <c r="P1501" s="8" t="s">
        <v>18</v>
      </c>
      <c r="Q1501" s="8" t="s">
        <v>18</v>
      </c>
      <c r="S1501" s="8" t="s">
        <v>2216</v>
      </c>
      <c r="T1501" s="8" t="s">
        <v>2217</v>
      </c>
      <c r="V1501" s="8" t="s">
        <v>1235</v>
      </c>
      <c r="W1501" s="8">
        <f>ROUNDUP(MONTH(V1501)/3,0)</f>
        <v>1</v>
      </c>
      <c r="X1501" s="8">
        <f>K1501*L1501*N1501</f>
        <v>0</v>
      </c>
    </row>
    <row r="1502" spans="1:24" s="8" customFormat="1" ht="41.5" customHeight="1">
      <c r="A1502" s="8" t="s">
        <v>2336</v>
      </c>
      <c r="B1502" s="8" t="s">
        <v>3020</v>
      </c>
      <c r="C1502" s="9">
        <v>45707.7170159491</v>
      </c>
      <c r="D1502" s="8" t="s">
        <v>2062</v>
      </c>
      <c r="E1502" s="8" t="s">
        <v>2057</v>
      </c>
      <c r="F1502" s="8">
        <v>1</v>
      </c>
      <c r="G1502" s="2">
        <v>635</v>
      </c>
      <c r="H1502" s="8" t="s">
        <v>1236</v>
      </c>
      <c r="I1502" s="2">
        <f t="shared" si="45"/>
        <v>635</v>
      </c>
      <c r="M1502" s="11">
        <v>20000</v>
      </c>
      <c r="N1502" s="8" t="s">
        <v>30</v>
      </c>
      <c r="O1502" s="8" t="s">
        <v>17</v>
      </c>
      <c r="P1502" s="8" t="s">
        <v>18</v>
      </c>
      <c r="Q1502" s="8" t="s">
        <v>18</v>
      </c>
      <c r="S1502" s="8" t="s">
        <v>2216</v>
      </c>
      <c r="T1502" s="8" t="s">
        <v>2217</v>
      </c>
      <c r="V1502" s="8" t="s">
        <v>1235</v>
      </c>
      <c r="W1502" s="8">
        <f>ROUNDUP(MONTH(V1502)/3,0)</f>
        <v>1</v>
      </c>
      <c r="X1502" s="8">
        <f>K1502*L1502*N1502</f>
        <v>0</v>
      </c>
    </row>
    <row r="1503" spans="1:24" s="8" customFormat="1" ht="41.5" customHeight="1">
      <c r="A1503" s="8" t="s">
        <v>2336</v>
      </c>
      <c r="B1503" s="8" t="s">
        <v>3021</v>
      </c>
      <c r="C1503" s="9">
        <v>45707.717015937502</v>
      </c>
      <c r="D1503" s="8" t="s">
        <v>2062</v>
      </c>
      <c r="E1503" s="8" t="s">
        <v>2057</v>
      </c>
      <c r="F1503" s="8">
        <v>1</v>
      </c>
      <c r="G1503" s="2">
        <v>635</v>
      </c>
      <c r="H1503" s="8" t="s">
        <v>143</v>
      </c>
      <c r="I1503" s="2">
        <f t="shared" si="45"/>
        <v>635</v>
      </c>
      <c r="M1503" s="11">
        <v>45000</v>
      </c>
      <c r="N1503" s="8" t="s">
        <v>30</v>
      </c>
      <c r="O1503" s="8" t="s">
        <v>17</v>
      </c>
      <c r="P1503" s="8" t="s">
        <v>18</v>
      </c>
      <c r="Q1503" s="8" t="s">
        <v>18</v>
      </c>
      <c r="S1503" s="8" t="s">
        <v>2216</v>
      </c>
      <c r="T1503" s="8" t="s">
        <v>2217</v>
      </c>
      <c r="V1503" s="8" t="s">
        <v>1235</v>
      </c>
      <c r="W1503" s="8">
        <f>ROUNDUP(MONTH(V1503)/3,0)</f>
        <v>1</v>
      </c>
      <c r="X1503" s="8">
        <f>K1503*L1503*N1503</f>
        <v>0</v>
      </c>
    </row>
    <row r="1504" spans="1:24" s="8" customFormat="1" ht="41.5" customHeight="1">
      <c r="A1504" s="8" t="s">
        <v>2336</v>
      </c>
      <c r="B1504" s="8" t="s">
        <v>3022</v>
      </c>
      <c r="C1504" s="9">
        <v>45707.717015891198</v>
      </c>
      <c r="D1504" s="8" t="s">
        <v>2062</v>
      </c>
      <c r="E1504" s="8" t="s">
        <v>2057</v>
      </c>
      <c r="F1504" s="8">
        <v>1</v>
      </c>
      <c r="G1504" s="2">
        <v>635</v>
      </c>
      <c r="H1504" s="8" t="s">
        <v>1054</v>
      </c>
      <c r="I1504" s="2">
        <f t="shared" si="45"/>
        <v>635</v>
      </c>
      <c r="M1504" s="11">
        <v>10000</v>
      </c>
      <c r="N1504" s="8" t="s">
        <v>30</v>
      </c>
      <c r="O1504" s="8" t="s">
        <v>17</v>
      </c>
      <c r="P1504" s="8" t="s">
        <v>18</v>
      </c>
      <c r="Q1504" s="8" t="s">
        <v>18</v>
      </c>
      <c r="S1504" s="8" t="s">
        <v>2216</v>
      </c>
      <c r="T1504" s="8" t="s">
        <v>2217</v>
      </c>
      <c r="V1504" s="8" t="s">
        <v>1235</v>
      </c>
      <c r="W1504" s="8">
        <f>ROUNDUP(MONTH(V1504)/3,0)</f>
        <v>1</v>
      </c>
      <c r="X1504" s="8">
        <f>K1504*L1504*N1504</f>
        <v>0</v>
      </c>
    </row>
    <row r="1505" spans="1:24" s="8" customFormat="1" ht="41.5" customHeight="1">
      <c r="A1505" s="8" t="s">
        <v>2336</v>
      </c>
      <c r="B1505" s="8" t="s">
        <v>3023</v>
      </c>
      <c r="C1505" s="9">
        <v>45707.717015856499</v>
      </c>
      <c r="D1505" s="8" t="s">
        <v>2062</v>
      </c>
      <c r="E1505" s="8" t="s">
        <v>2057</v>
      </c>
      <c r="F1505" s="8">
        <v>1</v>
      </c>
      <c r="G1505" s="2">
        <v>635</v>
      </c>
      <c r="H1505" s="8" t="s">
        <v>117</v>
      </c>
      <c r="I1505" s="2">
        <f t="shared" si="45"/>
        <v>635</v>
      </c>
      <c r="M1505" s="11">
        <v>50000</v>
      </c>
      <c r="N1505" s="8" t="s">
        <v>30</v>
      </c>
      <c r="O1505" s="8" t="s">
        <v>17</v>
      </c>
      <c r="P1505" s="8" t="s">
        <v>18</v>
      </c>
      <c r="Q1505" s="8" t="s">
        <v>18</v>
      </c>
      <c r="S1505" s="8" t="s">
        <v>2216</v>
      </c>
      <c r="T1505" s="8" t="s">
        <v>2217</v>
      </c>
      <c r="V1505" s="8" t="s">
        <v>1235</v>
      </c>
      <c r="W1505" s="8">
        <f>ROUNDUP(MONTH(V1505)/3,0)</f>
        <v>1</v>
      </c>
      <c r="X1505" s="8">
        <f>K1505*L1505*N1505</f>
        <v>0</v>
      </c>
    </row>
    <row r="1506" spans="1:24" s="8" customFormat="1" ht="41.5" customHeight="1">
      <c r="A1506" s="8" t="s">
        <v>2336</v>
      </c>
      <c r="B1506" s="8" t="s">
        <v>3024</v>
      </c>
      <c r="C1506" s="9">
        <v>45706.585715486101</v>
      </c>
      <c r="D1506" s="8" t="s">
        <v>2062</v>
      </c>
      <c r="E1506" s="8" t="s">
        <v>2057</v>
      </c>
      <c r="F1506" s="8">
        <v>1</v>
      </c>
      <c r="G1506" s="2">
        <v>635</v>
      </c>
      <c r="H1506" s="8" t="s">
        <v>143</v>
      </c>
      <c r="I1506" s="2">
        <f t="shared" si="45"/>
        <v>635</v>
      </c>
      <c r="M1506" s="11">
        <v>20000</v>
      </c>
      <c r="N1506" s="8" t="s">
        <v>30</v>
      </c>
      <c r="O1506" s="8" t="s">
        <v>17</v>
      </c>
      <c r="P1506" s="8" t="s">
        <v>18</v>
      </c>
      <c r="Q1506" s="8" t="s">
        <v>18</v>
      </c>
      <c r="S1506" s="8" t="s">
        <v>2216</v>
      </c>
      <c r="T1506" s="8" t="s">
        <v>2217</v>
      </c>
      <c r="V1506" s="8" t="s">
        <v>1237</v>
      </c>
      <c r="W1506" s="8">
        <f>ROUNDUP(MONTH(V1506)/3,0)</f>
        <v>1</v>
      </c>
      <c r="X1506" s="8">
        <f>K1506*L1506*N1506</f>
        <v>0</v>
      </c>
    </row>
    <row r="1507" spans="1:24" s="8" customFormat="1" ht="41.5" customHeight="1">
      <c r="A1507" s="8" t="s">
        <v>2336</v>
      </c>
      <c r="B1507" s="8" t="s">
        <v>3025</v>
      </c>
      <c r="C1507" s="9">
        <v>45706.585715428198</v>
      </c>
      <c r="D1507" s="8" t="s">
        <v>2062</v>
      </c>
      <c r="E1507" s="8" t="s">
        <v>2057</v>
      </c>
      <c r="F1507" s="8">
        <v>1</v>
      </c>
      <c r="G1507" s="2">
        <v>635</v>
      </c>
      <c r="H1507" s="8" t="s">
        <v>143</v>
      </c>
      <c r="I1507" s="2">
        <f t="shared" si="45"/>
        <v>635</v>
      </c>
      <c r="M1507" s="11">
        <v>42660</v>
      </c>
      <c r="N1507" s="8" t="s">
        <v>30</v>
      </c>
      <c r="O1507" s="8" t="s">
        <v>17</v>
      </c>
      <c r="P1507" s="8" t="s">
        <v>18</v>
      </c>
      <c r="Q1507" s="8" t="s">
        <v>18</v>
      </c>
      <c r="S1507" s="8" t="s">
        <v>2216</v>
      </c>
      <c r="T1507" s="8" t="s">
        <v>2217</v>
      </c>
      <c r="V1507" s="8" t="s">
        <v>1237</v>
      </c>
      <c r="W1507" s="8">
        <f>ROUNDUP(MONTH(V1507)/3,0)</f>
        <v>1</v>
      </c>
      <c r="X1507" s="8">
        <f>K1507*L1507*N1507</f>
        <v>0</v>
      </c>
    </row>
    <row r="1508" spans="1:24" s="8" customFormat="1" ht="41.5" customHeight="1">
      <c r="A1508" s="8" t="s">
        <v>2336</v>
      </c>
      <c r="B1508" s="8" t="s">
        <v>3026</v>
      </c>
      <c r="C1508" s="9">
        <v>45706.586266134298</v>
      </c>
      <c r="D1508" s="8" t="s">
        <v>2062</v>
      </c>
      <c r="E1508" s="8" t="s">
        <v>2057</v>
      </c>
      <c r="F1508" s="8">
        <v>1</v>
      </c>
      <c r="G1508" s="2">
        <v>635</v>
      </c>
      <c r="H1508" s="8" t="s">
        <v>1199</v>
      </c>
      <c r="I1508" s="2">
        <f t="shared" si="45"/>
        <v>635</v>
      </c>
      <c r="M1508" s="11">
        <v>20000</v>
      </c>
      <c r="N1508" s="8" t="s">
        <v>30</v>
      </c>
      <c r="O1508" s="8" t="s">
        <v>17</v>
      </c>
      <c r="P1508" s="8" t="s">
        <v>18</v>
      </c>
      <c r="Q1508" s="8" t="s">
        <v>18</v>
      </c>
      <c r="S1508" s="8" t="s">
        <v>2216</v>
      </c>
      <c r="T1508" s="8" t="s">
        <v>2217</v>
      </c>
      <c r="V1508" s="8" t="s">
        <v>1237</v>
      </c>
      <c r="W1508" s="8">
        <f>ROUNDUP(MONTH(V1508)/3,0)</f>
        <v>1</v>
      </c>
      <c r="X1508" s="8">
        <f>K1508*L1508*N1508</f>
        <v>0</v>
      </c>
    </row>
    <row r="1509" spans="1:24" s="8" customFormat="1" ht="41.5" customHeight="1">
      <c r="A1509" s="8" t="s">
        <v>2339</v>
      </c>
      <c r="B1509" s="8" t="s">
        <v>3027</v>
      </c>
      <c r="C1509" s="9">
        <v>45704.219761921297</v>
      </c>
      <c r="D1509" s="8" t="s">
        <v>2218</v>
      </c>
      <c r="E1509" s="8" t="s">
        <v>2057</v>
      </c>
      <c r="F1509" s="8">
        <v>1</v>
      </c>
      <c r="G1509" s="2">
        <v>635</v>
      </c>
      <c r="H1509" s="8" t="s">
        <v>118</v>
      </c>
      <c r="I1509" s="2">
        <f t="shared" si="45"/>
        <v>635</v>
      </c>
      <c r="M1509" s="11">
        <v>50000</v>
      </c>
      <c r="N1509" s="8" t="s">
        <v>30</v>
      </c>
      <c r="O1509" s="8" t="s">
        <v>17</v>
      </c>
      <c r="P1509" s="8" t="s">
        <v>18</v>
      </c>
      <c r="Q1509" s="8" t="s">
        <v>18</v>
      </c>
      <c r="S1509" s="8" t="s">
        <v>2340</v>
      </c>
      <c r="T1509" s="8" t="s">
        <v>2341</v>
      </c>
      <c r="V1509" s="8" t="s">
        <v>1238</v>
      </c>
      <c r="W1509" s="8">
        <f>ROUNDUP(MONTH(V1509)/3,0)</f>
        <v>1</v>
      </c>
      <c r="X1509" s="8">
        <f>K1509*L1509*N1509</f>
        <v>0</v>
      </c>
    </row>
    <row r="1510" spans="1:24" s="8" customFormat="1" ht="41.5" customHeight="1">
      <c r="A1510" s="8" t="s">
        <v>2339</v>
      </c>
      <c r="B1510" s="8" t="s">
        <v>3028</v>
      </c>
      <c r="C1510" s="9">
        <v>45704.170430821803</v>
      </c>
      <c r="D1510" s="8" t="s">
        <v>2218</v>
      </c>
      <c r="E1510" s="8" t="s">
        <v>2057</v>
      </c>
      <c r="F1510" s="8">
        <v>1</v>
      </c>
      <c r="G1510" s="2">
        <v>635</v>
      </c>
      <c r="H1510" s="8" t="s">
        <v>118</v>
      </c>
      <c r="I1510" s="2">
        <f t="shared" si="45"/>
        <v>635</v>
      </c>
      <c r="M1510" s="11">
        <v>30200</v>
      </c>
      <c r="N1510" s="8" t="s">
        <v>30</v>
      </c>
      <c r="O1510" s="8" t="s">
        <v>17</v>
      </c>
      <c r="P1510" s="8" t="s">
        <v>18</v>
      </c>
      <c r="Q1510" s="8" t="s">
        <v>18</v>
      </c>
      <c r="S1510" s="8" t="s">
        <v>2219</v>
      </c>
      <c r="T1510" s="8" t="s">
        <v>2220</v>
      </c>
      <c r="V1510" s="8" t="s">
        <v>1238</v>
      </c>
      <c r="W1510" s="8">
        <f>ROUNDUP(MONTH(V1510)/3,0)</f>
        <v>1</v>
      </c>
      <c r="X1510" s="8">
        <f>K1510*L1510*N1510</f>
        <v>0</v>
      </c>
    </row>
    <row r="1511" spans="1:24" s="8" customFormat="1" ht="41.5" customHeight="1">
      <c r="A1511" s="8" t="s">
        <v>3029</v>
      </c>
      <c r="B1511" s="8" t="s">
        <v>3030</v>
      </c>
      <c r="C1511" s="9">
        <v>45675.835732858803</v>
      </c>
      <c r="D1511" s="8" t="s">
        <v>2062</v>
      </c>
      <c r="E1511" s="8" t="s">
        <v>2057</v>
      </c>
      <c r="F1511" s="8">
        <v>1</v>
      </c>
      <c r="G1511" s="2">
        <v>635</v>
      </c>
      <c r="H1511" s="8" t="s">
        <v>143</v>
      </c>
      <c r="I1511" s="2">
        <f t="shared" ref="I1511:I1525" si="46">G1511</f>
        <v>635</v>
      </c>
      <c r="M1511" s="11">
        <v>61865</v>
      </c>
      <c r="N1511" s="8" t="s">
        <v>30</v>
      </c>
      <c r="O1511" s="8" t="s">
        <v>17</v>
      </c>
      <c r="P1511" s="8" t="s">
        <v>18</v>
      </c>
      <c r="Q1511" s="8" t="s">
        <v>18</v>
      </c>
      <c r="S1511" s="8" t="s">
        <v>2216</v>
      </c>
      <c r="T1511" s="8" t="s">
        <v>2217</v>
      </c>
      <c r="V1511" s="8" t="s">
        <v>1228</v>
      </c>
      <c r="W1511" s="8">
        <f>ROUNDUP(MONTH(V1511)/3,0)</f>
        <v>1</v>
      </c>
      <c r="X1511" s="8">
        <f>K1511*L1511*N1511</f>
        <v>0</v>
      </c>
    </row>
    <row r="1512" spans="1:24" s="8" customFormat="1" ht="41.5" customHeight="1">
      <c r="A1512" s="8" t="s">
        <v>3029</v>
      </c>
      <c r="B1512" s="8" t="s">
        <v>3031</v>
      </c>
      <c r="C1512" s="9">
        <v>45675.835615393502</v>
      </c>
      <c r="D1512" s="8" t="s">
        <v>2062</v>
      </c>
      <c r="E1512" s="8" t="s">
        <v>2057</v>
      </c>
      <c r="F1512" s="8">
        <v>1</v>
      </c>
      <c r="G1512" s="2">
        <v>635</v>
      </c>
      <c r="H1512" s="8" t="s">
        <v>1199</v>
      </c>
      <c r="I1512" s="2">
        <f t="shared" si="46"/>
        <v>635</v>
      </c>
      <c r="M1512" s="11">
        <v>20000</v>
      </c>
      <c r="N1512" s="8" t="s">
        <v>30</v>
      </c>
      <c r="O1512" s="8" t="s">
        <v>17</v>
      </c>
      <c r="P1512" s="8" t="s">
        <v>18</v>
      </c>
      <c r="Q1512" s="8" t="s">
        <v>18</v>
      </c>
      <c r="S1512" s="8" t="s">
        <v>2216</v>
      </c>
      <c r="T1512" s="8" t="s">
        <v>2217</v>
      </c>
      <c r="V1512" s="8" t="s">
        <v>1228</v>
      </c>
      <c r="W1512" s="8">
        <f>ROUNDUP(MONTH(V1512)/3,0)</f>
        <v>1</v>
      </c>
      <c r="X1512" s="8">
        <f>K1512*L1512*N1512</f>
        <v>0</v>
      </c>
    </row>
    <row r="1513" spans="1:24" s="8" customFormat="1" ht="41.5" customHeight="1">
      <c r="A1513" s="8" t="s">
        <v>3029</v>
      </c>
      <c r="B1513" s="8" t="s">
        <v>3032</v>
      </c>
      <c r="C1513" s="9">
        <v>45675.835004131899</v>
      </c>
      <c r="D1513" s="8" t="s">
        <v>2062</v>
      </c>
      <c r="E1513" s="8" t="s">
        <v>2057</v>
      </c>
      <c r="F1513" s="8">
        <v>1</v>
      </c>
      <c r="G1513" s="2">
        <v>635</v>
      </c>
      <c r="H1513" s="8" t="s">
        <v>143</v>
      </c>
      <c r="I1513" s="2">
        <f t="shared" si="46"/>
        <v>635</v>
      </c>
      <c r="M1513" s="11">
        <v>30000</v>
      </c>
      <c r="N1513" s="8" t="s">
        <v>30</v>
      </c>
      <c r="O1513" s="8" t="s">
        <v>17</v>
      </c>
      <c r="P1513" s="8" t="s">
        <v>18</v>
      </c>
      <c r="Q1513" s="8" t="s">
        <v>18</v>
      </c>
      <c r="S1513" s="8" t="s">
        <v>2216</v>
      </c>
      <c r="T1513" s="8" t="s">
        <v>2217</v>
      </c>
      <c r="V1513" s="8" t="s">
        <v>1228</v>
      </c>
      <c r="W1513" s="8">
        <f>ROUNDUP(MONTH(V1513)/3,0)</f>
        <v>1</v>
      </c>
      <c r="X1513" s="8">
        <f>K1513*L1513*N1513</f>
        <v>0</v>
      </c>
    </row>
    <row r="1514" spans="1:24" s="8" customFormat="1" ht="41.5" customHeight="1">
      <c r="A1514" s="8" t="s">
        <v>3029</v>
      </c>
      <c r="B1514" s="8" t="s">
        <v>3033</v>
      </c>
      <c r="C1514" s="9">
        <v>45675.835004131899</v>
      </c>
      <c r="D1514" s="8" t="s">
        <v>2062</v>
      </c>
      <c r="E1514" s="8" t="s">
        <v>2057</v>
      </c>
      <c r="F1514" s="8">
        <v>1</v>
      </c>
      <c r="G1514" s="2">
        <v>635</v>
      </c>
      <c r="H1514" s="8" t="s">
        <v>143</v>
      </c>
      <c r="I1514" s="2">
        <f t="shared" si="46"/>
        <v>635</v>
      </c>
      <c r="M1514" s="11">
        <v>57932</v>
      </c>
      <c r="N1514" s="8" t="s">
        <v>30</v>
      </c>
      <c r="O1514" s="8" t="s">
        <v>17</v>
      </c>
      <c r="P1514" s="8" t="s">
        <v>18</v>
      </c>
      <c r="Q1514" s="8" t="s">
        <v>18</v>
      </c>
      <c r="S1514" s="8" t="s">
        <v>2216</v>
      </c>
      <c r="T1514" s="8" t="s">
        <v>2217</v>
      </c>
      <c r="V1514" s="8" t="s">
        <v>1228</v>
      </c>
      <c r="W1514" s="8">
        <f>ROUNDUP(MONTH(V1514)/3,0)</f>
        <v>1</v>
      </c>
      <c r="X1514" s="8">
        <f>K1514*L1514*N1514</f>
        <v>0</v>
      </c>
    </row>
    <row r="1515" spans="1:24" s="8" customFormat="1" ht="41.5" customHeight="1">
      <c r="A1515" s="8" t="s">
        <v>3029</v>
      </c>
      <c r="B1515" s="8" t="s">
        <v>3034</v>
      </c>
      <c r="C1515" s="9">
        <v>45675.834943194401</v>
      </c>
      <c r="D1515" s="8" t="s">
        <v>2062</v>
      </c>
      <c r="E1515" s="8" t="s">
        <v>2057</v>
      </c>
      <c r="F1515" s="8">
        <v>1</v>
      </c>
      <c r="G1515" s="2">
        <v>635</v>
      </c>
      <c r="H1515" s="8" t="s">
        <v>1239</v>
      </c>
      <c r="I1515" s="2">
        <f t="shared" si="46"/>
        <v>635</v>
      </c>
      <c r="M1515" s="11">
        <v>500000</v>
      </c>
      <c r="N1515" s="8" t="s">
        <v>30</v>
      </c>
      <c r="O1515" s="8" t="s">
        <v>17</v>
      </c>
      <c r="P1515" s="8" t="s">
        <v>18</v>
      </c>
      <c r="Q1515" s="8" t="s">
        <v>18</v>
      </c>
      <c r="S1515" s="8" t="s">
        <v>2216</v>
      </c>
      <c r="T1515" s="8" t="s">
        <v>2217</v>
      </c>
      <c r="V1515" s="8" t="s">
        <v>1228</v>
      </c>
      <c r="W1515" s="8">
        <f>ROUNDUP(MONTH(V1515)/3,0)</f>
        <v>1</v>
      </c>
      <c r="X1515" s="8">
        <f>K1515*L1515*N1515</f>
        <v>0</v>
      </c>
    </row>
    <row r="1516" spans="1:24" s="8" customFormat="1" ht="41.5" customHeight="1">
      <c r="A1516" s="8" t="s">
        <v>3029</v>
      </c>
      <c r="B1516" s="8" t="s">
        <v>3035</v>
      </c>
      <c r="C1516" s="9">
        <v>45675.834943182897</v>
      </c>
      <c r="D1516" s="8" t="s">
        <v>2062</v>
      </c>
      <c r="E1516" s="8" t="s">
        <v>2057</v>
      </c>
      <c r="F1516" s="8">
        <v>1</v>
      </c>
      <c r="G1516" s="2">
        <v>635</v>
      </c>
      <c r="H1516" s="8" t="s">
        <v>143</v>
      </c>
      <c r="I1516" s="2">
        <f t="shared" si="46"/>
        <v>635</v>
      </c>
      <c r="M1516" s="11">
        <v>39000</v>
      </c>
      <c r="N1516" s="8" t="s">
        <v>30</v>
      </c>
      <c r="O1516" s="8" t="s">
        <v>17</v>
      </c>
      <c r="P1516" s="8" t="s">
        <v>18</v>
      </c>
      <c r="Q1516" s="8" t="s">
        <v>18</v>
      </c>
      <c r="S1516" s="8" t="s">
        <v>2216</v>
      </c>
      <c r="T1516" s="8" t="s">
        <v>2217</v>
      </c>
      <c r="V1516" s="8" t="s">
        <v>1228</v>
      </c>
      <c r="W1516" s="8">
        <f>ROUNDUP(MONTH(V1516)/3,0)</f>
        <v>1</v>
      </c>
      <c r="X1516" s="8">
        <f>K1516*L1516*N1516</f>
        <v>0</v>
      </c>
    </row>
    <row r="1517" spans="1:24" s="8" customFormat="1" ht="41.5" customHeight="1">
      <c r="A1517" s="8" t="s">
        <v>3029</v>
      </c>
      <c r="B1517" s="8" t="s">
        <v>3036</v>
      </c>
      <c r="C1517" s="9">
        <v>45675.8349431713</v>
      </c>
      <c r="D1517" s="8" t="s">
        <v>2062</v>
      </c>
      <c r="E1517" s="8" t="s">
        <v>2057</v>
      </c>
      <c r="F1517" s="8">
        <v>1</v>
      </c>
      <c r="G1517" s="2">
        <v>635</v>
      </c>
      <c r="H1517" s="8" t="s">
        <v>143</v>
      </c>
      <c r="I1517" s="2">
        <f t="shared" si="46"/>
        <v>635</v>
      </c>
      <c r="M1517" s="11">
        <v>36000</v>
      </c>
      <c r="N1517" s="8" t="s">
        <v>30</v>
      </c>
      <c r="O1517" s="8" t="s">
        <v>17</v>
      </c>
      <c r="P1517" s="8" t="s">
        <v>18</v>
      </c>
      <c r="Q1517" s="8" t="s">
        <v>18</v>
      </c>
      <c r="S1517" s="8" t="s">
        <v>2216</v>
      </c>
      <c r="T1517" s="8" t="s">
        <v>2217</v>
      </c>
      <c r="V1517" s="8" t="s">
        <v>1228</v>
      </c>
      <c r="W1517" s="8">
        <f>ROUNDUP(MONTH(V1517)/3,0)</f>
        <v>1</v>
      </c>
      <c r="X1517" s="8">
        <f>K1517*L1517*N1517</f>
        <v>0</v>
      </c>
    </row>
    <row r="1518" spans="1:24" s="8" customFormat="1" ht="41.5" customHeight="1">
      <c r="A1518" s="8" t="s">
        <v>3029</v>
      </c>
      <c r="B1518" s="8" t="s">
        <v>3037</v>
      </c>
      <c r="C1518" s="9">
        <v>45675.8349431713</v>
      </c>
      <c r="D1518" s="8" t="s">
        <v>2062</v>
      </c>
      <c r="E1518" s="8" t="s">
        <v>2057</v>
      </c>
      <c r="F1518" s="8">
        <v>1</v>
      </c>
      <c r="G1518" s="2">
        <v>635</v>
      </c>
      <c r="H1518" s="8" t="s">
        <v>1239</v>
      </c>
      <c r="I1518" s="2">
        <f t="shared" si="46"/>
        <v>635</v>
      </c>
      <c r="M1518" s="11">
        <v>500000</v>
      </c>
      <c r="N1518" s="8" t="s">
        <v>30</v>
      </c>
      <c r="O1518" s="8" t="s">
        <v>17</v>
      </c>
      <c r="P1518" s="8" t="s">
        <v>18</v>
      </c>
      <c r="Q1518" s="8" t="s">
        <v>18</v>
      </c>
      <c r="S1518" s="8" t="s">
        <v>2216</v>
      </c>
      <c r="T1518" s="8" t="s">
        <v>2217</v>
      </c>
      <c r="V1518" s="8" t="s">
        <v>1228</v>
      </c>
      <c r="W1518" s="8">
        <f>ROUNDUP(MONTH(V1518)/3,0)</f>
        <v>1</v>
      </c>
      <c r="X1518" s="8">
        <f>K1518*L1518*N1518</f>
        <v>0</v>
      </c>
    </row>
    <row r="1519" spans="1:24" s="8" customFormat="1" ht="41.5" customHeight="1">
      <c r="A1519" s="8" t="s">
        <v>3029</v>
      </c>
      <c r="B1519" s="8" t="s">
        <v>3038</v>
      </c>
      <c r="C1519" s="9">
        <v>45675.8349431366</v>
      </c>
      <c r="D1519" s="8" t="s">
        <v>2062</v>
      </c>
      <c r="E1519" s="8" t="s">
        <v>2057</v>
      </c>
      <c r="F1519" s="8">
        <v>1</v>
      </c>
      <c r="G1519" s="2">
        <v>635</v>
      </c>
      <c r="H1519" s="8" t="s">
        <v>1239</v>
      </c>
      <c r="I1519" s="2">
        <f t="shared" si="46"/>
        <v>635</v>
      </c>
      <c r="M1519" s="11">
        <v>553554</v>
      </c>
      <c r="N1519" s="8" t="s">
        <v>30</v>
      </c>
      <c r="O1519" s="8" t="s">
        <v>17</v>
      </c>
      <c r="P1519" s="8" t="s">
        <v>18</v>
      </c>
      <c r="Q1519" s="8" t="s">
        <v>18</v>
      </c>
      <c r="S1519" s="8" t="s">
        <v>2216</v>
      </c>
      <c r="T1519" s="8" t="s">
        <v>2217</v>
      </c>
      <c r="V1519" s="8" t="s">
        <v>1228</v>
      </c>
      <c r="W1519" s="8">
        <f>ROUNDUP(MONTH(V1519)/3,0)</f>
        <v>1</v>
      </c>
      <c r="X1519" s="8">
        <f>K1519*L1519*N1519</f>
        <v>0</v>
      </c>
    </row>
    <row r="1520" spans="1:24" s="8" customFormat="1" ht="41.5" customHeight="1">
      <c r="A1520" s="8" t="s">
        <v>3029</v>
      </c>
      <c r="B1520" s="8" t="s">
        <v>3039</v>
      </c>
      <c r="C1520" s="9">
        <v>45675.834943078698</v>
      </c>
      <c r="D1520" s="8" t="s">
        <v>2062</v>
      </c>
      <c r="E1520" s="8" t="s">
        <v>2057</v>
      </c>
      <c r="F1520" s="8">
        <v>1</v>
      </c>
      <c r="G1520" s="2">
        <v>635</v>
      </c>
      <c r="H1520" s="8" t="s">
        <v>1240</v>
      </c>
      <c r="I1520" s="2">
        <f t="shared" si="46"/>
        <v>635</v>
      </c>
      <c r="M1520" s="11">
        <v>20000</v>
      </c>
      <c r="N1520" s="8" t="s">
        <v>30</v>
      </c>
      <c r="O1520" s="8" t="s">
        <v>17</v>
      </c>
      <c r="P1520" s="8" t="s">
        <v>18</v>
      </c>
      <c r="Q1520" s="8" t="s">
        <v>18</v>
      </c>
      <c r="S1520" s="8" t="s">
        <v>2216</v>
      </c>
      <c r="T1520" s="8" t="s">
        <v>2217</v>
      </c>
      <c r="V1520" s="8" t="s">
        <v>1228</v>
      </c>
      <c r="W1520" s="8">
        <f>ROUNDUP(MONTH(V1520)/3,0)</f>
        <v>1</v>
      </c>
      <c r="X1520" s="8">
        <f>K1520*L1520*N1520</f>
        <v>0</v>
      </c>
    </row>
    <row r="1521" spans="1:24" s="8" customFormat="1" ht="41.5" customHeight="1">
      <c r="A1521" s="8" t="s">
        <v>3029</v>
      </c>
      <c r="B1521" s="8" t="s">
        <v>3040</v>
      </c>
      <c r="C1521" s="9">
        <v>45675.834943078698</v>
      </c>
      <c r="D1521" s="8" t="s">
        <v>2062</v>
      </c>
      <c r="E1521" s="8" t="s">
        <v>2057</v>
      </c>
      <c r="F1521" s="8">
        <v>1</v>
      </c>
      <c r="G1521" s="2">
        <v>635</v>
      </c>
      <c r="H1521" s="8" t="s">
        <v>143</v>
      </c>
      <c r="I1521" s="2">
        <f t="shared" si="46"/>
        <v>635</v>
      </c>
      <c r="M1521" s="11">
        <v>45000</v>
      </c>
      <c r="N1521" s="8" t="s">
        <v>30</v>
      </c>
      <c r="O1521" s="8" t="s">
        <v>17</v>
      </c>
      <c r="P1521" s="8" t="s">
        <v>18</v>
      </c>
      <c r="Q1521" s="8" t="s">
        <v>18</v>
      </c>
      <c r="S1521" s="8" t="s">
        <v>2216</v>
      </c>
      <c r="T1521" s="8" t="s">
        <v>2217</v>
      </c>
      <c r="V1521" s="8" t="s">
        <v>1228</v>
      </c>
      <c r="W1521" s="8">
        <f>ROUNDUP(MONTH(V1521)/3,0)</f>
        <v>1</v>
      </c>
      <c r="X1521" s="8">
        <f>K1521*L1521*N1521</f>
        <v>0</v>
      </c>
    </row>
    <row r="1522" spans="1:24" s="8" customFormat="1" ht="41.5" customHeight="1">
      <c r="A1522" s="8" t="s">
        <v>3029</v>
      </c>
      <c r="B1522" s="8" t="s">
        <v>3041</v>
      </c>
      <c r="C1522" s="9">
        <v>45675.834943032401</v>
      </c>
      <c r="D1522" s="8" t="s">
        <v>2062</v>
      </c>
      <c r="E1522" s="8" t="s">
        <v>2057</v>
      </c>
      <c r="F1522" s="8">
        <v>1</v>
      </c>
      <c r="G1522" s="2">
        <v>635</v>
      </c>
      <c r="H1522" s="8" t="s">
        <v>117</v>
      </c>
      <c r="I1522" s="2">
        <f t="shared" si="46"/>
        <v>635</v>
      </c>
      <c r="M1522" s="11">
        <v>50000</v>
      </c>
      <c r="N1522" s="8" t="s">
        <v>30</v>
      </c>
      <c r="O1522" s="8" t="s">
        <v>17</v>
      </c>
      <c r="P1522" s="8" t="s">
        <v>18</v>
      </c>
      <c r="Q1522" s="8" t="s">
        <v>18</v>
      </c>
      <c r="S1522" s="8" t="s">
        <v>2216</v>
      </c>
      <c r="T1522" s="8" t="s">
        <v>2217</v>
      </c>
      <c r="V1522" s="8" t="s">
        <v>1228</v>
      </c>
      <c r="W1522" s="8">
        <f>ROUNDUP(MONTH(V1522)/3,0)</f>
        <v>1</v>
      </c>
      <c r="X1522" s="8">
        <f>K1522*L1522*N1522</f>
        <v>0</v>
      </c>
    </row>
    <row r="1523" spans="1:24" s="8" customFormat="1" ht="41.5" customHeight="1">
      <c r="A1523" s="8" t="s">
        <v>3042</v>
      </c>
      <c r="B1523" s="8" t="s">
        <v>3043</v>
      </c>
      <c r="C1523" s="9">
        <v>45675.185832546304</v>
      </c>
      <c r="D1523" s="8" t="s">
        <v>2218</v>
      </c>
      <c r="E1523" s="8" t="s">
        <v>2057</v>
      </c>
      <c r="F1523" s="8">
        <v>1</v>
      </c>
      <c r="G1523" s="2">
        <v>635</v>
      </c>
      <c r="H1523" s="8" t="s">
        <v>118</v>
      </c>
      <c r="I1523" s="2">
        <f t="shared" si="46"/>
        <v>635</v>
      </c>
      <c r="M1523" s="11">
        <v>50000</v>
      </c>
      <c r="N1523" s="8" t="s">
        <v>30</v>
      </c>
      <c r="O1523" s="8" t="s">
        <v>17</v>
      </c>
      <c r="P1523" s="8" t="s">
        <v>18</v>
      </c>
      <c r="Q1523" s="8" t="s">
        <v>18</v>
      </c>
      <c r="S1523" s="8" t="s">
        <v>2340</v>
      </c>
      <c r="T1523" s="8" t="s">
        <v>2341</v>
      </c>
      <c r="V1523" s="8" t="s">
        <v>1228</v>
      </c>
      <c r="W1523" s="8">
        <f>ROUNDUP(MONTH(V1523)/3,0)</f>
        <v>1</v>
      </c>
      <c r="X1523" s="8">
        <f>K1523*L1523*N1523</f>
        <v>0</v>
      </c>
    </row>
    <row r="1524" spans="1:24" s="8" customFormat="1" ht="41.5" customHeight="1">
      <c r="A1524" s="8" t="s">
        <v>3042</v>
      </c>
      <c r="B1524" s="8" t="s">
        <v>3044</v>
      </c>
      <c r="C1524" s="9">
        <v>45675.158209421301</v>
      </c>
      <c r="D1524" s="8" t="s">
        <v>2218</v>
      </c>
      <c r="E1524" s="8" t="s">
        <v>2057</v>
      </c>
      <c r="F1524" s="8">
        <v>1</v>
      </c>
      <c r="G1524" s="2">
        <v>635</v>
      </c>
      <c r="H1524" s="8" t="s">
        <v>118</v>
      </c>
      <c r="I1524" s="2">
        <f t="shared" si="46"/>
        <v>635</v>
      </c>
      <c r="M1524" s="11">
        <v>20000</v>
      </c>
      <c r="N1524" s="8" t="s">
        <v>30</v>
      </c>
      <c r="O1524" s="8" t="s">
        <v>17</v>
      </c>
      <c r="P1524" s="8" t="s">
        <v>18</v>
      </c>
      <c r="Q1524" s="8" t="s">
        <v>18</v>
      </c>
      <c r="S1524" s="8" t="s">
        <v>2219</v>
      </c>
      <c r="T1524" s="8" t="s">
        <v>2220</v>
      </c>
      <c r="V1524" s="8" t="s">
        <v>1228</v>
      </c>
      <c r="W1524" s="8">
        <f>ROUNDUP(MONTH(V1524)/3,0)</f>
        <v>1</v>
      </c>
      <c r="X1524" s="8">
        <f>K1524*L1524*N1524</f>
        <v>0</v>
      </c>
    </row>
    <row r="1525" spans="1:24" s="8" customFormat="1" ht="41.5" customHeight="1">
      <c r="A1525" s="8" t="s">
        <v>3042</v>
      </c>
      <c r="B1525" s="8" t="s">
        <v>3045</v>
      </c>
      <c r="C1525" s="9">
        <v>45675.1488046296</v>
      </c>
      <c r="D1525" s="8" t="s">
        <v>2218</v>
      </c>
      <c r="E1525" s="8" t="s">
        <v>2057</v>
      </c>
      <c r="F1525" s="8">
        <v>1</v>
      </c>
      <c r="G1525" s="2">
        <v>635</v>
      </c>
      <c r="H1525" s="8" t="s">
        <v>118</v>
      </c>
      <c r="I1525" s="2">
        <f t="shared" si="46"/>
        <v>635</v>
      </c>
      <c r="M1525" s="11">
        <v>20000</v>
      </c>
      <c r="N1525" s="8" t="s">
        <v>30</v>
      </c>
      <c r="O1525" s="8" t="s">
        <v>17</v>
      </c>
      <c r="P1525" s="8" t="s">
        <v>18</v>
      </c>
      <c r="Q1525" s="8" t="s">
        <v>18</v>
      </c>
      <c r="S1525" s="8" t="s">
        <v>2219</v>
      </c>
      <c r="T1525" s="8" t="s">
        <v>2220</v>
      </c>
      <c r="V1525" s="8" t="s">
        <v>1228</v>
      </c>
      <c r="W1525" s="8">
        <f>ROUNDUP(MONTH(V1525)/3,0)</f>
        <v>1</v>
      </c>
      <c r="X1525" s="8">
        <f>K1525*L1525*N1525</f>
        <v>0</v>
      </c>
    </row>
  </sheetData>
  <autoFilter ref="A2:X1525" xr:uid="{00000000-0001-0000-01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BanRa_1</vt:lpstr>
      <vt:lpstr>MuaVao_1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2026-05-21T02:32:54Z</dcterms:created>
  <cp:lastModifiedBy>ADMIN</cp:lastModifiedBy>
  <dcterms:modified xsi:type="dcterms:W3CDTF">2026-06-09T15:01:48Z</dcterms:modified>
</cp:coreProperties>
</file>